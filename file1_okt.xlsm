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Rrv60XtTN7/wMHR3aX3y6KOXEADQGP6fy2Arvl5dNNY="/>
    </ext>
  </extLst>
</workbook>
</file>

<file path=xl/sharedStrings.xml><?xml version="1.0" encoding="utf-8"?>
<sst xmlns="http://schemas.openxmlformats.org/spreadsheetml/2006/main" count="3832" uniqueCount="475">
  <si>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</si>
  <si>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</si>
  <si>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</si>
  <si>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</si>
  <si>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</si>
  <si>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</si>
  <si>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</si>
  <si>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</si>
  <si>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</si>
  <si>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</si>
  <si>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f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</si>
  <si>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</si>
  <si>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</si>
  <si>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</si>
  <si>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</si>
  <si>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</si>
  <si>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</si>
  <si>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</si>
  <si>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</si>
  <si>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</si>
  <si>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Hanifah</t>
  </si>
  <si>
    <t xml:space="preserve"> Hamdan Ismail S.N</t>
  </si>
  <si>
    <t>Graduation Premium</t>
  </si>
  <si>
    <t>Graduation</t>
  </si>
  <si>
    <t>6 okt</t>
  </si>
  <si>
    <t>17 okt</t>
  </si>
  <si>
    <t>1. Sandlyra</t>
  </si>
  <si>
    <t>DP</t>
  </si>
  <si>
    <t>AMEL</t>
  </si>
  <si>
    <t>Riski Mulyawan Pangestu d</t>
  </si>
  <si>
    <t>Lunas</t>
  </si>
  <si>
    <t>Iqis</t>
  </si>
  <si>
    <t>4 okt</t>
  </si>
  <si>
    <t>Uploaded</t>
  </si>
  <si>
    <t>Large Group</t>
  </si>
  <si>
    <t>Rara</t>
  </si>
  <si>
    <t>Pending</t>
  </si>
  <si>
    <t>2 okt</t>
  </si>
  <si>
    <t>INDAH</t>
  </si>
  <si>
    <t>Photofox</t>
  </si>
  <si>
    <t>Elnie</t>
  </si>
  <si>
    <t>1 okt</t>
  </si>
  <si>
    <t>3 okt</t>
  </si>
  <si>
    <t>ADIF</t>
  </si>
  <si>
    <t>-</t>
  </si>
  <si>
    <t>Adinda Putri Suwarno</t>
  </si>
  <si>
    <t>Wisnu pamungkas</t>
  </si>
  <si>
    <t>Ulfa Nurul</t>
  </si>
  <si>
    <t>Add Cetak</t>
  </si>
  <si>
    <t>Add Edit</t>
  </si>
  <si>
    <t>Nadia</t>
  </si>
  <si>
    <t>27 sept</t>
  </si>
  <si>
    <t>22 okt</t>
  </si>
  <si>
    <t>VERO</t>
  </si>
  <si>
    <t>Utia</t>
  </si>
  <si>
    <t>Wisnu Pamungkas</t>
  </si>
  <si>
    <t>Pratama</t>
  </si>
  <si>
    <t>Rotho</t>
  </si>
  <si>
    <t>Single</t>
  </si>
  <si>
    <t xml:space="preserve"> 4 okt</t>
  </si>
  <si>
    <t>SAKA</t>
  </si>
  <si>
    <t xml:space="preserve"> Tuti Priyani</t>
  </si>
  <si>
    <t>Bilqis</t>
  </si>
  <si>
    <t>Photo Fox</t>
  </si>
  <si>
    <t>alya</t>
  </si>
  <si>
    <t>10 okt</t>
  </si>
  <si>
    <t>Uji</t>
  </si>
  <si>
    <t xml:space="preserve"> Sabrina</t>
  </si>
  <si>
    <t>Adi</t>
  </si>
  <si>
    <t>Family B</t>
  </si>
  <si>
    <t>4 OKT</t>
  </si>
  <si>
    <t xml:space="preserve">Luthfi </t>
  </si>
  <si>
    <t>Liaamalia</t>
  </si>
  <si>
    <t>Studio Rent</t>
  </si>
  <si>
    <t>Audi nisa</t>
  </si>
  <si>
    <t>Dian</t>
  </si>
  <si>
    <t>Danisha</t>
  </si>
  <si>
    <t>Rizka</t>
  </si>
  <si>
    <t>Rani</t>
  </si>
  <si>
    <t>Yeni A</t>
  </si>
  <si>
    <t>Nasywaa</t>
  </si>
  <si>
    <t>Rachel</t>
  </si>
  <si>
    <t>Couple A</t>
  </si>
  <si>
    <t>Nurul Indah Amalia</t>
  </si>
  <si>
    <t>FAHME</t>
  </si>
  <si>
    <t>Mufti</t>
  </si>
  <si>
    <t>Bening</t>
  </si>
  <si>
    <t>Qottrunannda maulidia</t>
  </si>
  <si>
    <t>Sali</t>
  </si>
  <si>
    <t>alfian wicaksana</t>
  </si>
  <si>
    <t>Nabila hasna</t>
  </si>
  <si>
    <t>Caca</t>
  </si>
  <si>
    <t>aida</t>
  </si>
  <si>
    <t>Qonita</t>
  </si>
  <si>
    <t>Ilut</t>
  </si>
  <si>
    <t>ABROR</t>
  </si>
  <si>
    <t>azhar</t>
  </si>
  <si>
    <t>Oktriana</t>
  </si>
  <si>
    <t>Dedik Purwanto</t>
  </si>
  <si>
    <t>Add cetak</t>
  </si>
  <si>
    <t>Salli</t>
  </si>
  <si>
    <t>22 sept</t>
  </si>
  <si>
    <t>Widika Aden Agatha</t>
  </si>
  <si>
    <t>Na Salsabila</t>
  </si>
  <si>
    <t>Lutfia</t>
  </si>
  <si>
    <t>Gandring Guste</t>
  </si>
  <si>
    <t>oktafira</t>
  </si>
  <si>
    <t xml:space="preserve"> Bilqis</t>
  </si>
  <si>
    <t>wafi wafa</t>
  </si>
  <si>
    <t>ine amalia</t>
  </si>
  <si>
    <t>All file</t>
  </si>
  <si>
    <t>Zaidan Ariefyandi</t>
  </si>
  <si>
    <t xml:space="preserve">Sulton Hidayah Arrosid </t>
  </si>
  <si>
    <t>Afifah</t>
  </si>
  <si>
    <t>fedinda nara</t>
  </si>
  <si>
    <t>Nominal</t>
  </si>
  <si>
    <t>Rahayu</t>
  </si>
  <si>
    <t>Shift</t>
  </si>
  <si>
    <t>titin setiawan</t>
  </si>
  <si>
    <t>Pendapatan Tunai</t>
  </si>
  <si>
    <t>Reynaldo</t>
  </si>
  <si>
    <t>Akira Aditya Pandya</t>
  </si>
  <si>
    <t>Helmi</t>
  </si>
  <si>
    <t>Admin 1</t>
  </si>
  <si>
    <t>salsa</t>
  </si>
  <si>
    <t>1. Pratama</t>
  </si>
  <si>
    <t>Amelia Nur</t>
  </si>
  <si>
    <t>Bensin</t>
  </si>
  <si>
    <t>bela</t>
  </si>
  <si>
    <t>Admin 2</t>
  </si>
  <si>
    <t>niko</t>
  </si>
  <si>
    <t>aghnia</t>
  </si>
  <si>
    <t>Tiffani Agil</t>
  </si>
  <si>
    <t>andin</t>
  </si>
  <si>
    <t>Fotografer 1</t>
  </si>
  <si>
    <t>Afita Khoerunnisa</t>
  </si>
  <si>
    <t>Riski Mulyawan Pangestu</t>
  </si>
  <si>
    <t>Fotografer 2</t>
  </si>
  <si>
    <t>Mahendra Putra Wardhana</t>
  </si>
  <si>
    <t>alif</t>
  </si>
  <si>
    <t>2. Dita</t>
  </si>
  <si>
    <t>sema</t>
  </si>
  <si>
    <t>KPI HARIAN | SKALA 1-5</t>
  </si>
  <si>
    <t>Fahmy Bagas</t>
  </si>
  <si>
    <t>hanifah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</si>
  <si>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</si>
  <si>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</si>
  <si>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</si>
  <si>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</si>
  <si>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</si>
  <si>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</si>
  <si>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</si>
  <si>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asrul ridho</t>
  </si>
  <si>
    <t>Role Helper</t>
  </si>
  <si>
    <t>lala</t>
  </si>
  <si>
    <t>Evaluated Flag</t>
  </si>
  <si>
    <t>Effective Name</t>
  </si>
  <si>
    <t>Fakhrian Yoga Permana</t>
  </si>
  <si>
    <t>Akhmad Binangun</t>
  </si>
  <si>
    <t xml:space="preserve"> Fadila</t>
  </si>
  <si>
    <t>rio furqon</t>
  </si>
  <si>
    <t>Dhabi</t>
  </si>
  <si>
    <t>Desti Ika C</t>
  </si>
  <si>
    <t>ilham zambrot</t>
  </si>
  <si>
    <t>allez galan</t>
  </si>
  <si>
    <t>Ezar Nadhif</t>
  </si>
  <si>
    <t>Wahyu setyaningsih</t>
  </si>
  <si>
    <t>Hanan</t>
  </si>
  <si>
    <t>nana</t>
  </si>
  <si>
    <t>rendy nIlhamsyah</t>
  </si>
  <si>
    <t>aulia hani</t>
  </si>
  <si>
    <t>cibita</t>
  </si>
  <si>
    <t>Widyaloka</t>
  </si>
  <si>
    <t>Renaldy</t>
  </si>
  <si>
    <t>Nina dwi</t>
  </si>
  <si>
    <t>rizma</t>
  </si>
  <si>
    <t>restu</t>
  </si>
  <si>
    <t xml:space="preserve"> Nola</t>
  </si>
  <si>
    <t>1. Mayzila</t>
  </si>
  <si>
    <t>Tika Dwi</t>
  </si>
  <si>
    <t>2. Desni</t>
  </si>
  <si>
    <t>Sifa</t>
  </si>
  <si>
    <t>3. Rindi</t>
  </si>
  <si>
    <t>3. Karlina</t>
  </si>
  <si>
    <t>4. Dinah</t>
  </si>
  <si>
    <t xml:space="preserve"> inaya</t>
  </si>
  <si>
    <t>5. Fitri dina</t>
  </si>
  <si>
    <t>arif</t>
  </si>
  <si>
    <t>6. Wildan</t>
  </si>
  <si>
    <t>Couple B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</si>
  <si>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</si>
  <si>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</si>
  <si>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</si>
  <si>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</si>
  <si>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</si>
  <si>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</si>
  <si>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</si>
  <si>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</si>
  <si>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</si>
  <si>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</si>
  <si>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</si>
  <si>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</si>
  <si>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</si>
  <si>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</si>
  <si>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</si>
  <si>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</si>
  <si>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</si>
  <si>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Sarapan Pagi Day 1 &amp; Day 2</t>
  </si>
  <si>
    <t>galon</t>
  </si>
  <si>
    <t>Total DP</t>
  </si>
  <si>
    <t>Sesi Foto</t>
  </si>
  <si>
    <t>Jumlah Transaksi Harian</t>
  </si>
  <si>
    <t>Conversion Rate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</si>
  <si>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</si>
  <si>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</si>
  <si>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</si>
  <si>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</si>
  <si>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</si>
  <si>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</si>
  <si>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</si>
  <si>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</si>
  <si>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</si>
  <si>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</si>
  <si>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</si>
  <si>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</si>
  <si>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</si>
  <si>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Riska alfiansi</t>
  </si>
  <si>
    <t>Bre</t>
  </si>
  <si>
    <t>Desti Ika Cahyani</t>
  </si>
  <si>
    <t>Kresna</t>
  </si>
  <si>
    <t>Family A</t>
  </si>
  <si>
    <t>Tuti</t>
  </si>
  <si>
    <t>Yudi</t>
  </si>
  <si>
    <t>Puji</t>
  </si>
  <si>
    <t>bre</t>
  </si>
  <si>
    <t>OTS</t>
  </si>
  <si>
    <t>Novita</t>
  </si>
  <si>
    <t>Packing</t>
  </si>
  <si>
    <t>mustofa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</si>
  <si>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</si>
  <si>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Anggi</t>
  </si>
  <si>
    <t>Bayu</t>
  </si>
  <si>
    <t>Mukti</t>
  </si>
  <si>
    <t>Bintang nay</t>
  </si>
  <si>
    <t>Zahra</t>
  </si>
  <si>
    <t>Ade evan</t>
  </si>
  <si>
    <t>Amanita</t>
  </si>
  <si>
    <t>Hamdan Ismail S.N</t>
  </si>
  <si>
    <t>10r (2)</t>
  </si>
  <si>
    <t xml:space="preserve">Lala </t>
  </si>
  <si>
    <t>Athia Mayyada Faozi</t>
  </si>
  <si>
    <t>Hoho</t>
  </si>
  <si>
    <t>syska</t>
  </si>
  <si>
    <t>11 okt</t>
  </si>
  <si>
    <t>Facinema</t>
  </si>
  <si>
    <t>tomi</t>
  </si>
  <si>
    <t>Anggie</t>
  </si>
  <si>
    <t>yudhi</t>
  </si>
  <si>
    <t>7 okt</t>
  </si>
  <si>
    <t>lavandula</t>
  </si>
  <si>
    <t>Ahmad</t>
  </si>
  <si>
    <t>8 okt</t>
  </si>
  <si>
    <t>anggi</t>
  </si>
  <si>
    <t>penthil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</si>
  <si>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</si>
  <si>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</si>
  <si>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</si>
  <si>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</si>
  <si>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</si>
  <si>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</si>
  <si>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</si>
  <si>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</si>
  <si>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</si>
  <si>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</si>
  <si>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</si>
  <si>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</si>
  <si>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</si>
  <si>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</si>
  <si>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</si>
  <si>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</si>
  <si>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 xml:space="preserve"> Yora Wibowo</t>
  </si>
  <si>
    <t>Couple C</t>
  </si>
  <si>
    <t>reza raditya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</si>
  <si>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</si>
  <si>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</si>
  <si>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</si>
  <si>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</si>
  <si>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</si>
  <si>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</si>
  <si>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</si>
  <si>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</si>
  <si>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</si>
  <si>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baterai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</si>
  <si>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</si>
  <si>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</si>
  <si>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</si>
  <si>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</si>
  <si>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</si>
  <si>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</si>
  <si>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</si>
  <si>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</si>
  <si>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</si>
  <si>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</si>
  <si>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</si>
  <si>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</si>
  <si>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</si>
  <si>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</si>
  <si>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</si>
  <si>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</si>
  <si>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</si>
  <si>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</si>
  <si>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</si>
  <si>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</si>
  <si>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</si>
  <si>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</si>
  <si>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</si>
  <si>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</si>
  <si>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</si>
  <si>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</si>
  <si>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</si>
  <si>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</si>
  <si>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</si>
  <si>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</si>
  <si>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</si>
  <si>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</si>
  <si>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Naya</t>
  </si>
  <si>
    <t>Niki</t>
  </si>
  <si>
    <t>16R, 10R, 5R</t>
  </si>
  <si>
    <t>Mazya</t>
  </si>
  <si>
    <t>add 10R</t>
  </si>
  <si>
    <t>Amrullah gilang</t>
  </si>
  <si>
    <t>pass photo</t>
  </si>
  <si>
    <t>Pradipta Mahardika</t>
  </si>
  <si>
    <t>Ela</t>
  </si>
  <si>
    <t>Diana</t>
  </si>
  <si>
    <t>Alor</t>
  </si>
  <si>
    <t>KKN 75</t>
  </si>
  <si>
    <t>Galon</t>
  </si>
  <si>
    <t>16R</t>
  </si>
  <si>
    <t>Belita Yoan Intania</t>
  </si>
  <si>
    <t>Sofia</t>
  </si>
  <si>
    <t>Deri</t>
  </si>
  <si>
    <t>MnM</t>
  </si>
  <si>
    <t>PIT S3 2026</t>
  </si>
  <si>
    <t>Fapet 22</t>
  </si>
  <si>
    <t>16 oct`</t>
  </si>
  <si>
    <t>Dhimas Sulthan</t>
  </si>
  <si>
    <t>dea salsabila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</si>
  <si>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</si>
  <si>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</si>
  <si>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</si>
  <si>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</si>
  <si>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</si>
  <si>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</si>
  <si>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</si>
  <si>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</si>
  <si>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</si>
  <si>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</si>
  <si>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</si>
  <si>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</si>
  <si>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</si>
  <si>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</si>
  <si>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</si>
  <si>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</si>
  <si>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</si>
  <si>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</si>
  <si>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</si>
  <si>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</si>
  <si>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</si>
  <si>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</si>
  <si>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</si>
  <si>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 xml:space="preserve">  Rifqi Firmansyah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</si>
  <si>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</si>
  <si>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</si>
  <si>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</si>
  <si>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</si>
  <si>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</si>
  <si>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</si>
  <si>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</si>
  <si>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</si>
  <si>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>Indah Fitria</t>
  </si>
  <si>
    <t>amorza</t>
  </si>
  <si>
    <t>Abid Alwan</t>
  </si>
  <si>
    <t>Tuti Kumalasari</t>
  </si>
  <si>
    <t>Musang Titut</t>
  </si>
  <si>
    <t>Amorza</t>
  </si>
  <si>
    <t>Lyra</t>
  </si>
  <si>
    <t>Wiwi</t>
  </si>
  <si>
    <t>Belita</t>
  </si>
  <si>
    <t>Davita</t>
  </si>
  <si>
    <t>Vega</t>
  </si>
  <si>
    <t>Dapong</t>
  </si>
  <si>
    <t>Julian Doni</t>
  </si>
  <si>
    <t>Nasrul</t>
  </si>
  <si>
    <t>Kharisma</t>
  </si>
  <si>
    <t>Mnm</t>
  </si>
  <si>
    <t>Fahmi</t>
  </si>
  <si>
    <t xml:space="preserve">Dedik </t>
  </si>
  <si>
    <t>Add 10R</t>
  </si>
  <si>
    <t>Fajar Alfian</t>
  </si>
  <si>
    <t>Iin</t>
  </si>
  <si>
    <t>Jay</t>
  </si>
  <si>
    <t>5R, 10R, 16R</t>
  </si>
  <si>
    <t xml:space="preserve"> </t>
  </si>
  <si>
    <t>Leonie</t>
  </si>
  <si>
    <t>Reno</t>
  </si>
  <si>
    <t>Rifqi</t>
  </si>
  <si>
    <t>18 octt</t>
  </si>
  <si>
    <t>atun putra</t>
  </si>
  <si>
    <t xml:space="preserve">Dhimas Sulthan </t>
  </si>
  <si>
    <t>Fina</t>
  </si>
  <si>
    <t>Yora</t>
  </si>
  <si>
    <t>Fadel</t>
  </si>
  <si>
    <t>Saka</t>
  </si>
  <si>
    <t>amel, indah</t>
  </si>
  <si>
    <t>Fahme</t>
  </si>
  <si>
    <t>Baterai</t>
  </si>
  <si>
    <t>adif, saka</t>
  </si>
  <si>
    <t>Afdal</t>
  </si>
  <si>
    <t>navin</t>
  </si>
  <si>
    <t>Have</t>
  </si>
  <si>
    <t>Musang titut</t>
  </si>
  <si>
    <t>backup adif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</si>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</sst>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5" numFmtId="0" xfId="0" applyAlignment="1" applyBorder="1" applyFill="1" applyFont="1">
      <alignment horizontal="center" readingOrder="0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5" fillId="2" fontId="3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8" fillId="0" fontId="1" numFmtId="164" xfId="0" applyBorder="1" applyFont="1" applyNumberFormat="1"/>
    <xf borderId="2" fillId="0" fontId="1" numFmtId="164" xfId="0" applyAlignment="1" applyBorder="1" applyFont="1" applyNumberFormat="1">
      <alignment horizontal="center"/>
    </xf>
    <xf borderId="1" fillId="0" fontId="7" numFmtId="164" xfId="0" applyAlignment="1" applyBorder="1" applyFont="1" applyNumberFormat="1">
      <alignment horizontal="right" readingOrder="0"/>
    </xf>
    <xf borderId="2" fillId="0" fontId="1" numFmtId="164" xfId="0" applyBorder="1" applyFont="1" applyNumberFormat="1"/>
    <xf borderId="7" fillId="0" fontId="7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7" fillId="0" fontId="1" numFmtId="165" xfId="0" applyAlignment="1" applyBorder="1" applyFont="1" applyNumberForma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2" fillId="0" fontId="7" numFmtId="164" xfId="0" applyAlignment="1" applyBorder="1" applyFont="1" applyNumberFormat="1">
      <alignment horizontal="right" vertical="center"/>
    </xf>
    <xf borderId="1" fillId="0" fontId="1" numFmtId="165" xfId="0" applyAlignment="1" applyBorder="1" applyFont="1" applyNumberFormat="1">
      <alignment horizontal="center" vertical="center"/>
    </xf>
    <xf borderId="7" fillId="0" fontId="7" numFmtId="164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2" fillId="0" fontId="1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center"/>
    </xf>
    <xf borderId="2" fillId="0" fontId="7" numFmtId="164" xfId="0" applyAlignment="1" applyBorder="1" applyFont="1" applyNumberFormat="1">
      <alignment horizontal="right" readingOrder="0" vertical="center"/>
    </xf>
    <xf borderId="7" fillId="0" fontId="1" numFmtId="164" xfId="0" applyAlignment="1" applyBorder="1" applyFont="1" applyNumberFormat="1">
      <alignment horizontal="right" readingOrder="0"/>
    </xf>
    <xf borderId="6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7" fillId="0" fontId="1" numFmtId="166" xfId="0" applyAlignment="1" applyBorder="1" applyFont="1" applyNumberFormat="1">
      <alignment horizontal="center" readingOrder="0"/>
    </xf>
    <xf borderId="2" fillId="0" fontId="1" numFmtId="164" xfId="0" applyAlignment="1" applyBorder="1" applyFont="1" applyNumberFormat="1">
      <alignment readingOrder="0"/>
    </xf>
    <xf borderId="0" fillId="0" fontId="2" numFmtId="0" xfId="0" applyFont="1"/>
    <xf borderId="7" fillId="0" fontId="1" numFmtId="167" xfId="0" applyAlignment="1" applyBorder="1" applyFont="1" applyNumberForma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7" fillId="0" fontId="1" numFmtId="0" xfId="0" applyAlignment="1" applyBorder="1" applyFont="1">
      <alignment readingOrder="0" vertical="bottom"/>
    </xf>
    <xf borderId="2" fillId="0" fontId="2" numFmtId="164" xfId="0" applyAlignment="1" applyBorder="1" applyFont="1" applyNumberFormat="1">
      <alignment horizontal="center" readingOrder="0"/>
    </xf>
    <xf borderId="6" fillId="0" fontId="5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vertical="center"/>
    </xf>
    <xf borderId="0" fillId="0" fontId="6" numFmtId="0" xfId="0" applyAlignment="1" applyFont="1">
      <alignment horizontal="center" readingOrder="0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12" fillId="0" fontId="5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5" fillId="5" fontId="7" numFmtId="164" xfId="0" applyAlignment="1" applyBorder="1" applyFill="1" applyFont="1" applyNumberFormat="1">
      <alignment horizontal="center" vertical="center"/>
    </xf>
    <xf borderId="1" fillId="6" fontId="1" numFmtId="0" xfId="0" applyAlignment="1" applyBorder="1" applyFill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5" fillId="4" fontId="1" numFmtId="0" xfId="0" applyAlignment="1" applyBorder="1" applyFill="1" applyFont="1">
      <alignment horizontal="left" vertical="center"/>
    </xf>
    <xf borderId="7" fillId="0" fontId="5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left" vertical="center"/>
    </xf>
    <xf borderId="13" fillId="0" fontId="5" numFmtId="0" xfId="0" applyAlignment="1" applyBorder="1" applyFont="1">
      <alignment horizontal="center" readingOrder="0"/>
    </xf>
    <xf borderId="0" fillId="0" fontId="1" numFmtId="164" xfId="0" applyAlignment="1" applyFont="1" applyNumberFormat="1">
      <alignment horizontal="center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6" fillId="0" fontId="5" numFmtId="0" xfId="0" applyAlignment="1" applyBorder="1" applyFont="1">
      <alignment horizontal="center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5" fillId="0" fontId="2" numFmtId="0" xfId="0" applyAlignment="1" applyBorder="1" applyFont="1">
      <alignment horizontal="center" vertical="center"/>
    </xf>
    <xf borderId="7" fillId="0" fontId="2" numFmtId="164" xfId="0" applyAlignment="1" applyBorder="1" applyFont="1" applyNumberFormat="1">
      <alignment horizontal="right" readingOrder="0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1" numFmtId="9" xfId="0" applyAlignment="1" applyBorder="1" applyFont="1" applyNumberForma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5" fillId="4" fontId="2" numFmtId="164" xfId="0" applyAlignment="1" applyBorder="1" applyFill="1" applyFont="1" applyNumberFormat="1">
      <alignment horizontal="center" vertical="center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0" fillId="0" fontId="16" numFmtId="0" xfId="0" applyAlignment="1" applyFont="1">
      <alignment horizontal="left" shrinkToFit="0" vertical="center" wrapText="0"/>
    </xf>
    <xf borderId="9" fillId="7" fontId="2" numFmtId="164" xfId="0" applyAlignment="1" applyBorder="1" applyFill="1" applyFont="1" applyNumberFormat="1">
      <alignment horizontal="center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shrinkToFit="0" wrapText="1"/>
    </xf>
    <xf borderId="5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2" fillId="0" fontId="2" numFmtId="164" xfId="0" applyAlignment="1" applyBorder="1" applyFont="1" applyNumberFormat="1">
      <alignment horizontal="right" readingOrder="0" vertical="center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5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8" fillId="0" fontId="2" numFmtId="164" xfId="0" applyAlignment="1" applyBorder="1" applyFont="1" applyNumberFormat="1">
      <alignment horizontal="right" vertical="center"/>
    </xf>
    <xf borderId="0" fillId="13" fontId="2" numFmtId="0" xfId="0" applyFill="1" applyFont="1"/>
    <xf borderId="1" fillId="0" fontId="7" numFmtId="164" xfId="0" applyAlignment="1" applyBorder="1" applyFont="1" applyNumberFormat="1">
      <alignment horizontal="right" readingOrder="0" vertical="center"/>
    </xf>
    <xf borderId="0" fillId="4" fontId="1" numFmtId="0" xfId="0" applyFill="1" applyFont="1"/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0" fillId="11" fontId="12" numFmtId="170" xfId="0" applyAlignment="1" applyFill="1" applyFont="1" applyNumberFormat="1">
      <alignment horizontal="center" shrinkToFit="0" vertical="center" wrapText="0"/>
    </xf>
    <xf borderId="10" fillId="16" fontId="1" numFmtId="0" xfId="0" applyAlignment="1" applyBorder="1" applyFill="1" applyFont="1">
      <alignment horizontal="center" vertical="bottom"/>
    </xf>
    <xf borderId="10" fillId="0" fontId="1" numFmtId="0" xfId="0" applyAlignment="1" applyBorder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857611028"/>
        <c:axId val="1472395195"/>
      </c:barChart>
      <c:catAx>
        <c:axId val="18576110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472395195"/>
      </c:catAx>
      <c:valAx>
        <c:axId val="147239519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5761102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642438220"/>
        <c:axId val="741563569"/>
      </c:lineChart>
      <c:catAx>
        <c:axId val="16424382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41563569"/>
      </c:catAx>
      <c:valAx>
        <c:axId val="74156356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4243822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8" t="s">
        <v>20</v>
      </c>
      <c r="D4" s="22" t="s">
        <v>23</v>
      </c>
      <c r="E4" s="24"/>
      <c r="F4" s="25" t="s">
        <v>24</v>
      </c>
      <c r="G4" s="27"/>
      <c r="H4" s="30">
        <v>100000.0</v>
      </c>
      <c r="I4" s="25" t="s">
        <v>27</v>
      </c>
      <c r="J4" s="17"/>
      <c r="K4" s="17"/>
      <c r="L4" s="25" t="s">
        <v>28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8" t="s">
        <v>35</v>
      </c>
      <c r="D5" s="22" t="s">
        <v>39</v>
      </c>
      <c r="E5" s="24"/>
      <c r="F5" s="25" t="s">
        <v>41</v>
      </c>
      <c r="G5" s="41">
        <v>125000.0</v>
      </c>
      <c r="H5" s="42"/>
      <c r="I5" s="25" t="s">
        <v>30</v>
      </c>
      <c r="J5" s="25" t="s">
        <v>33</v>
      </c>
      <c r="K5" s="25" t="s">
        <v>44</v>
      </c>
      <c r="L5" s="25" t="s">
        <v>28</v>
      </c>
      <c r="M5" s="25" t="s">
        <v>43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50</v>
      </c>
      <c r="D6" s="22" t="s">
        <v>23</v>
      </c>
      <c r="E6" s="24"/>
      <c r="F6" s="25" t="s">
        <v>52</v>
      </c>
      <c r="G6" s="46"/>
      <c r="H6" s="30">
        <v>100000.0</v>
      </c>
      <c r="I6" s="25" t="s">
        <v>27</v>
      </c>
      <c r="J6" s="17"/>
      <c r="K6" s="17"/>
      <c r="L6" s="25" t="s">
        <v>28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57</v>
      </c>
      <c r="D7" s="22" t="s">
        <v>34</v>
      </c>
      <c r="E7" s="24"/>
      <c r="F7" s="25" t="s">
        <v>41</v>
      </c>
      <c r="G7" s="46"/>
      <c r="H7" s="48">
        <v>200000.0</v>
      </c>
      <c r="I7" s="25" t="s">
        <v>30</v>
      </c>
      <c r="J7" s="25" t="s">
        <v>33</v>
      </c>
      <c r="K7" s="25" t="s">
        <v>33</v>
      </c>
      <c r="L7" s="25" t="s">
        <v>28</v>
      </c>
      <c r="M7" s="25" t="s">
        <v>43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66</v>
      </c>
      <c r="D8" s="22" t="s">
        <v>23</v>
      </c>
      <c r="E8" s="24"/>
      <c r="F8" s="25" t="s">
        <v>42</v>
      </c>
      <c r="G8" s="27"/>
      <c r="H8" s="30">
        <v>100000.0</v>
      </c>
      <c r="I8" s="25" t="s">
        <v>27</v>
      </c>
      <c r="J8" s="17"/>
      <c r="K8" s="17"/>
      <c r="L8" s="25" t="s">
        <v>28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50" t="s">
        <v>72</v>
      </c>
      <c r="D9" s="22" t="s">
        <v>73</v>
      </c>
      <c r="E9" s="53"/>
      <c r="F9" s="25" t="s">
        <v>41</v>
      </c>
      <c r="G9" s="46"/>
      <c r="H9" s="48">
        <v>450000.0</v>
      </c>
      <c r="I9" s="25" t="s">
        <v>30</v>
      </c>
      <c r="J9" s="17"/>
      <c r="K9" s="17"/>
      <c r="L9" s="25" t="s">
        <v>28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76</v>
      </c>
      <c r="D10" s="22" t="s">
        <v>34</v>
      </c>
      <c r="E10" s="53"/>
      <c r="F10" s="25" t="s">
        <v>41</v>
      </c>
      <c r="G10" s="46"/>
      <c r="H10" s="48">
        <v>100000.0</v>
      </c>
      <c r="I10" s="25" t="s">
        <v>30</v>
      </c>
      <c r="J10" s="25" t="s">
        <v>33</v>
      </c>
      <c r="K10" s="25" t="s">
        <v>36</v>
      </c>
      <c r="L10" s="25" t="s">
        <v>28</v>
      </c>
      <c r="M10" s="25" t="s">
        <v>43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81</v>
      </c>
      <c r="D11" s="22" t="s">
        <v>82</v>
      </c>
      <c r="E11" s="53"/>
      <c r="F11" s="25" t="s">
        <v>41</v>
      </c>
      <c r="G11" s="41">
        <v>150000.0</v>
      </c>
      <c r="H11" s="42"/>
      <c r="I11" s="25" t="s">
        <v>30</v>
      </c>
      <c r="J11" s="25" t="s">
        <v>33</v>
      </c>
      <c r="K11" s="25" t="s">
        <v>33</v>
      </c>
      <c r="L11" s="25" t="s">
        <v>28</v>
      </c>
      <c r="M11" s="25" t="s">
        <v>43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50" t="s">
        <v>93</v>
      </c>
      <c r="D12" s="22" t="s">
        <v>58</v>
      </c>
      <c r="E12" s="53"/>
      <c r="F12" s="25" t="s">
        <v>41</v>
      </c>
      <c r="G12" s="46"/>
      <c r="H12" s="30">
        <v>100000.0</v>
      </c>
      <c r="I12" s="25" t="s">
        <v>30</v>
      </c>
      <c r="J12" s="25" t="s">
        <v>33</v>
      </c>
      <c r="K12" s="25" t="s">
        <v>33</v>
      </c>
      <c r="L12" s="25" t="s">
        <v>28</v>
      </c>
      <c r="M12" s="25" t="s">
        <v>43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50" t="s">
        <v>98</v>
      </c>
      <c r="D13" s="22" t="s">
        <v>99</v>
      </c>
      <c r="E13" s="53"/>
      <c r="F13" s="25" t="s">
        <v>101</v>
      </c>
      <c r="G13" s="60">
        <v>25000.0</v>
      </c>
      <c r="H13" s="42"/>
      <c r="I13" s="25" t="s">
        <v>30</v>
      </c>
      <c r="J13" s="25" t="s">
        <v>44</v>
      </c>
      <c r="K13" s="25" t="s">
        <v>44</v>
      </c>
      <c r="L13" s="25" t="s">
        <v>28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50" t="s">
        <v>104</v>
      </c>
      <c r="D14" s="22" t="s">
        <v>34</v>
      </c>
      <c r="E14" s="53"/>
      <c r="F14" s="25" t="s">
        <v>41</v>
      </c>
      <c r="G14" s="60">
        <v>105000.0</v>
      </c>
      <c r="H14" s="30">
        <v>220000.0</v>
      </c>
      <c r="I14" s="25" t="s">
        <v>30</v>
      </c>
      <c r="J14" s="25" t="s">
        <v>33</v>
      </c>
      <c r="K14" s="25" t="s">
        <v>33</v>
      </c>
      <c r="L14" s="25" t="s">
        <v>28</v>
      </c>
      <c r="M14" s="25" t="s">
        <v>43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50" t="s">
        <v>107</v>
      </c>
      <c r="D15" s="22" t="s">
        <v>39</v>
      </c>
      <c r="E15" s="53"/>
      <c r="F15" s="25" t="s">
        <v>37</v>
      </c>
      <c r="G15" s="46"/>
      <c r="H15" s="30">
        <v>100000.0</v>
      </c>
      <c r="I15" s="25" t="s">
        <v>27</v>
      </c>
      <c r="J15" s="17"/>
      <c r="K15" s="17"/>
      <c r="L15" s="25" t="s">
        <v>28</v>
      </c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50" t="s">
        <v>93</v>
      </c>
      <c r="D16" s="22" t="s">
        <v>110</v>
      </c>
      <c r="E16" s="53"/>
      <c r="F16" s="25" t="s">
        <v>41</v>
      </c>
      <c r="G16" s="46"/>
      <c r="H16" s="30">
        <v>50000.0</v>
      </c>
      <c r="I16" s="25" t="s">
        <v>30</v>
      </c>
      <c r="J16" s="25" t="s">
        <v>33</v>
      </c>
      <c r="K16" s="25" t="s">
        <v>33</v>
      </c>
      <c r="L16" s="25" t="s">
        <v>28</v>
      </c>
      <c r="M16" s="25" t="s">
        <v>43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68"/>
      <c r="D17" s="69"/>
      <c r="E17" s="53"/>
      <c r="F17" s="70"/>
      <c r="G17" s="27"/>
      <c r="H17" s="42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4">
        <f>SUM(G5:G17)</f>
        <v>405000</v>
      </c>
      <c r="H18" s="78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1" t="s">
        <v>0</v>
      </c>
      <c r="C21" s="72" t="s">
        <v>6</v>
      </c>
      <c r="D21" s="72" t="s">
        <v>115</v>
      </c>
      <c r="E21" s="1"/>
      <c r="F21" s="1"/>
      <c r="G21" s="1"/>
      <c r="H21" s="1"/>
      <c r="I21" s="1"/>
      <c r="J21" s="1"/>
      <c r="K21" s="1"/>
      <c r="L21" s="1"/>
      <c r="M21" s="1"/>
      <c r="N21" s="72" t="s">
        <v>117</v>
      </c>
      <c r="O21" s="72" t="s">
        <v>1</v>
      </c>
      <c r="P21" s="1"/>
      <c r="Q21" s="1"/>
      <c r="R21" s="1"/>
    </row>
    <row r="22" ht="15.75" customHeight="1">
      <c r="A22" s="1"/>
      <c r="B22" s="73">
        <v>1.0</v>
      </c>
      <c r="C22" s="74" t="s">
        <v>119</v>
      </c>
      <c r="D22" s="76">
        <f>SUM(G18)</f>
        <v>405000</v>
      </c>
      <c r="E22" s="77"/>
      <c r="F22" s="1"/>
      <c r="G22" s="1"/>
      <c r="H22" s="1"/>
      <c r="I22" s="1"/>
      <c r="J22" s="1"/>
      <c r="K22" s="1"/>
      <c r="L22" s="1"/>
      <c r="M22" s="1"/>
      <c r="N22" s="79" t="s">
        <v>123</v>
      </c>
      <c r="O22" s="81" t="s">
        <v>28</v>
      </c>
      <c r="P22" s="1"/>
      <c r="Q22" s="1"/>
      <c r="R22" s="1"/>
    </row>
    <row r="23" ht="15.75" customHeight="1">
      <c r="A23" s="1"/>
      <c r="B23" s="82">
        <v>2.0</v>
      </c>
      <c r="C23" s="91"/>
      <c r="D23" s="92"/>
      <c r="E23" s="77"/>
      <c r="F23" s="1"/>
      <c r="G23" s="1"/>
      <c r="H23" s="1"/>
      <c r="I23" s="1"/>
      <c r="J23" s="1"/>
      <c r="K23" s="1"/>
      <c r="L23" s="1"/>
      <c r="M23" s="1"/>
      <c r="N23" s="85" t="s">
        <v>129</v>
      </c>
      <c r="O23" s="86" t="s">
        <v>28</v>
      </c>
      <c r="P23" s="1"/>
      <c r="Q23" s="1"/>
      <c r="R23" s="1"/>
    </row>
    <row r="24" ht="15.75" customHeight="1">
      <c r="A24" s="1"/>
      <c r="B24" s="73">
        <v>3.0</v>
      </c>
      <c r="C24" s="74"/>
      <c r="D24" s="76"/>
      <c r="E24" s="77"/>
      <c r="F24" s="1"/>
      <c r="G24" s="1"/>
      <c r="H24" s="1"/>
      <c r="I24" s="1"/>
      <c r="J24" s="1"/>
      <c r="K24" s="1"/>
      <c r="L24" s="1"/>
      <c r="M24" s="1"/>
      <c r="N24" s="89" t="s">
        <v>134</v>
      </c>
      <c r="O24" s="90" t="s">
        <v>43</v>
      </c>
      <c r="P24" s="1"/>
      <c r="Q24" s="1"/>
      <c r="R24" s="1"/>
    </row>
    <row r="25" ht="15.75" customHeight="1">
      <c r="A25" s="1"/>
      <c r="B25" s="82">
        <v>4.0</v>
      </c>
      <c r="C25" s="98"/>
      <c r="D25" s="99"/>
      <c r="E25" s="77"/>
      <c r="F25" s="97"/>
      <c r="G25" s="1"/>
      <c r="H25" s="1"/>
      <c r="I25" s="1"/>
      <c r="J25" s="1"/>
      <c r="K25" s="1"/>
      <c r="L25" s="1"/>
      <c r="M25" s="1"/>
      <c r="N25" s="93" t="s">
        <v>137</v>
      </c>
      <c r="O25" s="86" t="s">
        <v>43</v>
      </c>
      <c r="P25" s="1"/>
      <c r="Q25" s="1"/>
      <c r="R25" s="1"/>
    </row>
    <row r="26" ht="15.75" customHeight="1">
      <c r="A26" s="1"/>
      <c r="B26" s="73">
        <v>5.0</v>
      </c>
      <c r="C26" s="74"/>
      <c r="D26" s="76"/>
      <c r="E26" s="77"/>
      <c r="F26" s="1"/>
      <c r="G26" s="1"/>
      <c r="H26" s="1"/>
      <c r="I26" s="1"/>
      <c r="J26" s="1"/>
      <c r="K26" s="1"/>
      <c r="L26" s="1"/>
      <c r="M26" s="1"/>
      <c r="N26" s="95"/>
      <c r="O26" s="1"/>
      <c r="P26" s="1"/>
      <c r="Q26" s="1"/>
      <c r="R26" s="1"/>
    </row>
    <row r="27" ht="15.75" customHeight="1">
      <c r="A27" s="1"/>
      <c r="B27" s="82">
        <v>6.0</v>
      </c>
      <c r="C27" s="98"/>
      <c r="D27" s="99"/>
      <c r="E27" s="77"/>
      <c r="F27" s="1"/>
      <c r="G27" s="1"/>
      <c r="H27" s="1"/>
      <c r="I27" s="1"/>
      <c r="J27" s="1"/>
      <c r="K27" s="100" t="s">
        <v>142</v>
      </c>
      <c r="Q27" s="1"/>
      <c r="R27" s="1"/>
    </row>
    <row r="28" ht="15.75" customHeight="1">
      <c r="A28" s="1"/>
      <c r="B28" s="73">
        <v>7.0</v>
      </c>
      <c r="C28" s="74"/>
      <c r="D28" s="76"/>
      <c r="E28" s="77"/>
      <c r="F28" s="1"/>
      <c r="G28" s="1"/>
      <c r="H28" s="1"/>
      <c r="I28" s="1"/>
      <c r="J28" s="1"/>
      <c r="K28" s="101" t="s">
        <v>1</v>
      </c>
      <c r="L28" s="101" t="s">
        <v>145</v>
      </c>
      <c r="M28" s="101" t="s">
        <v>146</v>
      </c>
      <c r="N28" s="101" t="s">
        <v>147</v>
      </c>
      <c r="O28" s="101" t="s">
        <v>148</v>
      </c>
      <c r="P28" s="101" t="s">
        <v>149</v>
      </c>
      <c r="Q28" s="1"/>
      <c r="R28" s="1"/>
      <c r="AC28" s="102" t="s">
        <v>150</v>
      </c>
      <c r="AD28" s="102" t="s">
        <v>151</v>
      </c>
      <c r="AE28" s="102" t="s">
        <v>153</v>
      </c>
      <c r="AF28" s="102" t="s">
        <v>155</v>
      </c>
      <c r="AG28" s="102" t="s">
        <v>156</v>
      </c>
    </row>
    <row r="29" ht="15.75" customHeight="1">
      <c r="A29" s="1"/>
      <c r="B29" s="82">
        <v>8.0</v>
      </c>
      <c r="C29" s="98"/>
      <c r="D29" s="99"/>
      <c r="E29" s="77"/>
      <c r="F29" s="1"/>
      <c r="G29" s="1"/>
      <c r="H29" s="1"/>
      <c r="I29" s="1"/>
      <c r="J29" s="1"/>
      <c r="K29" s="105" t="str">
        <f t="shared" ref="K29:K32" si="1">IF(O22="","",O22)</f>
        <v>AMEL</v>
      </c>
      <c r="L29" s="106">
        <v>4.0</v>
      </c>
      <c r="M29" s="106">
        <v>4.0</v>
      </c>
      <c r="N29" s="106">
        <v>4.0</v>
      </c>
      <c r="O29" s="106">
        <v>4.0</v>
      </c>
      <c r="P29" s="106">
        <v>4.0</v>
      </c>
      <c r="Q29" s="1"/>
      <c r="R29" s="1"/>
      <c r="AC29" s="102">
        <f t="shared" ref="AC29:AC34" si="2">IF(AG29="","",IF(COUNT(L29:P29)&lt;5,"",L29/5*20+M29/5*25+N29/5*25+O29/5*15+P29/5*15))</f>
        <v>80</v>
      </c>
      <c r="AD29" s="102" t="str">
        <f t="shared" ref="AD29:AD34" si="3">IF(AC29="","",IF(AC29&gt;=90,"Sangat Baik",IF(AC29&gt;=80,"Baik",IF(AC29&gt;=70,"Coaching","Underperform"))))</f>
        <v>Baik</v>
      </c>
      <c r="AE29" s="102" t="str">
        <f t="shared" ref="AE29:AE34" si="4">IF(AG29="","",IF(OR(AG29="INDAH",AG29="ADDEL",AG29="AMEL",AG29="PENTIL",AG29="JIJANG"),"Admin/CS","Fotografer"))</f>
        <v>Admin/CS</v>
      </c>
      <c r="AF29" s="102">
        <f t="shared" ref="AF29:AF34" si="5">IF(OR(AG29="",COUNT(L29:P29)&lt;5),"",1)</f>
        <v>1</v>
      </c>
      <c r="AG29" s="102" t="str">
        <f t="shared" ref="AG29:AG34" si="6">IFERROR(K29,"")</f>
        <v>AMEL</v>
      </c>
    </row>
    <row r="30" ht="15.75" customHeight="1">
      <c r="A30" s="1"/>
      <c r="B30" s="73">
        <v>9.0</v>
      </c>
      <c r="C30" s="74"/>
      <c r="D30" s="76"/>
      <c r="E30" s="77"/>
      <c r="F30" s="1"/>
      <c r="G30" s="1"/>
      <c r="H30" s="1"/>
      <c r="I30" s="1"/>
      <c r="J30" s="1"/>
      <c r="K30" s="105" t="str">
        <f t="shared" si="1"/>
        <v>AMEL</v>
      </c>
      <c r="L30" s="106">
        <v>4.0</v>
      </c>
      <c r="M30" s="106">
        <v>4.0</v>
      </c>
      <c r="N30" s="106">
        <v>4.0</v>
      </c>
      <c r="O30" s="106">
        <v>4.0</v>
      </c>
      <c r="P30" s="106">
        <v>4.0</v>
      </c>
      <c r="Q30" s="1"/>
      <c r="R30" s="1"/>
      <c r="AC30" s="102">
        <f t="shared" si="2"/>
        <v>80</v>
      </c>
      <c r="AD30" s="102" t="str">
        <f t="shared" si="3"/>
        <v>Baik</v>
      </c>
      <c r="AE30" s="102" t="str">
        <f t="shared" si="4"/>
        <v>Admin/CS</v>
      </c>
      <c r="AF30" s="102">
        <f t="shared" si="5"/>
        <v>1</v>
      </c>
      <c r="AG30" s="102" t="str">
        <f t="shared" si="6"/>
        <v>AMEL</v>
      </c>
    </row>
    <row r="31" ht="15.75" customHeight="1">
      <c r="A31" s="1"/>
      <c r="B31" s="82">
        <v>10.0</v>
      </c>
      <c r="C31" s="98"/>
      <c r="D31" s="99"/>
      <c r="E31" s="77"/>
      <c r="F31" s="1"/>
      <c r="G31" s="1"/>
      <c r="H31" s="1"/>
      <c r="I31" s="1"/>
      <c r="J31" s="1"/>
      <c r="K31" s="105" t="str">
        <f t="shared" si="1"/>
        <v>ADIF</v>
      </c>
      <c r="L31" s="106">
        <v>4.0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2">
        <f t="shared" si="2"/>
        <v>96</v>
      </c>
      <c r="AD31" s="102" t="str">
        <f t="shared" si="3"/>
        <v>Sangat Baik</v>
      </c>
      <c r="AE31" s="102" t="str">
        <f t="shared" si="4"/>
        <v>Fotografer</v>
      </c>
      <c r="AF31" s="102">
        <f t="shared" si="5"/>
        <v>1</v>
      </c>
      <c r="AG31" s="102" t="str">
        <f t="shared" si="6"/>
        <v>ADIF</v>
      </c>
    </row>
    <row r="32" ht="15.75" customHeight="1">
      <c r="A32" s="1"/>
      <c r="B32" s="112">
        <v>11.0</v>
      </c>
      <c r="C32" s="114"/>
      <c r="D32" s="115"/>
      <c r="E32" s="77"/>
      <c r="F32" s="1"/>
      <c r="G32" s="1"/>
      <c r="H32" s="1"/>
      <c r="I32" s="1"/>
      <c r="J32" s="1"/>
      <c r="K32" s="105" t="str">
        <f t="shared" si="1"/>
        <v>ADIF</v>
      </c>
      <c r="L32" s="106">
        <v>4.0</v>
      </c>
      <c r="M32" s="106">
        <v>5.0</v>
      </c>
      <c r="N32" s="106">
        <v>5.0</v>
      </c>
      <c r="O32" s="106">
        <v>5.0</v>
      </c>
      <c r="P32" s="106">
        <v>5.0</v>
      </c>
      <c r="Q32" s="1"/>
      <c r="R32" s="1"/>
      <c r="AC32" s="102">
        <f t="shared" si="2"/>
        <v>96</v>
      </c>
      <c r="AD32" s="102" t="str">
        <f t="shared" si="3"/>
        <v>Sangat Baik</v>
      </c>
      <c r="AE32" s="102" t="str">
        <f t="shared" si="4"/>
        <v>Fotografer</v>
      </c>
      <c r="AF32" s="102">
        <f t="shared" si="5"/>
        <v>1</v>
      </c>
      <c r="AG32" s="102" t="str">
        <f t="shared" si="6"/>
        <v>ADIF</v>
      </c>
    </row>
    <row r="33" ht="15.75" customHeight="1">
      <c r="A33" s="1"/>
      <c r="B33" s="1"/>
      <c r="C33" s="2"/>
      <c r="D33" s="116">
        <f>SUM(D22:D32)</f>
        <v>405000</v>
      </c>
      <c r="E33" s="1"/>
      <c r="F33" s="1"/>
      <c r="G33" s="1"/>
      <c r="H33" s="1"/>
      <c r="I33" s="1"/>
      <c r="J33" s="1"/>
      <c r="K33" s="105"/>
      <c r="L33" s="117"/>
      <c r="M33" s="117"/>
      <c r="N33" s="117"/>
      <c r="O33" s="117"/>
      <c r="P33" s="117"/>
      <c r="Q33" s="1"/>
      <c r="R33" s="1"/>
      <c r="AC33" s="102" t="str">
        <f t="shared" si="2"/>
        <v/>
      </c>
      <c r="AD33" s="102" t="str">
        <f t="shared" si="3"/>
        <v/>
      </c>
      <c r="AE33" s="102" t="str">
        <f t="shared" si="4"/>
        <v/>
      </c>
      <c r="AF33" s="102" t="str">
        <f t="shared" si="5"/>
        <v/>
      </c>
      <c r="AG33" s="102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5"/>
      <c r="L34" s="117"/>
      <c r="M34" s="117"/>
      <c r="N34" s="117"/>
      <c r="O34" s="117"/>
      <c r="P34" s="117"/>
      <c r="Q34" s="1"/>
      <c r="R34" s="1"/>
      <c r="AC34" s="102" t="str">
        <f t="shared" si="2"/>
        <v/>
      </c>
      <c r="AD34" s="102" t="str">
        <f t="shared" si="3"/>
        <v/>
      </c>
      <c r="AE34" s="102" t="str">
        <f t="shared" si="4"/>
        <v/>
      </c>
      <c r="AF34" s="102" t="str">
        <f t="shared" si="5"/>
        <v/>
      </c>
      <c r="AG34" s="102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0" t="s">
        <v>200</v>
      </c>
      <c r="N37" s="121"/>
      <c r="O37" s="1"/>
      <c r="P37" s="1"/>
      <c r="Q37" s="1"/>
      <c r="R37" s="1"/>
    </row>
    <row r="38" ht="15.75" customHeight="1">
      <c r="K38" s="122" t="s">
        <v>7</v>
      </c>
      <c r="L38" s="122" t="s">
        <v>201</v>
      </c>
      <c r="M38" s="122" t="s">
        <v>202</v>
      </c>
      <c r="N38" s="123" t="s">
        <v>203</v>
      </c>
    </row>
    <row r="39" ht="15.75" customHeight="1">
      <c r="K39" s="125" t="str">
        <f t="shared" ref="K39:K40" si="7">IF(O22="","",O22)</f>
        <v>AMEL</v>
      </c>
      <c r="L39" s="126">
        <v>5.0</v>
      </c>
      <c r="M39" s="126" t="s">
        <v>204</v>
      </c>
      <c r="N39" s="127">
        <v>4.0</v>
      </c>
    </row>
    <row r="40" ht="15.75" customHeight="1">
      <c r="K40" s="125" t="str">
        <f t="shared" si="7"/>
        <v>AMEL</v>
      </c>
      <c r="L40" s="128"/>
      <c r="M40" s="128"/>
      <c r="N40" s="129"/>
    </row>
    <row r="41" ht="15.75" customHeight="1"/>
    <row r="42" ht="19.5" customHeight="1">
      <c r="K42" s="130" t="s">
        <v>205</v>
      </c>
    </row>
    <row r="43" ht="19.5" customHeight="1">
      <c r="K43" s="131" t="s">
        <v>206</v>
      </c>
      <c r="M43" s="126">
        <v>34.0</v>
      </c>
    </row>
    <row r="44" ht="19.5" customHeight="1">
      <c r="K44" s="137" t="s">
        <v>209</v>
      </c>
      <c r="M44" s="139">
        <f>COUNTIF($I$4:$I$20,"DP")</f>
        <v>4</v>
      </c>
    </row>
    <row r="45" ht="19.5" customHeight="1">
      <c r="K45" s="137" t="s">
        <v>210</v>
      </c>
      <c r="M45" s="139">
        <f>COUNTIFS($I$4:$I$20,"&lt;&gt;DP",$I$4:$I$20,"&lt;&gt;")</f>
        <v>9</v>
      </c>
    </row>
    <row r="46" ht="19.5" customHeight="1">
      <c r="K46" s="140" t="s">
        <v>211</v>
      </c>
      <c r="M46" s="139">
        <f>M44+M45</f>
        <v>13</v>
      </c>
    </row>
    <row r="47" ht="19.5" customHeight="1">
      <c r="K47" s="131" t="s">
        <v>212</v>
      </c>
      <c r="M47" s="14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9" t="s">
        <v>19</v>
      </c>
      <c r="D4" s="22" t="s">
        <v>22</v>
      </c>
      <c r="E4" s="23"/>
      <c r="F4" s="25" t="s">
        <v>25</v>
      </c>
      <c r="G4" s="29"/>
      <c r="H4" s="30">
        <v>100000.0</v>
      </c>
      <c r="I4" s="25" t="s">
        <v>27</v>
      </c>
      <c r="J4" s="17"/>
      <c r="K4" s="17"/>
      <c r="L4" s="25" t="s">
        <v>28</v>
      </c>
      <c r="M4" s="17"/>
      <c r="N4" s="33"/>
      <c r="O4" s="33"/>
      <c r="P4" s="35"/>
      <c r="Q4" s="1"/>
      <c r="R4" s="1"/>
    </row>
    <row r="5" ht="15.75" customHeight="1">
      <c r="A5" s="1"/>
      <c r="B5" s="16">
        <v>2.0</v>
      </c>
      <c r="C5" s="37" t="s">
        <v>31</v>
      </c>
      <c r="D5" s="22" t="s">
        <v>34</v>
      </c>
      <c r="E5" s="38"/>
      <c r="F5" s="25" t="s">
        <v>37</v>
      </c>
      <c r="G5" s="39"/>
      <c r="H5" s="40">
        <v>100000.0</v>
      </c>
      <c r="I5" s="25" t="s">
        <v>27</v>
      </c>
      <c r="J5" s="17"/>
      <c r="K5" s="17"/>
      <c r="L5" s="25" t="s">
        <v>28</v>
      </c>
      <c r="M5" s="17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8" t="s">
        <v>47</v>
      </c>
      <c r="D6" s="22" t="s">
        <v>49</v>
      </c>
      <c r="E6" s="23"/>
      <c r="F6" s="25" t="s">
        <v>51</v>
      </c>
      <c r="G6" s="29"/>
      <c r="H6" s="30">
        <v>50000.0</v>
      </c>
      <c r="I6" s="25" t="s">
        <v>30</v>
      </c>
      <c r="J6" s="25" t="s">
        <v>33</v>
      </c>
      <c r="K6" s="25" t="s">
        <v>33</v>
      </c>
      <c r="L6" s="25" t="s">
        <v>28</v>
      </c>
      <c r="M6" s="17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8" t="s">
        <v>54</v>
      </c>
      <c r="D7" s="22" t="s">
        <v>23</v>
      </c>
      <c r="E7" s="38"/>
      <c r="F7" s="25" t="s">
        <v>42</v>
      </c>
      <c r="G7" s="29"/>
      <c r="H7" s="30">
        <v>100000.0</v>
      </c>
      <c r="I7" s="25" t="s">
        <v>27</v>
      </c>
      <c r="J7" s="17"/>
      <c r="K7" s="17"/>
      <c r="L7" s="25" t="s">
        <v>28</v>
      </c>
      <c r="M7" s="17"/>
      <c r="N7" s="43"/>
      <c r="O7" s="43"/>
      <c r="P7" s="43"/>
      <c r="Q7" s="1"/>
      <c r="R7" s="1"/>
    </row>
    <row r="8" ht="15.75" customHeight="1">
      <c r="A8" s="1"/>
      <c r="B8" s="16">
        <v>5.0</v>
      </c>
      <c r="C8" s="50" t="s">
        <v>62</v>
      </c>
      <c r="D8" s="22" t="s">
        <v>63</v>
      </c>
      <c r="E8" s="23"/>
      <c r="F8" s="25" t="s">
        <v>37</v>
      </c>
      <c r="G8" s="51"/>
      <c r="H8" s="40">
        <v>125000.0</v>
      </c>
      <c r="I8" s="25" t="s">
        <v>30</v>
      </c>
      <c r="J8" s="25" t="s">
        <v>33</v>
      </c>
      <c r="K8" s="25" t="s">
        <v>44</v>
      </c>
      <c r="L8" s="25" t="s">
        <v>28</v>
      </c>
      <c r="M8" s="25" t="s">
        <v>43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8" t="s">
        <v>71</v>
      </c>
      <c r="D9" s="22" t="s">
        <v>34</v>
      </c>
      <c r="E9" s="23"/>
      <c r="F9" s="54">
        <v>46305.0</v>
      </c>
      <c r="G9" s="39"/>
      <c r="H9" s="40">
        <v>100000.0</v>
      </c>
      <c r="I9" s="25" t="s">
        <v>27</v>
      </c>
      <c r="J9" s="17"/>
      <c r="K9" s="17"/>
      <c r="L9" s="25" t="s">
        <v>38</v>
      </c>
      <c r="M9" s="17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8" t="s">
        <v>77</v>
      </c>
      <c r="D10" s="22" t="s">
        <v>34</v>
      </c>
      <c r="E10" s="23"/>
      <c r="F10" s="54">
        <v>46297.0</v>
      </c>
      <c r="G10" s="55">
        <v>75000.0</v>
      </c>
      <c r="H10" s="42"/>
      <c r="I10" s="25" t="s">
        <v>30</v>
      </c>
      <c r="J10" s="17"/>
      <c r="K10" s="17"/>
      <c r="L10" s="25" t="s">
        <v>38</v>
      </c>
      <c r="M10" s="25" t="s">
        <v>60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5" t="s">
        <v>31</v>
      </c>
      <c r="D11" s="22" t="s">
        <v>34</v>
      </c>
      <c r="E11" s="23"/>
      <c r="F11" s="54">
        <v>46297.0</v>
      </c>
      <c r="G11" s="29"/>
      <c r="H11" s="30">
        <v>275000.0</v>
      </c>
      <c r="I11" s="25" t="s">
        <v>30</v>
      </c>
      <c r="J11" s="25" t="s">
        <v>33</v>
      </c>
      <c r="K11" s="25" t="s">
        <v>36</v>
      </c>
      <c r="L11" s="25" t="s">
        <v>38</v>
      </c>
      <c r="M11" s="25" t="s">
        <v>60</v>
      </c>
      <c r="N11" s="43"/>
      <c r="O11" s="43"/>
      <c r="P11" s="43"/>
      <c r="Q11" s="1"/>
      <c r="R11" s="1"/>
      <c r="S11" s="56"/>
    </row>
    <row r="12" ht="15.75" customHeight="1">
      <c r="A12" s="1"/>
      <c r="B12" s="16"/>
      <c r="C12" s="18" t="s">
        <v>88</v>
      </c>
      <c r="D12" s="22" t="s">
        <v>58</v>
      </c>
      <c r="E12" s="59"/>
      <c r="F12" s="54">
        <v>46297.0</v>
      </c>
      <c r="G12" s="29"/>
      <c r="H12" s="30">
        <v>100000.0</v>
      </c>
      <c r="I12" s="25" t="s">
        <v>30</v>
      </c>
      <c r="J12" s="25" t="s">
        <v>33</v>
      </c>
      <c r="K12" s="25" t="s">
        <v>33</v>
      </c>
      <c r="L12" s="25" t="s">
        <v>38</v>
      </c>
      <c r="M12" s="17"/>
      <c r="N12" s="43"/>
      <c r="O12" s="43"/>
      <c r="P12" s="43"/>
      <c r="Q12" s="1"/>
      <c r="R12" s="1"/>
    </row>
    <row r="13" ht="15.75" customHeight="1">
      <c r="A13" s="1"/>
      <c r="B13" s="16"/>
      <c r="C13" s="18" t="s">
        <v>91</v>
      </c>
      <c r="D13" s="22" t="s">
        <v>34</v>
      </c>
      <c r="E13" s="23"/>
      <c r="F13" s="54">
        <v>46297.0</v>
      </c>
      <c r="G13" s="29"/>
      <c r="H13" s="30">
        <v>100000.0</v>
      </c>
      <c r="I13" s="25" t="s">
        <v>30</v>
      </c>
      <c r="J13" s="25" t="s">
        <v>33</v>
      </c>
      <c r="K13" s="25" t="s">
        <v>33</v>
      </c>
      <c r="L13" s="25" t="s">
        <v>38</v>
      </c>
      <c r="M13" s="25" t="s">
        <v>60</v>
      </c>
      <c r="N13" s="43"/>
      <c r="O13" s="43"/>
      <c r="P13" s="43"/>
      <c r="Q13" s="1"/>
      <c r="R13" s="1"/>
    </row>
    <row r="14" ht="15.75" customHeight="1">
      <c r="A14" s="1"/>
      <c r="B14" s="16"/>
      <c r="C14" s="18" t="s">
        <v>88</v>
      </c>
      <c r="D14" s="22" t="s">
        <v>14</v>
      </c>
      <c r="E14" s="23"/>
      <c r="F14" s="54">
        <v>46297.0</v>
      </c>
      <c r="G14" s="29"/>
      <c r="H14" s="30">
        <v>50000.0</v>
      </c>
      <c r="I14" s="25" t="s">
        <v>30</v>
      </c>
      <c r="J14" s="25" t="s">
        <v>33</v>
      </c>
      <c r="K14" s="25" t="s">
        <v>36</v>
      </c>
      <c r="L14" s="25" t="s">
        <v>38</v>
      </c>
      <c r="M14" s="25" t="s">
        <v>60</v>
      </c>
      <c r="N14" s="43"/>
      <c r="O14" s="43"/>
      <c r="P14" s="43"/>
      <c r="Q14" s="1"/>
      <c r="R14" s="1"/>
    </row>
    <row r="15" ht="15.75" customHeight="1">
      <c r="A15" s="1"/>
      <c r="B15" s="16"/>
      <c r="C15" s="25" t="s">
        <v>100</v>
      </c>
      <c r="D15" s="22" t="s">
        <v>49</v>
      </c>
      <c r="E15" s="23"/>
      <c r="F15" s="54">
        <v>46297.0</v>
      </c>
      <c r="G15" s="29"/>
      <c r="H15" s="30">
        <v>40000.0</v>
      </c>
      <c r="I15" s="25" t="s">
        <v>30</v>
      </c>
      <c r="J15" s="17"/>
      <c r="K15" s="17"/>
      <c r="L15" s="25" t="s">
        <v>38</v>
      </c>
      <c r="M15" s="17"/>
      <c r="N15" s="43"/>
      <c r="O15" s="43"/>
      <c r="P15" s="43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4">
        <f>SUM(G3:G15)</f>
        <v>75000</v>
      </c>
      <c r="H16" s="65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1" t="s">
        <v>0</v>
      </c>
      <c r="C19" s="72" t="s">
        <v>6</v>
      </c>
      <c r="D19" s="72" t="s">
        <v>115</v>
      </c>
      <c r="E19" s="1"/>
      <c r="F19" s="1"/>
      <c r="G19" s="1"/>
      <c r="H19" s="1"/>
      <c r="I19" s="1"/>
      <c r="J19" s="1"/>
      <c r="K19" s="1"/>
      <c r="L19" s="1"/>
      <c r="M19" s="1"/>
      <c r="N19" s="72" t="s">
        <v>117</v>
      </c>
      <c r="O19" s="72" t="s">
        <v>1</v>
      </c>
      <c r="P19" s="1"/>
      <c r="Q19" s="1"/>
      <c r="R19" s="1"/>
    </row>
    <row r="20" ht="15.75" customHeight="1">
      <c r="A20" s="1"/>
      <c r="B20" s="73">
        <v>1.0</v>
      </c>
      <c r="C20" s="74" t="s">
        <v>119</v>
      </c>
      <c r="D20" s="76">
        <f>SUM(G16)</f>
        <v>75000</v>
      </c>
      <c r="E20" s="77"/>
      <c r="F20" s="1"/>
      <c r="G20" s="1"/>
      <c r="H20" s="1"/>
      <c r="I20" s="1"/>
      <c r="J20" s="1"/>
      <c r="K20" s="1"/>
      <c r="L20" s="1"/>
      <c r="N20" s="79" t="s">
        <v>123</v>
      </c>
      <c r="O20" s="81" t="s">
        <v>28</v>
      </c>
      <c r="P20" s="1"/>
      <c r="Q20" s="1"/>
      <c r="R20" s="1"/>
    </row>
    <row r="21" ht="15.75" customHeight="1">
      <c r="A21" s="1"/>
      <c r="B21" s="82">
        <v>2.0</v>
      </c>
      <c r="C21" s="83" t="s">
        <v>127</v>
      </c>
      <c r="D21" s="84">
        <v>-75000.0</v>
      </c>
      <c r="E21" s="77"/>
      <c r="F21" s="1"/>
      <c r="G21" s="1"/>
      <c r="H21" s="1"/>
      <c r="I21" s="1"/>
      <c r="J21" s="1"/>
      <c r="K21" s="1"/>
      <c r="L21" s="1"/>
      <c r="N21" s="85" t="s">
        <v>129</v>
      </c>
      <c r="O21" s="86" t="s">
        <v>38</v>
      </c>
      <c r="P21" s="1"/>
      <c r="Q21" s="1"/>
      <c r="R21" s="1"/>
    </row>
    <row r="22" ht="15.75" customHeight="1">
      <c r="A22" s="1"/>
      <c r="B22" s="73">
        <v>3.0</v>
      </c>
      <c r="C22" s="87"/>
      <c r="D22" s="88"/>
      <c r="E22" s="77"/>
      <c r="F22" s="1"/>
      <c r="G22" s="1"/>
      <c r="H22" s="1"/>
      <c r="I22" s="1"/>
      <c r="J22" s="1"/>
      <c r="K22" s="1"/>
      <c r="L22" s="1"/>
      <c r="M22" s="1"/>
      <c r="N22" s="89" t="s">
        <v>134</v>
      </c>
      <c r="O22" s="90" t="s">
        <v>43</v>
      </c>
      <c r="P22" s="1"/>
      <c r="Q22" s="1"/>
      <c r="R22" s="1"/>
    </row>
    <row r="23" ht="15.75" customHeight="1">
      <c r="A23" s="1"/>
      <c r="B23" s="82">
        <v>4.0</v>
      </c>
      <c r="C23" s="91"/>
      <c r="D23" s="92"/>
      <c r="E23" s="77"/>
      <c r="F23" s="1"/>
      <c r="G23" s="1"/>
      <c r="H23" s="1"/>
      <c r="I23" s="1"/>
      <c r="J23" s="1"/>
      <c r="K23" s="1"/>
      <c r="L23" s="1"/>
      <c r="M23" s="1"/>
      <c r="N23" s="93" t="s">
        <v>137</v>
      </c>
      <c r="O23" s="86" t="s">
        <v>60</v>
      </c>
      <c r="P23" s="1"/>
      <c r="Q23" s="1"/>
      <c r="R23" s="1"/>
    </row>
    <row r="24" ht="15.75" customHeight="1">
      <c r="A24" s="1"/>
      <c r="B24" s="73">
        <v>5.0</v>
      </c>
      <c r="C24" s="87"/>
      <c r="D24" s="88"/>
      <c r="E24" s="77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</row>
    <row r="25" ht="15.75" customHeight="1">
      <c r="A25" s="1"/>
      <c r="B25" s="82">
        <v>6.0</v>
      </c>
      <c r="C25" s="91"/>
      <c r="D25" s="92"/>
      <c r="E25" s="77"/>
      <c r="F25" s="97"/>
      <c r="G25" s="1"/>
      <c r="H25" s="1"/>
      <c r="I25" s="1"/>
      <c r="J25" s="1"/>
      <c r="K25" s="100" t="s">
        <v>142</v>
      </c>
      <c r="Q25" s="1"/>
      <c r="R25" s="1"/>
    </row>
    <row r="26" ht="15.75" customHeight="1">
      <c r="A26" s="1"/>
      <c r="B26" s="73">
        <v>7.0</v>
      </c>
      <c r="C26" s="74"/>
      <c r="D26" s="76"/>
      <c r="E26" s="77"/>
      <c r="F26" s="97"/>
      <c r="G26" s="1"/>
      <c r="H26" s="1"/>
      <c r="I26" s="1"/>
      <c r="J26" s="1"/>
      <c r="K26" s="101" t="s">
        <v>1</v>
      </c>
      <c r="L26" s="101" t="s">
        <v>145</v>
      </c>
      <c r="M26" s="101" t="s">
        <v>146</v>
      </c>
      <c r="N26" s="101" t="s">
        <v>147</v>
      </c>
      <c r="O26" s="101" t="s">
        <v>148</v>
      </c>
      <c r="P26" s="101" t="s">
        <v>149</v>
      </c>
      <c r="Q26" s="1"/>
      <c r="R26" s="1"/>
      <c r="AC26" s="102" t="s">
        <v>150</v>
      </c>
      <c r="AD26" s="102" t="s">
        <v>151</v>
      </c>
      <c r="AE26" s="102" t="s">
        <v>153</v>
      </c>
      <c r="AF26" s="102" t="s">
        <v>155</v>
      </c>
      <c r="AG26" s="102" t="s">
        <v>156</v>
      </c>
    </row>
    <row r="27" ht="15.75" customHeight="1">
      <c r="A27" s="1"/>
      <c r="B27" s="82">
        <v>8.0</v>
      </c>
      <c r="C27" s="98"/>
      <c r="D27" s="99"/>
      <c r="E27" s="77"/>
      <c r="F27" s="1"/>
      <c r="G27" s="1"/>
      <c r="H27" s="1"/>
      <c r="I27" s="1"/>
      <c r="J27" s="1"/>
      <c r="K27" s="105" t="str">
        <f t="shared" ref="K27:K30" si="1">IF(O20="","",O20)</f>
        <v>AMEL</v>
      </c>
      <c r="L27" s="106">
        <v>5.0</v>
      </c>
      <c r="M27" s="106">
        <v>5.0</v>
      </c>
      <c r="N27" s="106">
        <v>5.0</v>
      </c>
      <c r="O27" s="106">
        <v>5.0</v>
      </c>
      <c r="P27" s="106">
        <v>5.0</v>
      </c>
      <c r="Q27" s="1"/>
      <c r="R27" s="1"/>
      <c r="AC27" s="102">
        <f t="shared" ref="AC27:AC32" si="2">IF(AG27="","",IF(COUNT(L27:P27)&lt;5,"",L27/5*20+M27/5*25+N27/5*25+O27/5*15+P27/5*15))</f>
        <v>100</v>
      </c>
      <c r="AD27" s="102" t="str">
        <f t="shared" ref="AD27:AD32" si="3">IF(AC27="","",IF(AC27&gt;=90,"Sangat Baik",IF(AC27&gt;=80,"Baik",IF(AC27&gt;=70,"Coaching","Underperform"))))</f>
        <v>Sangat Baik</v>
      </c>
      <c r="AE27" s="102" t="str">
        <f t="shared" ref="AE27:AE32" si="4">IF(AG27="","",IF(OR(AG27="INDAH",AG27="ADDEL",AG27="AMEL",AG27="PENTIL",AG27="JIJANG"),"Admin/CS","Fotografer"))</f>
        <v>Admin/CS</v>
      </c>
      <c r="AF27" s="102">
        <f t="shared" ref="AF27:AF32" si="5">IF(OR(AG27="",COUNT(L27:P27)&lt;5),"",1)</f>
        <v>1</v>
      </c>
      <c r="AG27" s="102" t="str">
        <f t="shared" ref="AG27:AG32" si="6">IFERROR(K27,"")</f>
        <v>AMEL</v>
      </c>
    </row>
    <row r="28" ht="15.75" customHeight="1">
      <c r="A28" s="1"/>
      <c r="B28" s="73">
        <v>9.0</v>
      </c>
      <c r="C28" s="74"/>
      <c r="D28" s="76"/>
      <c r="E28" s="77"/>
      <c r="F28" s="1"/>
      <c r="G28" s="1"/>
      <c r="H28" s="1"/>
      <c r="I28" s="1"/>
      <c r="J28" s="1"/>
      <c r="K28" s="105" t="str">
        <f t="shared" si="1"/>
        <v>INDAH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AC28" s="102">
        <f t="shared" si="2"/>
        <v>100</v>
      </c>
      <c r="AD28" s="102" t="str">
        <f t="shared" si="3"/>
        <v>Sangat Baik</v>
      </c>
      <c r="AE28" s="102" t="str">
        <f t="shared" si="4"/>
        <v>Admin/CS</v>
      </c>
      <c r="AF28" s="102">
        <f t="shared" si="5"/>
        <v>1</v>
      </c>
      <c r="AG28" s="102" t="str">
        <f t="shared" si="6"/>
        <v>INDAH</v>
      </c>
    </row>
    <row r="29" ht="15.75" customHeight="1">
      <c r="A29" s="1"/>
      <c r="B29" s="82">
        <v>10.0</v>
      </c>
      <c r="C29" s="98"/>
      <c r="D29" s="99"/>
      <c r="E29" s="77"/>
      <c r="F29" s="1"/>
      <c r="G29" s="1"/>
      <c r="H29" s="1"/>
      <c r="I29" s="1"/>
      <c r="J29" s="1"/>
      <c r="K29" s="105" t="str">
        <f t="shared" si="1"/>
        <v>ADIF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AC29" s="102">
        <f t="shared" si="2"/>
        <v>100</v>
      </c>
      <c r="AD29" s="102" t="str">
        <f t="shared" si="3"/>
        <v>Sangat Baik</v>
      </c>
      <c r="AE29" s="102" t="str">
        <f t="shared" si="4"/>
        <v>Fotografer</v>
      </c>
      <c r="AF29" s="102">
        <f t="shared" si="5"/>
        <v>1</v>
      </c>
      <c r="AG29" s="102" t="str">
        <f t="shared" si="6"/>
        <v>ADIF</v>
      </c>
    </row>
    <row r="30" ht="15.75" customHeight="1">
      <c r="A30" s="1"/>
      <c r="B30" s="112">
        <v>11.0</v>
      </c>
      <c r="C30" s="114"/>
      <c r="D30" s="115"/>
      <c r="E30" s="77"/>
      <c r="F30" s="1"/>
      <c r="G30" s="1"/>
      <c r="H30" s="1"/>
      <c r="I30" s="1"/>
      <c r="J30" s="1"/>
      <c r="K30" s="105" t="str">
        <f t="shared" si="1"/>
        <v>SAKA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AC30" s="102">
        <f t="shared" si="2"/>
        <v>100</v>
      </c>
      <c r="AD30" s="102" t="str">
        <f t="shared" si="3"/>
        <v>Sangat Baik</v>
      </c>
      <c r="AE30" s="102" t="str">
        <f t="shared" si="4"/>
        <v>Fotografer</v>
      </c>
      <c r="AF30" s="102">
        <f t="shared" si="5"/>
        <v>1</v>
      </c>
      <c r="AG30" s="102" t="str">
        <f t="shared" si="6"/>
        <v>SAKA</v>
      </c>
    </row>
    <row r="31" ht="15.75" customHeight="1">
      <c r="A31" s="1"/>
      <c r="B31" s="1"/>
      <c r="C31" s="2"/>
      <c r="D31" s="116">
        <f>SUM(D20:D30)</f>
        <v>0</v>
      </c>
      <c r="E31" s="1"/>
      <c r="F31" s="1"/>
      <c r="G31" s="1"/>
      <c r="H31" s="1"/>
      <c r="I31" s="1"/>
      <c r="J31" s="1"/>
      <c r="K31" s="105"/>
      <c r="L31" s="117"/>
      <c r="M31" s="117"/>
      <c r="N31" s="117"/>
      <c r="O31" s="117"/>
      <c r="P31" s="117"/>
      <c r="Q31" s="1"/>
      <c r="R31" s="1"/>
      <c r="AC31" s="102" t="str">
        <f t="shared" si="2"/>
        <v/>
      </c>
      <c r="AD31" s="102" t="str">
        <f t="shared" si="3"/>
        <v/>
      </c>
      <c r="AE31" s="102" t="str">
        <f t="shared" si="4"/>
        <v/>
      </c>
      <c r="AF31" s="102" t="str">
        <f t="shared" si="5"/>
        <v/>
      </c>
      <c r="AG31" s="102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5"/>
      <c r="L32" s="117"/>
      <c r="M32" s="117"/>
      <c r="N32" s="117"/>
      <c r="O32" s="117"/>
      <c r="P32" s="117"/>
      <c r="Q32" s="1"/>
      <c r="R32" s="1"/>
      <c r="AC32" s="102" t="str">
        <f t="shared" si="2"/>
        <v/>
      </c>
      <c r="AD32" s="102" t="str">
        <f t="shared" si="3"/>
        <v/>
      </c>
      <c r="AE32" s="102" t="str">
        <f t="shared" si="4"/>
        <v/>
      </c>
      <c r="AF32" s="102" t="str">
        <f t="shared" si="5"/>
        <v/>
      </c>
      <c r="AG32" s="102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199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0" t="s">
        <v>200</v>
      </c>
      <c r="N35" s="1"/>
      <c r="O35" s="1"/>
      <c r="P35" s="1"/>
      <c r="Q35" s="1"/>
      <c r="R35" s="1"/>
    </row>
    <row r="36" ht="15.75" customHeight="1">
      <c r="K36" s="122" t="s">
        <v>7</v>
      </c>
      <c r="L36" s="122" t="s">
        <v>201</v>
      </c>
      <c r="M36" s="122" t="s">
        <v>202</v>
      </c>
    </row>
    <row r="37" ht="15.75" customHeight="1">
      <c r="K37" s="125" t="str">
        <f t="shared" ref="K37:K38" si="7">IF(O20="","",O20)</f>
        <v>AMEL</v>
      </c>
      <c r="L37" s="126">
        <v>3.0</v>
      </c>
      <c r="M37" s="128"/>
    </row>
    <row r="38" ht="15.75" customHeight="1">
      <c r="K38" s="125" t="str">
        <f t="shared" si="7"/>
        <v>INDAH</v>
      </c>
      <c r="L38" s="126">
        <v>2.0</v>
      </c>
      <c r="M38" s="128"/>
    </row>
    <row r="39" ht="15.75" customHeight="1"/>
    <row r="40" ht="19.5" customHeight="1">
      <c r="K40" s="130" t="s">
        <v>205</v>
      </c>
    </row>
    <row r="41" ht="19.5" customHeight="1">
      <c r="K41" s="131" t="s">
        <v>206</v>
      </c>
      <c r="M41" s="126">
        <v>39.0</v>
      </c>
    </row>
    <row r="42" ht="19.5" customHeight="1">
      <c r="K42" s="137" t="s">
        <v>209</v>
      </c>
      <c r="M42" s="139">
        <f>COUNTIF($I$4:$I$18,"DP")</f>
        <v>4</v>
      </c>
    </row>
    <row r="43" ht="19.5" customHeight="1">
      <c r="K43" s="137" t="s">
        <v>210</v>
      </c>
      <c r="M43" s="139">
        <f>COUNTIFS($I$4:$I$18,"&lt;&gt;DP",$I$4:$I$18,"&lt;&gt;")</f>
        <v>8</v>
      </c>
    </row>
    <row r="44" ht="19.5" customHeight="1">
      <c r="K44" s="140" t="s">
        <v>211</v>
      </c>
      <c r="M44" s="139">
        <f>M42+M43</f>
        <v>12</v>
      </c>
    </row>
    <row r="45" ht="19.5" customHeight="1">
      <c r="K45" s="131" t="s">
        <v>212</v>
      </c>
      <c r="M45" s="14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9" t="s">
        <v>10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0" t="s">
        <v>21</v>
      </c>
      <c r="D4" s="20" t="s">
        <v>23</v>
      </c>
      <c r="E4" s="23"/>
      <c r="F4" s="25" t="s">
        <v>24</v>
      </c>
      <c r="G4" s="26"/>
      <c r="H4" s="28">
        <v>100000.0</v>
      </c>
      <c r="I4" s="31" t="s">
        <v>27</v>
      </c>
      <c r="J4" s="16"/>
      <c r="K4" s="16"/>
      <c r="L4" s="31" t="s">
        <v>28</v>
      </c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20" t="s">
        <v>29</v>
      </c>
      <c r="D5" s="20" t="s">
        <v>23</v>
      </c>
      <c r="E5" s="23"/>
      <c r="F5" s="25" t="s">
        <v>32</v>
      </c>
      <c r="G5" s="26"/>
      <c r="H5" s="28">
        <v>100000.0</v>
      </c>
      <c r="I5" s="31" t="s">
        <v>27</v>
      </c>
      <c r="J5" s="16"/>
      <c r="K5" s="16"/>
      <c r="L5" s="31" t="s">
        <v>28</v>
      </c>
      <c r="M5" s="16"/>
      <c r="N5" s="33"/>
      <c r="O5" s="33"/>
      <c r="P5" s="35"/>
      <c r="Q5" s="1"/>
      <c r="R5" s="1"/>
    </row>
    <row r="6" ht="15.75" customHeight="1">
      <c r="A6" s="1"/>
      <c r="B6" s="16">
        <v>3.0</v>
      </c>
      <c r="C6" s="20" t="s">
        <v>40</v>
      </c>
      <c r="D6" s="20" t="s">
        <v>23</v>
      </c>
      <c r="E6" s="23"/>
      <c r="F6" s="25" t="s">
        <v>42</v>
      </c>
      <c r="G6" s="26"/>
      <c r="H6" s="28">
        <v>250000.0</v>
      </c>
      <c r="I6" s="31" t="s">
        <v>30</v>
      </c>
      <c r="J6" s="31" t="s">
        <v>33</v>
      </c>
      <c r="K6" s="31" t="s">
        <v>36</v>
      </c>
      <c r="L6" s="31" t="s">
        <v>28</v>
      </c>
      <c r="M6" s="31" t="s">
        <v>43</v>
      </c>
      <c r="N6" s="33"/>
      <c r="O6" s="33"/>
      <c r="P6" s="35"/>
      <c r="Q6" s="1"/>
      <c r="R6" s="1"/>
    </row>
    <row r="7" ht="15.75" customHeight="1">
      <c r="A7" s="1"/>
      <c r="B7" s="16">
        <v>4.0</v>
      </c>
      <c r="C7" s="20" t="s">
        <v>45</v>
      </c>
      <c r="D7" s="20" t="s">
        <v>23</v>
      </c>
      <c r="E7" s="23"/>
      <c r="F7" s="25" t="s">
        <v>42</v>
      </c>
      <c r="G7" s="44">
        <v>250000.0</v>
      </c>
      <c r="H7" s="45"/>
      <c r="I7" s="31" t="s">
        <v>30</v>
      </c>
      <c r="J7" s="31" t="s">
        <v>33</v>
      </c>
      <c r="K7" s="31" t="s">
        <v>36</v>
      </c>
      <c r="L7" s="31" t="s">
        <v>28</v>
      </c>
      <c r="M7" s="31" t="s">
        <v>53</v>
      </c>
      <c r="N7" s="33"/>
      <c r="O7" s="33"/>
      <c r="P7" s="35"/>
      <c r="Q7" s="1"/>
      <c r="R7" s="1"/>
    </row>
    <row r="8" ht="15.75" customHeight="1">
      <c r="A8" s="1"/>
      <c r="B8" s="16">
        <v>5.0</v>
      </c>
      <c r="C8" s="20" t="s">
        <v>55</v>
      </c>
      <c r="D8" s="20" t="s">
        <v>22</v>
      </c>
      <c r="E8" s="23"/>
      <c r="F8" s="25" t="s">
        <v>42</v>
      </c>
      <c r="G8" s="44">
        <v>400000.0</v>
      </c>
      <c r="H8" s="45"/>
      <c r="I8" s="31" t="s">
        <v>30</v>
      </c>
      <c r="J8" s="31" t="s">
        <v>33</v>
      </c>
      <c r="K8" s="31" t="s">
        <v>36</v>
      </c>
      <c r="L8" s="31" t="s">
        <v>28</v>
      </c>
      <c r="M8" s="31" t="s">
        <v>60</v>
      </c>
      <c r="N8" s="33"/>
      <c r="O8" s="33"/>
      <c r="P8" s="35"/>
      <c r="Q8" s="1"/>
      <c r="R8" s="1"/>
    </row>
    <row r="9" ht="15.75" customHeight="1">
      <c r="A9" s="1"/>
      <c r="B9" s="16">
        <v>6.0</v>
      </c>
      <c r="C9" s="49" t="s">
        <v>61</v>
      </c>
      <c r="D9" s="20" t="s">
        <v>23</v>
      </c>
      <c r="E9" s="23"/>
      <c r="F9" s="25" t="s">
        <v>42</v>
      </c>
      <c r="G9" s="44">
        <v>250000.0</v>
      </c>
      <c r="H9" s="45"/>
      <c r="I9" s="31" t="s">
        <v>30</v>
      </c>
      <c r="J9" s="31" t="s">
        <v>33</v>
      </c>
      <c r="K9" s="16"/>
      <c r="L9" s="31" t="s">
        <v>28</v>
      </c>
      <c r="M9" s="31" t="s">
        <v>43</v>
      </c>
      <c r="N9" s="33"/>
      <c r="O9" s="33"/>
      <c r="P9" s="35"/>
      <c r="Q9" s="1"/>
      <c r="R9" s="1"/>
    </row>
    <row r="10" ht="15.75" customHeight="1">
      <c r="A10" s="1"/>
      <c r="B10" s="16">
        <v>7.0</v>
      </c>
      <c r="C10" s="52" t="s">
        <v>67</v>
      </c>
      <c r="D10" s="20" t="s">
        <v>22</v>
      </c>
      <c r="E10" s="23"/>
      <c r="F10" s="17"/>
      <c r="G10" s="44">
        <v>400000.0</v>
      </c>
      <c r="H10" s="45"/>
      <c r="I10" s="31" t="s">
        <v>30</v>
      </c>
      <c r="J10" s="31" t="s">
        <v>33</v>
      </c>
      <c r="K10" s="16"/>
      <c r="L10" s="16"/>
      <c r="M10" s="31" t="s">
        <v>53</v>
      </c>
      <c r="N10" s="33"/>
      <c r="O10" s="33"/>
      <c r="P10" s="35"/>
      <c r="Q10" s="1"/>
      <c r="R10" s="1"/>
    </row>
    <row r="11" ht="15.75" customHeight="1">
      <c r="A11" s="1"/>
      <c r="B11" s="16">
        <v>8.0</v>
      </c>
      <c r="C11" s="20" t="s">
        <v>74</v>
      </c>
      <c r="D11" s="20" t="s">
        <v>23</v>
      </c>
      <c r="E11" s="23"/>
      <c r="F11" s="17"/>
      <c r="G11" s="44">
        <v>290000.0</v>
      </c>
      <c r="H11" s="45"/>
      <c r="I11" s="31" t="s">
        <v>30</v>
      </c>
      <c r="J11" s="16"/>
      <c r="K11" s="16"/>
      <c r="L11" s="16"/>
      <c r="M11" s="31" t="s">
        <v>53</v>
      </c>
      <c r="N11" s="33"/>
      <c r="O11" s="33"/>
      <c r="P11" s="35"/>
      <c r="Q11" s="1"/>
      <c r="R11" s="1"/>
    </row>
    <row r="12" ht="15.75" customHeight="1">
      <c r="A12" s="1"/>
      <c r="B12" s="16">
        <v>9.0</v>
      </c>
      <c r="C12" s="20" t="s">
        <v>78</v>
      </c>
      <c r="D12" s="20" t="s">
        <v>23</v>
      </c>
      <c r="E12" s="23"/>
      <c r="F12" s="17"/>
      <c r="G12" s="44">
        <v>350000.0</v>
      </c>
      <c r="H12" s="45"/>
      <c r="I12" s="31" t="s">
        <v>30</v>
      </c>
      <c r="J12" s="16"/>
      <c r="K12" s="16"/>
      <c r="L12" s="16"/>
      <c r="M12" s="31" t="s">
        <v>43</v>
      </c>
      <c r="N12" s="33"/>
      <c r="O12" s="33"/>
      <c r="P12" s="35"/>
      <c r="Q12" s="1"/>
      <c r="R12" s="1"/>
    </row>
    <row r="13" ht="15.75" customHeight="1">
      <c r="A13" s="1"/>
      <c r="B13" s="16">
        <v>10.0</v>
      </c>
      <c r="C13" s="20" t="s">
        <v>80</v>
      </c>
      <c r="D13" s="20" t="s">
        <v>23</v>
      </c>
      <c r="E13" s="23"/>
      <c r="F13" s="17"/>
      <c r="G13" s="44">
        <v>250000.0</v>
      </c>
      <c r="H13" s="45"/>
      <c r="I13" s="31" t="s">
        <v>30</v>
      </c>
      <c r="J13" s="16"/>
      <c r="K13" s="16"/>
      <c r="L13" s="16"/>
      <c r="M13" s="31" t="s">
        <v>84</v>
      </c>
      <c r="N13" s="33"/>
      <c r="O13" s="33"/>
      <c r="P13" s="35"/>
      <c r="Q13" s="1"/>
      <c r="R13" s="1"/>
    </row>
    <row r="14" ht="15.75" customHeight="1">
      <c r="A14" s="1"/>
      <c r="B14" s="16">
        <v>11.0</v>
      </c>
      <c r="C14" s="20" t="s">
        <v>85</v>
      </c>
      <c r="D14" s="20" t="s">
        <v>23</v>
      </c>
      <c r="E14" s="23"/>
      <c r="F14" s="17"/>
      <c r="G14" s="44"/>
      <c r="H14" s="28">
        <v>310000.0</v>
      </c>
      <c r="I14" s="31" t="s">
        <v>30</v>
      </c>
      <c r="J14" s="16"/>
      <c r="K14" s="16"/>
      <c r="L14" s="16"/>
      <c r="M14" s="31" t="s">
        <v>60</v>
      </c>
      <c r="N14" s="33"/>
      <c r="O14" s="33"/>
      <c r="P14" s="35"/>
      <c r="Q14" s="1"/>
      <c r="R14" s="1"/>
    </row>
    <row r="15" ht="15.75" customHeight="1">
      <c r="A15" s="1"/>
      <c r="B15" s="16">
        <v>12.0</v>
      </c>
      <c r="C15" s="58" t="s">
        <v>87</v>
      </c>
      <c r="D15" s="20" t="s">
        <v>23</v>
      </c>
      <c r="E15" s="23"/>
      <c r="F15" s="17"/>
      <c r="G15" s="26"/>
      <c r="H15" s="28">
        <v>290000.0</v>
      </c>
      <c r="I15" s="31" t="s">
        <v>30</v>
      </c>
      <c r="J15" s="31" t="s">
        <v>33</v>
      </c>
      <c r="K15" s="31" t="s">
        <v>36</v>
      </c>
      <c r="L15" s="16"/>
      <c r="M15" s="31" t="s">
        <v>53</v>
      </c>
      <c r="N15" s="33"/>
      <c r="O15" s="33"/>
      <c r="P15" s="35"/>
      <c r="Q15" s="1"/>
      <c r="R15" s="1"/>
    </row>
    <row r="16" ht="15.75" customHeight="1">
      <c r="A16" s="1"/>
      <c r="B16" s="16">
        <v>13.0</v>
      </c>
      <c r="C16" s="20" t="s">
        <v>90</v>
      </c>
      <c r="D16" s="20" t="s">
        <v>23</v>
      </c>
      <c r="E16" s="23"/>
      <c r="F16" s="17"/>
      <c r="G16" s="26"/>
      <c r="H16" s="28">
        <v>250000.0</v>
      </c>
      <c r="I16" s="31" t="s">
        <v>30</v>
      </c>
      <c r="J16" s="31" t="s">
        <v>33</v>
      </c>
      <c r="K16" s="31" t="s">
        <v>36</v>
      </c>
      <c r="L16" s="16"/>
      <c r="M16" s="31" t="s">
        <v>84</v>
      </c>
      <c r="N16" s="33"/>
      <c r="O16" s="33"/>
      <c r="P16" s="35"/>
      <c r="Q16" s="1"/>
      <c r="R16" s="1"/>
    </row>
    <row r="17" ht="15.75" customHeight="1">
      <c r="A17" s="1"/>
      <c r="B17" s="16">
        <v>14.0</v>
      </c>
      <c r="C17" s="20" t="s">
        <v>94</v>
      </c>
      <c r="D17" s="20" t="s">
        <v>22</v>
      </c>
      <c r="E17" s="23"/>
      <c r="F17" s="17"/>
      <c r="G17" s="26"/>
      <c r="H17" s="28">
        <v>450000.0</v>
      </c>
      <c r="I17" s="31" t="s">
        <v>30</v>
      </c>
      <c r="J17" s="31" t="s">
        <v>33</v>
      </c>
      <c r="K17" s="31" t="s">
        <v>36</v>
      </c>
      <c r="L17" s="16"/>
      <c r="M17" s="31" t="s">
        <v>53</v>
      </c>
      <c r="N17" s="33"/>
      <c r="O17" s="33"/>
      <c r="P17" s="35"/>
      <c r="Q17" s="1"/>
      <c r="R17" s="1"/>
    </row>
    <row r="18" ht="15.75" customHeight="1">
      <c r="A18" s="1"/>
      <c r="B18" s="16">
        <v>15.0</v>
      </c>
      <c r="C18" s="20" t="s">
        <v>97</v>
      </c>
      <c r="D18" s="20" t="s">
        <v>23</v>
      </c>
      <c r="E18" s="23"/>
      <c r="F18" s="17"/>
      <c r="G18" s="44">
        <v>250000.0</v>
      </c>
      <c r="H18" s="45"/>
      <c r="I18" s="31" t="s">
        <v>30</v>
      </c>
      <c r="J18" s="16"/>
      <c r="K18" s="16"/>
      <c r="L18" s="16"/>
      <c r="M18" s="31" t="s">
        <v>43</v>
      </c>
      <c r="N18" s="33"/>
      <c r="O18" s="33"/>
      <c r="P18" s="35"/>
      <c r="Q18" s="1"/>
      <c r="R18" s="1"/>
    </row>
    <row r="19" ht="15.75" customHeight="1">
      <c r="A19" s="1"/>
      <c r="B19" s="16">
        <v>16.0</v>
      </c>
      <c r="C19" s="20" t="s">
        <v>103</v>
      </c>
      <c r="D19" s="20" t="s">
        <v>23</v>
      </c>
      <c r="E19" s="23"/>
      <c r="F19" s="25" t="s">
        <v>42</v>
      </c>
      <c r="G19" s="44">
        <v>290000.0</v>
      </c>
      <c r="H19" s="45"/>
      <c r="I19" s="31" t="s">
        <v>30</v>
      </c>
      <c r="J19" s="31" t="s">
        <v>33</v>
      </c>
      <c r="K19" s="31" t="s">
        <v>36</v>
      </c>
      <c r="L19" s="16"/>
      <c r="M19" s="31" t="s">
        <v>60</v>
      </c>
      <c r="N19" s="33"/>
      <c r="O19" s="33"/>
      <c r="P19" s="35"/>
      <c r="Q19" s="1"/>
      <c r="R19" s="1"/>
    </row>
    <row r="20" ht="15.75" customHeight="1">
      <c r="A20" s="1"/>
      <c r="B20" s="16">
        <v>17.0</v>
      </c>
      <c r="C20" s="63" t="s">
        <v>105</v>
      </c>
      <c r="D20" s="20" t="s">
        <v>23</v>
      </c>
      <c r="E20" s="23"/>
      <c r="F20" s="17"/>
      <c r="G20" s="26"/>
      <c r="H20" s="28">
        <v>260000.0</v>
      </c>
      <c r="I20" s="31" t="s">
        <v>30</v>
      </c>
      <c r="J20" s="16"/>
      <c r="K20" s="16"/>
      <c r="L20" s="16"/>
      <c r="M20" s="31" t="s">
        <v>84</v>
      </c>
      <c r="N20" s="33"/>
      <c r="O20" s="33"/>
      <c r="P20" s="35"/>
      <c r="Q20" s="1"/>
      <c r="R20" s="1"/>
    </row>
    <row r="21" ht="15.75" customHeight="1">
      <c r="A21" s="1"/>
      <c r="B21" s="16">
        <v>18.0</v>
      </c>
      <c r="C21" s="20" t="s">
        <v>108</v>
      </c>
      <c r="D21" s="20" t="s">
        <v>23</v>
      </c>
      <c r="E21" s="23"/>
      <c r="G21" s="26"/>
      <c r="H21" s="28">
        <v>250000.0</v>
      </c>
      <c r="I21" s="31" t="s">
        <v>30</v>
      </c>
      <c r="J21" s="16"/>
      <c r="K21" s="16"/>
      <c r="L21" s="16"/>
      <c r="M21" s="31" t="s">
        <v>43</v>
      </c>
      <c r="N21" s="33"/>
      <c r="O21" s="33"/>
      <c r="P21" s="35"/>
      <c r="Q21" s="1"/>
      <c r="R21" s="1"/>
    </row>
    <row r="22" ht="15.75" customHeight="1">
      <c r="A22" s="1"/>
      <c r="B22" s="16">
        <v>19.0</v>
      </c>
      <c r="C22" s="61" t="s">
        <v>111</v>
      </c>
      <c r="D22" s="20" t="s">
        <v>22</v>
      </c>
      <c r="E22" s="23"/>
      <c r="F22" s="17"/>
      <c r="G22" s="26"/>
      <c r="H22" s="28">
        <v>440000.0</v>
      </c>
      <c r="I22" s="31" t="s">
        <v>30</v>
      </c>
      <c r="J22" s="16"/>
      <c r="K22" s="16"/>
      <c r="L22" s="16"/>
      <c r="M22" s="31" t="s">
        <v>60</v>
      </c>
      <c r="N22" s="33"/>
      <c r="O22" s="33"/>
      <c r="P22" s="35"/>
      <c r="Q22" s="1"/>
      <c r="R22" s="1"/>
    </row>
    <row r="23" ht="15.75" customHeight="1">
      <c r="A23" s="1"/>
      <c r="B23" s="16">
        <v>20.0</v>
      </c>
      <c r="C23" s="20" t="s">
        <v>113</v>
      </c>
      <c r="D23" s="20" t="s">
        <v>23</v>
      </c>
      <c r="E23" s="23"/>
      <c r="F23" s="17"/>
      <c r="G23" s="44">
        <v>290000.0</v>
      </c>
      <c r="H23" s="45"/>
      <c r="I23" s="31" t="s">
        <v>30</v>
      </c>
      <c r="J23" s="16"/>
      <c r="K23" s="16"/>
      <c r="L23" s="16"/>
      <c r="M23" s="31" t="s">
        <v>53</v>
      </c>
      <c r="N23" s="33"/>
      <c r="O23" s="33"/>
      <c r="P23" s="35"/>
      <c r="Q23" s="1"/>
      <c r="R23" s="1"/>
    </row>
    <row r="24" ht="15.75" customHeight="1">
      <c r="A24" s="1"/>
      <c r="B24" s="16">
        <v>21.0</v>
      </c>
      <c r="C24" s="20" t="s">
        <v>116</v>
      </c>
      <c r="D24" s="20" t="s">
        <v>23</v>
      </c>
      <c r="E24" s="23"/>
      <c r="F24" s="17"/>
      <c r="G24" s="26"/>
      <c r="H24" s="28">
        <v>570000.0</v>
      </c>
      <c r="I24" s="31" t="s">
        <v>30</v>
      </c>
      <c r="J24" s="16"/>
      <c r="K24" s="16"/>
      <c r="L24" s="16"/>
      <c r="M24" s="31" t="s">
        <v>43</v>
      </c>
      <c r="N24" s="33"/>
      <c r="O24" s="33"/>
      <c r="P24" s="35"/>
      <c r="Q24" s="1"/>
      <c r="R24" s="1"/>
    </row>
    <row r="25" ht="15.75" customHeight="1">
      <c r="A25" s="1"/>
      <c r="B25" s="16">
        <v>22.0</v>
      </c>
      <c r="C25" s="20" t="s">
        <v>120</v>
      </c>
      <c r="D25" s="20" t="s">
        <v>23</v>
      </c>
      <c r="E25" s="23"/>
      <c r="F25" s="17"/>
      <c r="G25" s="26"/>
      <c r="H25" s="28">
        <v>330000.0</v>
      </c>
      <c r="I25" s="31" t="s">
        <v>30</v>
      </c>
      <c r="J25" s="16"/>
      <c r="K25" s="16"/>
      <c r="L25" s="16"/>
      <c r="M25" s="31" t="s">
        <v>43</v>
      </c>
      <c r="N25" s="33"/>
      <c r="O25" s="33"/>
      <c r="P25" s="35"/>
      <c r="Q25" s="1"/>
      <c r="R25" s="1"/>
    </row>
    <row r="26" ht="15.75" customHeight="1">
      <c r="A26" s="1"/>
      <c r="B26" s="16">
        <v>23.0</v>
      </c>
      <c r="C26" s="20" t="s">
        <v>122</v>
      </c>
      <c r="D26" s="20" t="s">
        <v>23</v>
      </c>
      <c r="E26" s="23"/>
      <c r="F26" s="17"/>
      <c r="G26" s="26"/>
      <c r="H26" s="28">
        <v>290000.0</v>
      </c>
      <c r="I26" s="31" t="s">
        <v>30</v>
      </c>
      <c r="J26" s="31" t="s">
        <v>33</v>
      </c>
      <c r="K26" s="16"/>
      <c r="L26" s="16"/>
      <c r="M26" s="31" t="s">
        <v>60</v>
      </c>
      <c r="N26" s="33"/>
      <c r="O26" s="33"/>
      <c r="P26" s="35"/>
      <c r="Q26" s="1"/>
      <c r="R26" s="1"/>
    </row>
    <row r="27" ht="15.75" customHeight="1">
      <c r="A27" s="1"/>
      <c r="B27" s="16">
        <v>24.0</v>
      </c>
      <c r="C27" s="20" t="s">
        <v>125</v>
      </c>
      <c r="D27" s="20" t="s">
        <v>58</v>
      </c>
      <c r="E27" s="23"/>
      <c r="F27" s="54">
        <v>46299.0</v>
      </c>
      <c r="G27" s="26"/>
      <c r="H27" s="28">
        <v>100000.0</v>
      </c>
      <c r="I27" s="31" t="s">
        <v>30</v>
      </c>
      <c r="J27" s="16"/>
      <c r="K27" s="16"/>
      <c r="L27" s="31" t="s">
        <v>38</v>
      </c>
      <c r="M27" s="16"/>
      <c r="N27" s="33"/>
      <c r="O27" s="33"/>
      <c r="P27" s="35"/>
      <c r="Q27" s="1"/>
      <c r="R27" s="1"/>
    </row>
    <row r="28" ht="15.75" customHeight="1">
      <c r="A28" s="1"/>
      <c r="B28" s="16">
        <v>25.0</v>
      </c>
      <c r="C28" s="20" t="s">
        <v>126</v>
      </c>
      <c r="D28" s="20" t="s">
        <v>23</v>
      </c>
      <c r="E28" s="23"/>
      <c r="F28" s="17"/>
      <c r="G28" s="26"/>
      <c r="H28" s="28">
        <v>250000.0</v>
      </c>
      <c r="I28" s="31" t="s">
        <v>30</v>
      </c>
      <c r="J28" s="16"/>
      <c r="K28" s="16"/>
      <c r="L28" s="16"/>
      <c r="M28" s="31" t="s">
        <v>53</v>
      </c>
      <c r="N28" s="33"/>
      <c r="O28" s="33"/>
      <c r="P28" s="35"/>
      <c r="Q28" s="1"/>
      <c r="R28" s="1"/>
    </row>
    <row r="29" ht="15.75" customHeight="1">
      <c r="A29" s="1"/>
      <c r="B29" s="16">
        <v>26.0</v>
      </c>
      <c r="C29" s="20" t="s">
        <v>130</v>
      </c>
      <c r="D29" s="20" t="s">
        <v>23</v>
      </c>
      <c r="E29" s="23"/>
      <c r="F29" s="17"/>
      <c r="G29" s="26"/>
      <c r="H29" s="28">
        <v>250000.0</v>
      </c>
      <c r="I29" s="31" t="s">
        <v>30</v>
      </c>
      <c r="J29" s="16"/>
      <c r="K29" s="16"/>
      <c r="L29" s="16"/>
      <c r="M29" s="16"/>
      <c r="N29" s="33"/>
      <c r="O29" s="33"/>
      <c r="P29" s="35"/>
      <c r="Q29" s="1"/>
      <c r="R29" s="1"/>
    </row>
    <row r="30" ht="15.75" customHeight="1">
      <c r="A30" s="1"/>
      <c r="B30" s="16">
        <v>27.0</v>
      </c>
      <c r="C30" s="20" t="s">
        <v>132</v>
      </c>
      <c r="D30" s="20" t="s">
        <v>23</v>
      </c>
      <c r="E30" s="23"/>
      <c r="F30" s="17"/>
      <c r="G30" s="26"/>
      <c r="H30" s="28">
        <v>250000.0</v>
      </c>
      <c r="I30" s="31" t="s">
        <v>30</v>
      </c>
      <c r="J30" s="16"/>
      <c r="K30" s="16"/>
      <c r="L30" s="16"/>
      <c r="M30" s="31" t="s">
        <v>43</v>
      </c>
      <c r="N30" s="33"/>
      <c r="O30" s="33"/>
      <c r="P30" s="35"/>
      <c r="Q30" s="1"/>
      <c r="R30" s="1"/>
    </row>
    <row r="31" ht="15.75" customHeight="1">
      <c r="A31" s="1"/>
      <c r="B31" s="16">
        <v>28.0</v>
      </c>
      <c r="C31" s="75" t="s">
        <v>135</v>
      </c>
      <c r="D31" s="20" t="s">
        <v>23</v>
      </c>
      <c r="E31" s="23"/>
      <c r="F31" s="17"/>
      <c r="G31" s="44">
        <v>250000.0</v>
      </c>
      <c r="H31" s="45"/>
      <c r="I31" s="31" t="s">
        <v>30</v>
      </c>
      <c r="J31" s="16"/>
      <c r="K31" s="16"/>
      <c r="L31" s="31" t="s">
        <v>28</v>
      </c>
      <c r="M31" s="31" t="s">
        <v>84</v>
      </c>
      <c r="N31" s="33"/>
      <c r="O31" s="33"/>
      <c r="P31" s="35"/>
      <c r="Q31" s="1"/>
      <c r="R31" s="1"/>
    </row>
    <row r="32" ht="15.75" customHeight="1">
      <c r="A32" s="1"/>
      <c r="B32" s="16">
        <v>29.0</v>
      </c>
      <c r="C32" s="94" t="s">
        <v>138</v>
      </c>
      <c r="D32" s="20" t="s">
        <v>23</v>
      </c>
      <c r="E32" s="23"/>
      <c r="F32" s="17"/>
      <c r="G32" s="44"/>
      <c r="H32" s="28">
        <v>330000.0</v>
      </c>
      <c r="I32" s="31" t="s">
        <v>30</v>
      </c>
      <c r="J32" s="16"/>
      <c r="K32" s="16"/>
      <c r="L32" s="31" t="s">
        <v>28</v>
      </c>
      <c r="M32" s="31" t="s">
        <v>53</v>
      </c>
      <c r="N32" s="33"/>
      <c r="O32" s="33"/>
      <c r="P32" s="35"/>
      <c r="Q32" s="1"/>
      <c r="R32" s="1"/>
    </row>
    <row r="33" ht="15.75" customHeight="1">
      <c r="A33" s="1"/>
      <c r="B33" s="16">
        <v>30.0</v>
      </c>
      <c r="C33" s="96" t="s">
        <v>140</v>
      </c>
      <c r="D33" s="20" t="s">
        <v>23</v>
      </c>
      <c r="E33" s="23"/>
      <c r="F33" s="17"/>
      <c r="G33" s="44">
        <v>270000.0</v>
      </c>
      <c r="H33" s="45"/>
      <c r="I33" s="31" t="s">
        <v>30</v>
      </c>
      <c r="J33" s="16"/>
      <c r="K33" s="16"/>
      <c r="L33" s="31" t="s">
        <v>38</v>
      </c>
      <c r="M33" s="31" t="s">
        <v>60</v>
      </c>
      <c r="N33" s="33"/>
      <c r="O33" s="33"/>
      <c r="P33" s="35"/>
      <c r="Q33" s="1"/>
      <c r="R33" s="1"/>
    </row>
    <row r="34" ht="15.75" customHeight="1">
      <c r="A34" s="1"/>
      <c r="B34" s="16">
        <v>31.0</v>
      </c>
      <c r="C34" s="20" t="s">
        <v>144</v>
      </c>
      <c r="D34" s="20" t="s">
        <v>23</v>
      </c>
      <c r="E34" s="23"/>
      <c r="F34" s="17"/>
      <c r="G34" s="44">
        <v>250000.0</v>
      </c>
      <c r="H34" s="45"/>
      <c r="I34" s="31" t="s">
        <v>30</v>
      </c>
      <c r="J34" s="16"/>
      <c r="K34" s="16"/>
      <c r="L34" s="16"/>
      <c r="M34" s="31" t="s">
        <v>53</v>
      </c>
      <c r="N34" s="33"/>
      <c r="O34" s="33"/>
      <c r="P34" s="35"/>
      <c r="Q34" s="1"/>
      <c r="R34" s="1"/>
    </row>
    <row r="35" ht="15.75" customHeight="1">
      <c r="A35" s="1"/>
      <c r="B35" s="16">
        <v>32.0</v>
      </c>
      <c r="C35" s="20" t="s">
        <v>154</v>
      </c>
      <c r="D35" s="20" t="s">
        <v>23</v>
      </c>
      <c r="E35" s="23"/>
      <c r="F35" s="25"/>
      <c r="G35" s="44" t="s">
        <v>44</v>
      </c>
      <c r="H35" s="28" t="s">
        <v>44</v>
      </c>
      <c r="I35" s="31" t="s">
        <v>30</v>
      </c>
      <c r="J35" s="16"/>
      <c r="K35" s="16"/>
      <c r="L35" s="31" t="s">
        <v>28</v>
      </c>
      <c r="M35" s="31" t="s">
        <v>60</v>
      </c>
      <c r="N35" s="33"/>
      <c r="O35" s="33"/>
      <c r="P35" s="35"/>
      <c r="Q35" s="1"/>
      <c r="R35" s="1"/>
    </row>
    <row r="36" ht="15.75" customHeight="1">
      <c r="A36" s="1"/>
      <c r="B36" s="16">
        <v>33.0</v>
      </c>
      <c r="C36" s="20" t="s">
        <v>158</v>
      </c>
      <c r="D36" s="20" t="s">
        <v>23</v>
      </c>
      <c r="E36" s="23"/>
      <c r="F36" s="17"/>
      <c r="G36" s="26"/>
      <c r="H36" s="28">
        <v>250000.0</v>
      </c>
      <c r="I36" s="31" t="s">
        <v>30</v>
      </c>
      <c r="J36" s="16"/>
      <c r="K36" s="16"/>
      <c r="L36" s="31" t="s">
        <v>28</v>
      </c>
      <c r="M36" s="31" t="s">
        <v>84</v>
      </c>
      <c r="N36" s="33"/>
      <c r="O36" s="33"/>
      <c r="P36" s="35"/>
      <c r="Q36" s="1"/>
      <c r="R36" s="1"/>
    </row>
    <row r="37" ht="15.75" customHeight="1">
      <c r="A37" s="1"/>
      <c r="B37" s="16">
        <v>34.0</v>
      </c>
      <c r="C37" s="104" t="s">
        <v>159</v>
      </c>
      <c r="D37" s="20" t="s">
        <v>23</v>
      </c>
      <c r="E37" s="23"/>
      <c r="F37" s="17"/>
      <c r="G37" s="44">
        <v>250000.0</v>
      </c>
      <c r="H37" s="45"/>
      <c r="I37" s="31" t="s">
        <v>30</v>
      </c>
      <c r="J37" s="16"/>
      <c r="K37" s="16"/>
      <c r="L37" s="31" t="s">
        <v>28</v>
      </c>
      <c r="M37" s="31" t="s">
        <v>43</v>
      </c>
      <c r="N37" s="33"/>
      <c r="O37" s="33"/>
      <c r="P37" s="35"/>
      <c r="Q37" s="1"/>
      <c r="R37" s="1"/>
    </row>
    <row r="38" ht="15.75" customHeight="1">
      <c r="A38" s="1"/>
      <c r="B38" s="16">
        <v>35.0</v>
      </c>
      <c r="C38" s="20" t="s">
        <v>162</v>
      </c>
      <c r="D38" s="20" t="s">
        <v>23</v>
      </c>
      <c r="E38" s="23"/>
      <c r="F38" s="17"/>
      <c r="G38" s="44">
        <v>310000.0</v>
      </c>
      <c r="H38" s="45"/>
      <c r="I38" s="31" t="s">
        <v>30</v>
      </c>
      <c r="J38" s="16"/>
      <c r="K38" s="16"/>
      <c r="L38" s="31" t="s">
        <v>28</v>
      </c>
      <c r="M38" s="31" t="s">
        <v>60</v>
      </c>
      <c r="N38" s="33"/>
      <c r="O38" s="33"/>
      <c r="P38" s="35"/>
      <c r="Q38" s="1"/>
      <c r="R38" s="1"/>
    </row>
    <row r="39" ht="15.75" customHeight="1">
      <c r="A39" s="1"/>
      <c r="B39" s="16">
        <v>36.0</v>
      </c>
      <c r="C39" s="61" t="s">
        <v>54</v>
      </c>
      <c r="D39" s="20" t="s">
        <v>23</v>
      </c>
      <c r="E39" s="23"/>
      <c r="F39" s="17"/>
      <c r="G39" s="107"/>
      <c r="H39" s="30">
        <v>330000.0</v>
      </c>
      <c r="I39" s="31" t="s">
        <v>30</v>
      </c>
      <c r="J39" s="16"/>
      <c r="K39" s="16"/>
      <c r="L39" s="16"/>
      <c r="M39" s="31" t="s">
        <v>53</v>
      </c>
      <c r="N39" s="16"/>
      <c r="O39" s="16"/>
      <c r="P39" s="108"/>
      <c r="Q39" s="1"/>
      <c r="R39" s="1"/>
    </row>
    <row r="40" ht="15.75" customHeight="1">
      <c r="A40" s="1"/>
      <c r="B40" s="16">
        <v>37.0</v>
      </c>
      <c r="C40" s="20" t="s">
        <v>166</v>
      </c>
      <c r="D40" s="20" t="s">
        <v>23</v>
      </c>
      <c r="E40" s="23"/>
      <c r="F40" s="17"/>
      <c r="G40" s="107"/>
      <c r="H40" s="30">
        <v>290000.0</v>
      </c>
      <c r="I40" s="31" t="s">
        <v>30</v>
      </c>
      <c r="J40" s="16"/>
      <c r="K40" s="16"/>
      <c r="L40" s="31" t="s">
        <v>28</v>
      </c>
      <c r="M40" s="31" t="s">
        <v>43</v>
      </c>
      <c r="N40" s="16"/>
      <c r="O40" s="16"/>
      <c r="P40" s="108"/>
      <c r="Q40" s="1"/>
      <c r="R40" s="1"/>
    </row>
    <row r="41" ht="15.75" customHeight="1">
      <c r="A41" s="1"/>
      <c r="B41" s="16">
        <v>38.0</v>
      </c>
      <c r="C41" s="20" t="s">
        <v>168</v>
      </c>
      <c r="D41" s="20" t="s">
        <v>23</v>
      </c>
      <c r="E41" s="23"/>
      <c r="F41" s="17"/>
      <c r="G41" s="107"/>
      <c r="H41" s="30">
        <v>250000.0</v>
      </c>
      <c r="I41" s="31" t="s">
        <v>30</v>
      </c>
      <c r="J41" s="16"/>
      <c r="K41" s="16"/>
      <c r="L41" s="16"/>
      <c r="M41" s="31" t="s">
        <v>84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20" t="s">
        <v>170</v>
      </c>
      <c r="D42" s="20" t="s">
        <v>23</v>
      </c>
      <c r="E42" s="23"/>
      <c r="F42" s="17"/>
      <c r="G42" s="40">
        <v>250000.0</v>
      </c>
      <c r="H42" s="42"/>
      <c r="I42" s="31" t="s">
        <v>30</v>
      </c>
      <c r="J42" s="16"/>
      <c r="K42" s="16"/>
      <c r="L42" s="16"/>
      <c r="M42" s="31" t="s">
        <v>60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20" t="s">
        <v>172</v>
      </c>
      <c r="D43" s="20" t="s">
        <v>23</v>
      </c>
      <c r="E43" s="23"/>
      <c r="F43" s="17"/>
      <c r="G43" s="107"/>
      <c r="H43" s="30">
        <v>250000.0</v>
      </c>
      <c r="I43" s="31" t="s">
        <v>30</v>
      </c>
      <c r="J43" s="16"/>
      <c r="K43" s="16"/>
      <c r="L43" s="16"/>
      <c r="M43" s="31" t="s">
        <v>43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20" t="s">
        <v>174</v>
      </c>
      <c r="D44" s="20" t="s">
        <v>23</v>
      </c>
      <c r="E44" s="38"/>
      <c r="F44" s="17"/>
      <c r="G44" s="110"/>
      <c r="H44" s="40">
        <v>290000.0</v>
      </c>
      <c r="I44" s="31" t="s">
        <v>30</v>
      </c>
      <c r="J44" s="16"/>
      <c r="K44" s="16"/>
      <c r="L44" s="16"/>
      <c r="M44" s="31" t="s">
        <v>60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20" t="s">
        <v>66</v>
      </c>
      <c r="D45" s="20" t="s">
        <v>23</v>
      </c>
      <c r="E45" s="17"/>
      <c r="F45" s="16"/>
      <c r="G45" s="111"/>
      <c r="H45" s="36">
        <v>250000.0</v>
      </c>
      <c r="I45" s="31" t="s">
        <v>30</v>
      </c>
      <c r="J45" s="16"/>
      <c r="K45" s="16"/>
      <c r="L45" s="31" t="s">
        <v>28</v>
      </c>
      <c r="M45" s="31" t="s">
        <v>60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20" t="s">
        <v>179</v>
      </c>
      <c r="D46" s="20" t="s">
        <v>23</v>
      </c>
      <c r="E46" s="17"/>
      <c r="F46" s="16"/>
      <c r="G46" s="111"/>
      <c r="H46" s="36">
        <v>610000.0</v>
      </c>
      <c r="I46" s="31" t="s">
        <v>30</v>
      </c>
      <c r="J46" s="16"/>
      <c r="K46" s="16"/>
      <c r="L46" s="31" t="s">
        <v>28</v>
      </c>
      <c r="M46" s="31" t="s">
        <v>53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20" t="s">
        <v>181</v>
      </c>
      <c r="D47" s="20" t="s">
        <v>23</v>
      </c>
      <c r="E47" s="17"/>
      <c r="F47" s="16"/>
      <c r="G47" s="111"/>
      <c r="H47" s="36">
        <v>250000.0</v>
      </c>
      <c r="I47" s="31" t="s">
        <v>30</v>
      </c>
      <c r="J47" s="16"/>
      <c r="K47" s="16"/>
      <c r="L47" s="31" t="s">
        <v>28</v>
      </c>
      <c r="M47" s="31" t="s">
        <v>43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20" t="s">
        <v>183</v>
      </c>
      <c r="D48" s="20" t="s">
        <v>23</v>
      </c>
      <c r="E48" s="17"/>
      <c r="F48" s="16"/>
      <c r="G48" s="113">
        <v>290000.0</v>
      </c>
      <c r="H48" s="62"/>
      <c r="I48" s="31" t="s">
        <v>30</v>
      </c>
      <c r="J48" s="16"/>
      <c r="K48" s="16"/>
      <c r="L48" s="31" t="s">
        <v>38</v>
      </c>
      <c r="M48" s="31" t="s">
        <v>60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20" t="s">
        <v>185</v>
      </c>
      <c r="D49" s="20" t="s">
        <v>23</v>
      </c>
      <c r="E49" s="17"/>
      <c r="F49" s="31" t="s">
        <v>52</v>
      </c>
      <c r="G49" s="111"/>
      <c r="H49" s="36">
        <v>100000.0</v>
      </c>
      <c r="I49" s="31" t="s">
        <v>27</v>
      </c>
      <c r="J49" s="16"/>
      <c r="K49" s="16"/>
      <c r="L49" s="31" t="s">
        <v>28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20" t="s">
        <v>187</v>
      </c>
      <c r="D50" s="20" t="s">
        <v>189</v>
      </c>
      <c r="E50" s="17"/>
      <c r="F50" s="31" t="s">
        <v>42</v>
      </c>
      <c r="G50" s="111"/>
      <c r="H50" s="36">
        <v>200000.0</v>
      </c>
      <c r="I50" s="31" t="s">
        <v>30</v>
      </c>
      <c r="J50" s="31" t="s">
        <v>33</v>
      </c>
      <c r="K50" s="16"/>
      <c r="L50" s="31" t="s">
        <v>28</v>
      </c>
      <c r="M50" s="31" t="s">
        <v>43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20"/>
      <c r="D51" s="20"/>
      <c r="E51" s="17"/>
      <c r="F51" s="31"/>
      <c r="G51" s="111"/>
      <c r="H51" s="62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80"/>
      <c r="D52" s="80"/>
      <c r="E52" s="17"/>
      <c r="F52" s="16"/>
      <c r="G52" s="111"/>
      <c r="H52" s="62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80"/>
      <c r="D53" s="80"/>
      <c r="E53" s="17"/>
      <c r="F53" s="16"/>
      <c r="G53" s="111"/>
      <c r="H53" s="62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80"/>
      <c r="D54" s="80"/>
      <c r="E54" s="17"/>
      <c r="F54" s="16"/>
      <c r="G54" s="111"/>
      <c r="H54" s="62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80"/>
      <c r="D55" s="80"/>
      <c r="E55" s="118"/>
      <c r="F55" s="16"/>
      <c r="G55" s="111"/>
      <c r="H55" s="62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80"/>
      <c r="D56" s="80"/>
      <c r="E56" s="118"/>
      <c r="F56" s="16"/>
      <c r="G56" s="111"/>
      <c r="H56" s="62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80"/>
      <c r="D57" s="80"/>
      <c r="E57" s="118"/>
      <c r="F57" s="16"/>
      <c r="G57" s="111"/>
      <c r="H57" s="62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80"/>
      <c r="D58" s="80"/>
      <c r="E58" s="118"/>
      <c r="F58" s="16"/>
      <c r="G58" s="111"/>
      <c r="H58" s="62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80"/>
      <c r="D59" s="80"/>
      <c r="E59" s="118"/>
      <c r="F59" s="16"/>
      <c r="G59" s="111"/>
      <c r="H59" s="62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80"/>
      <c r="D60" s="80"/>
      <c r="E60" s="118"/>
      <c r="F60" s="16"/>
      <c r="G60" s="111"/>
      <c r="H60" s="62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80"/>
      <c r="D61" s="80"/>
      <c r="E61" s="118"/>
      <c r="F61" s="16"/>
      <c r="G61" s="111"/>
      <c r="H61" s="62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80"/>
      <c r="D62" s="80"/>
      <c r="E62" s="17"/>
      <c r="F62" s="16"/>
      <c r="G62" s="111"/>
      <c r="H62" s="62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24">
        <f t="shared" ref="G63:H63" si="1">SUM(G4:G62)</f>
        <v>4890000</v>
      </c>
      <c r="H63" s="78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1" t="s">
        <v>0</v>
      </c>
      <c r="C66" s="72" t="s">
        <v>6</v>
      </c>
      <c r="D66" s="72" t="s">
        <v>115</v>
      </c>
      <c r="E66" s="1"/>
      <c r="F66" s="1"/>
      <c r="G66" s="1"/>
      <c r="H66" s="1"/>
      <c r="I66" s="1"/>
      <c r="J66" s="1"/>
      <c r="K66" s="1"/>
      <c r="L66" s="1"/>
      <c r="M66" s="1"/>
      <c r="N66" s="72" t="s">
        <v>117</v>
      </c>
      <c r="O66" s="72" t="s">
        <v>1</v>
      </c>
      <c r="P66" s="1"/>
      <c r="Q66" s="1"/>
      <c r="R66" s="1"/>
    </row>
    <row r="67" ht="15.75" customHeight="1">
      <c r="A67" s="1"/>
      <c r="B67" s="73">
        <v>1.0</v>
      </c>
      <c r="C67" s="73" t="s">
        <v>119</v>
      </c>
      <c r="D67" s="132">
        <f>SUM(G63)</f>
        <v>4890000</v>
      </c>
      <c r="E67" s="77"/>
      <c r="F67" s="1"/>
      <c r="G67" s="1"/>
      <c r="H67" s="1"/>
      <c r="I67" s="1"/>
      <c r="J67" s="1"/>
      <c r="K67" s="1"/>
      <c r="L67" s="1"/>
      <c r="M67" s="1"/>
      <c r="N67" s="79" t="s">
        <v>123</v>
      </c>
      <c r="O67" s="81" t="s">
        <v>38</v>
      </c>
      <c r="P67" s="1"/>
      <c r="Q67" s="1"/>
      <c r="R67" s="1"/>
    </row>
    <row r="68" ht="15.75" customHeight="1">
      <c r="A68" s="1"/>
      <c r="B68" s="82">
        <v>2.0</v>
      </c>
      <c r="C68" s="133" t="s">
        <v>207</v>
      </c>
      <c r="D68" s="134">
        <v>-255000.0</v>
      </c>
      <c r="E68" s="77"/>
      <c r="F68" s="1"/>
      <c r="G68" s="1"/>
      <c r="H68" s="1"/>
      <c r="I68" s="1"/>
      <c r="J68" s="1"/>
      <c r="K68" s="1"/>
      <c r="L68" s="1"/>
      <c r="M68" s="1"/>
      <c r="N68" s="85" t="s">
        <v>129</v>
      </c>
      <c r="O68" s="86" t="s">
        <v>28</v>
      </c>
      <c r="P68" s="1"/>
      <c r="Q68" s="1"/>
      <c r="R68" s="1"/>
    </row>
    <row r="69" ht="15.75" customHeight="1">
      <c r="A69" s="1"/>
      <c r="B69" s="73">
        <v>3.0</v>
      </c>
      <c r="C69" s="135" t="s">
        <v>208</v>
      </c>
      <c r="D69" s="136">
        <v>-15000.0</v>
      </c>
      <c r="E69" s="77"/>
      <c r="F69" s="1"/>
      <c r="G69" s="1"/>
      <c r="H69" s="1"/>
      <c r="I69" s="1"/>
      <c r="J69" s="1"/>
      <c r="K69" s="1"/>
      <c r="L69" s="1"/>
      <c r="M69" s="1"/>
      <c r="N69" s="89" t="s">
        <v>134</v>
      </c>
      <c r="O69" s="90" t="s">
        <v>43</v>
      </c>
      <c r="P69" s="1"/>
      <c r="Q69" s="1"/>
      <c r="R69" s="1"/>
    </row>
    <row r="70" ht="15.75" customHeight="1">
      <c r="A70" s="1"/>
      <c r="B70" s="82">
        <v>4.0</v>
      </c>
      <c r="C70" s="82"/>
      <c r="D70" s="134"/>
      <c r="E70" s="77"/>
      <c r="F70" s="1"/>
      <c r="G70" s="1"/>
      <c r="H70" s="1"/>
      <c r="I70" s="1"/>
      <c r="J70" s="1"/>
      <c r="K70" s="1"/>
      <c r="L70" s="1"/>
      <c r="M70" s="1"/>
      <c r="N70" s="93" t="s">
        <v>137</v>
      </c>
      <c r="O70" s="86" t="s">
        <v>60</v>
      </c>
      <c r="P70" s="1"/>
      <c r="Q70" s="1"/>
      <c r="R70" s="1"/>
    </row>
    <row r="71" ht="15.75" customHeight="1">
      <c r="A71" s="1"/>
      <c r="B71" s="73">
        <v>5.0</v>
      </c>
      <c r="C71" s="73"/>
      <c r="D71" s="132"/>
      <c r="E71" s="77"/>
      <c r="F71" s="1"/>
      <c r="G71" s="1"/>
      <c r="H71" s="1"/>
      <c r="I71" s="1"/>
      <c r="J71" s="1"/>
      <c r="K71" s="1"/>
      <c r="L71" s="1"/>
      <c r="M71" s="1"/>
      <c r="N71" s="95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38"/>
      <c r="E72" s="77"/>
      <c r="F72" s="1"/>
      <c r="G72" s="1"/>
      <c r="H72" s="1"/>
      <c r="I72" s="1"/>
      <c r="J72" s="1"/>
      <c r="K72" s="100" t="s">
        <v>142</v>
      </c>
      <c r="Q72" s="1"/>
      <c r="R72" s="1"/>
    </row>
    <row r="73" ht="15.75" customHeight="1">
      <c r="A73" s="1"/>
      <c r="B73" s="73">
        <v>7.0</v>
      </c>
      <c r="C73" s="73"/>
      <c r="D73" s="132"/>
      <c r="E73" s="77"/>
      <c r="F73" s="1"/>
      <c r="G73" s="1"/>
      <c r="H73" s="1"/>
      <c r="I73" s="1"/>
      <c r="J73" s="1"/>
      <c r="K73" s="101" t="s">
        <v>1</v>
      </c>
      <c r="L73" s="101" t="s">
        <v>145</v>
      </c>
      <c r="M73" s="101" t="s">
        <v>146</v>
      </c>
      <c r="N73" s="101" t="s">
        <v>147</v>
      </c>
      <c r="O73" s="101" t="s">
        <v>148</v>
      </c>
      <c r="P73" s="101" t="s">
        <v>149</v>
      </c>
      <c r="Q73" s="1"/>
      <c r="R73" s="1"/>
      <c r="AC73" s="102" t="s">
        <v>150</v>
      </c>
      <c r="AD73" s="102" t="s">
        <v>151</v>
      </c>
      <c r="AE73" s="102" t="s">
        <v>153</v>
      </c>
      <c r="AF73" s="102" t="s">
        <v>155</v>
      </c>
      <c r="AG73" s="102" t="s">
        <v>156</v>
      </c>
    </row>
    <row r="74" ht="15.75" customHeight="1">
      <c r="A74" s="1"/>
      <c r="B74" s="82">
        <v>8.0</v>
      </c>
      <c r="C74" s="82"/>
      <c r="D74" s="138"/>
      <c r="E74" s="77"/>
      <c r="F74" s="1"/>
      <c r="G74" s="1"/>
      <c r="H74" s="1"/>
      <c r="I74" s="1"/>
      <c r="J74" s="1"/>
      <c r="K74" s="105" t="str">
        <f t="shared" ref="K74:K77" si="2">IF(O67="","",O67)</f>
        <v>INDAH</v>
      </c>
      <c r="L74" s="106">
        <v>5.0</v>
      </c>
      <c r="M74" s="106">
        <v>5.0</v>
      </c>
      <c r="N74" s="106">
        <v>5.0</v>
      </c>
      <c r="O74" s="106">
        <v>5.0</v>
      </c>
      <c r="P74" s="106">
        <v>5.0</v>
      </c>
      <c r="Q74" s="1"/>
      <c r="R74" s="1"/>
      <c r="AC74" s="102">
        <f t="shared" ref="AC74:AC79" si="3">IF(AG74="","",IF(COUNT(L74:P74)&lt;5,"",L74/5*20+M74/5*25+N74/5*25+O74/5*15+P74/5*15))</f>
        <v>100</v>
      </c>
      <c r="AD74" s="102" t="str">
        <f t="shared" ref="AD74:AD79" si="4">IF(AC74="","",IF(AC74&gt;=90,"Sangat Baik",IF(AC74&gt;=80,"Baik",IF(AC74&gt;=70,"Coaching","Underperform"))))</f>
        <v>Sangat Baik</v>
      </c>
      <c r="AE74" s="102" t="str">
        <f t="shared" ref="AE74:AE79" si="5">IF(AG74="","",IF(OR(AG74="INDAH",AG74="ADDEL",AG74="AMEL",AG74="PENTIL",AG74="JIJANG"),"Admin/CS","Fotografer"))</f>
        <v>Admin/CS</v>
      </c>
      <c r="AF74" s="102">
        <f t="shared" ref="AF74:AF79" si="6">IF(OR(AG74="",COUNT(L74:P74)&lt;5),"",1)</f>
        <v>1</v>
      </c>
      <c r="AG74" s="102" t="str">
        <f t="shared" ref="AG74:AG79" si="7">IFERROR(K74,"")</f>
        <v>INDAH</v>
      </c>
    </row>
    <row r="75" ht="15.75" customHeight="1">
      <c r="A75" s="1"/>
      <c r="B75" s="73">
        <v>9.0</v>
      </c>
      <c r="C75" s="73"/>
      <c r="D75" s="132"/>
      <c r="E75" s="77"/>
      <c r="F75" s="1"/>
      <c r="G75" s="1"/>
      <c r="H75" s="1"/>
      <c r="I75" s="1"/>
      <c r="J75" s="1"/>
      <c r="K75" s="105" t="str">
        <f t="shared" si="2"/>
        <v>AMEL</v>
      </c>
      <c r="L75" s="106">
        <v>5.0</v>
      </c>
      <c r="M75" s="106">
        <v>5.0</v>
      </c>
      <c r="N75" s="106">
        <v>5.0</v>
      </c>
      <c r="O75" s="106">
        <v>5.0</v>
      </c>
      <c r="P75" s="106">
        <v>5.0</v>
      </c>
      <c r="Q75" s="1"/>
      <c r="R75" s="1"/>
      <c r="AC75" s="102">
        <f t="shared" si="3"/>
        <v>100</v>
      </c>
      <c r="AD75" s="102" t="str">
        <f t="shared" si="4"/>
        <v>Sangat Baik</v>
      </c>
      <c r="AE75" s="102" t="str">
        <f t="shared" si="5"/>
        <v>Admin/CS</v>
      </c>
      <c r="AF75" s="102">
        <f t="shared" si="6"/>
        <v>1</v>
      </c>
      <c r="AG75" s="102" t="str">
        <f t="shared" si="7"/>
        <v>AMEL</v>
      </c>
    </row>
    <row r="76" ht="15.75" customHeight="1">
      <c r="A76" s="1"/>
      <c r="B76" s="82">
        <v>10.0</v>
      </c>
      <c r="C76" s="82"/>
      <c r="D76" s="138"/>
      <c r="E76" s="77"/>
      <c r="F76" s="1"/>
      <c r="G76" s="1"/>
      <c r="H76" s="1"/>
      <c r="I76" s="1"/>
      <c r="J76" s="1"/>
      <c r="K76" s="105" t="str">
        <f t="shared" si="2"/>
        <v>ADIF</v>
      </c>
      <c r="L76" s="106">
        <v>5.0</v>
      </c>
      <c r="M76" s="106">
        <v>5.0</v>
      </c>
      <c r="N76" s="106">
        <v>5.0</v>
      </c>
      <c r="O76" s="106">
        <v>5.0</v>
      </c>
      <c r="P76" s="106">
        <v>5.0</v>
      </c>
      <c r="Q76" s="1"/>
      <c r="R76" s="1"/>
      <c r="AC76" s="102">
        <f t="shared" si="3"/>
        <v>100</v>
      </c>
      <c r="AD76" s="102" t="str">
        <f t="shared" si="4"/>
        <v>Sangat Baik</v>
      </c>
      <c r="AE76" s="102" t="str">
        <f t="shared" si="5"/>
        <v>Fotografer</v>
      </c>
      <c r="AF76" s="102">
        <f t="shared" si="6"/>
        <v>1</v>
      </c>
      <c r="AG76" s="102" t="str">
        <f t="shared" si="7"/>
        <v>ADIF</v>
      </c>
    </row>
    <row r="77" ht="15.75" customHeight="1">
      <c r="A77" s="1"/>
      <c r="B77" s="112">
        <v>11.0</v>
      </c>
      <c r="C77" s="112"/>
      <c r="D77" s="145"/>
      <c r="E77" s="77"/>
      <c r="F77" s="1"/>
      <c r="G77" s="1"/>
      <c r="H77" s="1"/>
      <c r="I77" s="1"/>
      <c r="J77" s="1"/>
      <c r="K77" s="105" t="str">
        <f t="shared" si="2"/>
        <v>SAKA</v>
      </c>
      <c r="L77" s="106">
        <v>5.0</v>
      </c>
      <c r="M77" s="106">
        <v>5.0</v>
      </c>
      <c r="N77" s="106">
        <v>5.0</v>
      </c>
      <c r="O77" s="106">
        <v>5.0</v>
      </c>
      <c r="P77" s="106">
        <v>5.0</v>
      </c>
      <c r="Q77" s="1"/>
      <c r="R77" s="1"/>
      <c r="AC77" s="102">
        <f t="shared" si="3"/>
        <v>100</v>
      </c>
      <c r="AD77" s="102" t="str">
        <f t="shared" si="4"/>
        <v>Sangat Baik</v>
      </c>
      <c r="AE77" s="102" t="str">
        <f t="shared" si="5"/>
        <v>Fotografer</v>
      </c>
      <c r="AF77" s="102">
        <f t="shared" si="6"/>
        <v>1</v>
      </c>
      <c r="AG77" s="102" t="str">
        <f t="shared" si="7"/>
        <v>SAKA</v>
      </c>
    </row>
    <row r="78" ht="15.75" customHeight="1">
      <c r="A78" s="1"/>
      <c r="B78" s="1"/>
      <c r="C78" s="2"/>
      <c r="D78" s="116">
        <f>SUM(D67:D77)</f>
        <v>4620000</v>
      </c>
      <c r="E78" s="1"/>
      <c r="F78" s="1"/>
      <c r="G78" s="1"/>
      <c r="H78" s="1"/>
      <c r="I78" s="1"/>
      <c r="J78" s="1"/>
      <c r="K78" s="105"/>
      <c r="L78" s="117"/>
      <c r="M78" s="117"/>
      <c r="N78" s="117"/>
      <c r="O78" s="117"/>
      <c r="P78" s="117"/>
      <c r="Q78" s="1"/>
      <c r="R78" s="1"/>
      <c r="AC78" s="102" t="str">
        <f t="shared" si="3"/>
        <v/>
      </c>
      <c r="AD78" s="102" t="str">
        <f t="shared" si="4"/>
        <v/>
      </c>
      <c r="AE78" s="102" t="str">
        <f t="shared" si="5"/>
        <v/>
      </c>
      <c r="AF78" s="102" t="str">
        <f t="shared" si="6"/>
        <v/>
      </c>
      <c r="AG78" s="102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5"/>
      <c r="L79" s="117"/>
      <c r="M79" s="117"/>
      <c r="N79" s="117"/>
      <c r="O79" s="117"/>
      <c r="P79" s="117"/>
      <c r="Q79" s="1"/>
      <c r="R79" s="1"/>
      <c r="AC79" s="102" t="str">
        <f t="shared" si="3"/>
        <v/>
      </c>
      <c r="AD79" s="102" t="str">
        <f t="shared" si="4"/>
        <v/>
      </c>
      <c r="AE79" s="102" t="str">
        <f t="shared" si="5"/>
        <v/>
      </c>
      <c r="AF79" s="102" t="str">
        <f t="shared" si="6"/>
        <v/>
      </c>
      <c r="AG79" s="102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9" t="s">
        <v>199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20" t="s">
        <v>200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2" t="s">
        <v>7</v>
      </c>
      <c r="L83" s="122" t="s">
        <v>201</v>
      </c>
      <c r="M83" s="122" t="s">
        <v>202</v>
      </c>
    </row>
    <row r="84" ht="15.75" customHeight="1">
      <c r="C84" s="146"/>
      <c r="D84" s="146"/>
      <c r="I84" s="147"/>
      <c r="J84" s="147"/>
      <c r="K84" s="125" t="str">
        <f t="shared" ref="K84:K85" si="8">IF(O67="","",O67)</f>
        <v>INDAH</v>
      </c>
      <c r="L84" s="128"/>
      <c r="M84" s="128"/>
    </row>
    <row r="85" ht="15.75" customHeight="1">
      <c r="C85" s="146"/>
      <c r="D85" s="146"/>
      <c r="I85" s="147"/>
      <c r="J85" s="147"/>
      <c r="K85" s="125" t="str">
        <f t="shared" si="8"/>
        <v>AMEL</v>
      </c>
      <c r="L85" s="126">
        <v>3.0</v>
      </c>
      <c r="M85" s="128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30" t="s">
        <v>205</v>
      </c>
    </row>
    <row r="88" ht="19.5" customHeight="1">
      <c r="C88" s="146"/>
      <c r="D88" s="146"/>
      <c r="I88" s="147"/>
      <c r="J88" s="147"/>
      <c r="K88" s="148" t="s">
        <v>206</v>
      </c>
      <c r="M88" s="126">
        <v>40.0</v>
      </c>
    </row>
    <row r="89" ht="19.5" customHeight="1">
      <c r="C89" s="146"/>
      <c r="D89" s="146"/>
      <c r="I89" s="147"/>
      <c r="J89" s="147"/>
      <c r="K89" s="149" t="s">
        <v>209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210</v>
      </c>
      <c r="M90" s="139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211</v>
      </c>
      <c r="M91" s="139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212</v>
      </c>
      <c r="M92" s="143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13"/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21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0" t="s">
        <v>26</v>
      </c>
      <c r="D4" s="20" t="s">
        <v>23</v>
      </c>
      <c r="E4" s="16"/>
      <c r="F4" s="32">
        <v>46298.0</v>
      </c>
      <c r="G4" s="34"/>
      <c r="H4" s="36">
        <v>350000.0</v>
      </c>
      <c r="I4" s="31" t="s">
        <v>30</v>
      </c>
      <c r="J4" s="31" t="s">
        <v>33</v>
      </c>
      <c r="K4" s="31" t="s">
        <v>36</v>
      </c>
      <c r="L4" s="31" t="s">
        <v>38</v>
      </c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20" t="s">
        <v>46</v>
      </c>
      <c r="D5" s="20" t="s">
        <v>48</v>
      </c>
      <c r="E5" s="16"/>
      <c r="F5" s="31" t="s">
        <v>42</v>
      </c>
      <c r="G5" s="34"/>
      <c r="H5" s="36">
        <v>50000.0</v>
      </c>
      <c r="I5" s="31" t="s">
        <v>30</v>
      </c>
      <c r="J5" s="31" t="s">
        <v>33</v>
      </c>
      <c r="K5" s="31" t="s">
        <v>33</v>
      </c>
      <c r="L5" s="31" t="s">
        <v>28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56</v>
      </c>
      <c r="D6" s="20" t="s">
        <v>58</v>
      </c>
      <c r="E6" s="16"/>
      <c r="F6" s="31" t="s">
        <v>59</v>
      </c>
      <c r="G6" s="47" t="s">
        <v>44</v>
      </c>
      <c r="H6" s="36" t="s">
        <v>44</v>
      </c>
      <c r="I6" s="31" t="s">
        <v>30</v>
      </c>
      <c r="J6" s="31" t="s">
        <v>33</v>
      </c>
      <c r="K6" s="31" t="s">
        <v>33</v>
      </c>
      <c r="L6" s="31" t="s">
        <v>28</v>
      </c>
      <c r="M6" s="31" t="s">
        <v>43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64</v>
      </c>
      <c r="D7" s="20" t="s">
        <v>39</v>
      </c>
      <c r="E7" s="16"/>
      <c r="F7" s="31" t="s">
        <v>65</v>
      </c>
      <c r="G7" s="34"/>
      <c r="H7" s="36">
        <v>100000.0</v>
      </c>
      <c r="I7" s="31" t="s">
        <v>27</v>
      </c>
      <c r="J7" s="16"/>
      <c r="K7" s="16"/>
      <c r="L7" s="31" t="s">
        <v>28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68</v>
      </c>
      <c r="D8" s="20" t="s">
        <v>69</v>
      </c>
      <c r="E8" s="16"/>
      <c r="F8" s="31" t="s">
        <v>70</v>
      </c>
      <c r="G8" s="34"/>
      <c r="H8" s="36">
        <v>470000.0</v>
      </c>
      <c r="I8" s="31" t="s">
        <v>30</v>
      </c>
      <c r="J8" s="31" t="s">
        <v>33</v>
      </c>
      <c r="K8" s="31" t="s">
        <v>36</v>
      </c>
      <c r="L8" s="31" t="s">
        <v>28</v>
      </c>
      <c r="M8" s="31" t="s">
        <v>60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75</v>
      </c>
      <c r="D9" s="20" t="s">
        <v>23</v>
      </c>
      <c r="E9" s="16"/>
      <c r="F9" s="31" t="s">
        <v>32</v>
      </c>
      <c r="G9" s="34"/>
      <c r="H9" s="36">
        <v>250000.0</v>
      </c>
      <c r="I9" s="31" t="s">
        <v>30</v>
      </c>
      <c r="J9" s="31" t="s">
        <v>33</v>
      </c>
      <c r="K9" s="31" t="s">
        <v>36</v>
      </c>
      <c r="L9" s="31" t="s">
        <v>28</v>
      </c>
      <c r="M9" s="31" t="s">
        <v>43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79</v>
      </c>
      <c r="D10" s="20" t="s">
        <v>23</v>
      </c>
      <c r="E10" s="16"/>
      <c r="F10" s="31" t="s">
        <v>32</v>
      </c>
      <c r="G10" s="34"/>
      <c r="H10" s="36">
        <v>270000.0</v>
      </c>
      <c r="I10" s="31" t="s">
        <v>30</v>
      </c>
      <c r="J10" s="31" t="s">
        <v>33</v>
      </c>
      <c r="K10" s="31" t="s">
        <v>36</v>
      </c>
      <c r="L10" s="31" t="s">
        <v>28</v>
      </c>
      <c r="M10" s="31" t="s">
        <v>60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83</v>
      </c>
      <c r="D11" s="20" t="s">
        <v>23</v>
      </c>
      <c r="E11" s="16"/>
      <c r="F11" s="31" t="s">
        <v>32</v>
      </c>
      <c r="G11" s="34"/>
      <c r="H11" s="36">
        <v>270000.0</v>
      </c>
      <c r="I11" s="31" t="s">
        <v>30</v>
      </c>
      <c r="J11" s="31" t="s">
        <v>33</v>
      </c>
      <c r="K11" s="31" t="s">
        <v>36</v>
      </c>
      <c r="L11" s="31" t="s">
        <v>28</v>
      </c>
      <c r="M11" s="31" t="s">
        <v>60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0" t="s">
        <v>86</v>
      </c>
      <c r="D12" s="20" t="s">
        <v>23</v>
      </c>
      <c r="E12" s="16"/>
      <c r="F12" s="57">
        <v>46299.0</v>
      </c>
      <c r="G12" s="34"/>
      <c r="H12" s="36">
        <v>250000.0</v>
      </c>
      <c r="I12" s="31" t="s">
        <v>30</v>
      </c>
      <c r="J12" s="31" t="s">
        <v>33</v>
      </c>
      <c r="K12" s="31" t="s">
        <v>36</v>
      </c>
      <c r="L12" s="31" t="s">
        <v>28</v>
      </c>
      <c r="M12" s="31" t="s">
        <v>43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0" t="s">
        <v>89</v>
      </c>
      <c r="D13" s="20" t="s">
        <v>23</v>
      </c>
      <c r="E13" s="16"/>
      <c r="F13" s="57">
        <v>46299.0</v>
      </c>
      <c r="G13" s="34"/>
      <c r="H13" s="36">
        <v>290000.0</v>
      </c>
      <c r="I13" s="31" t="s">
        <v>30</v>
      </c>
      <c r="J13" s="31" t="s">
        <v>33</v>
      </c>
      <c r="K13" s="16"/>
      <c r="L13" s="31" t="s">
        <v>28</v>
      </c>
      <c r="M13" s="31" t="s">
        <v>84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0" t="s">
        <v>92</v>
      </c>
      <c r="D14" s="20" t="s">
        <v>23</v>
      </c>
      <c r="E14" s="16"/>
      <c r="F14" s="57">
        <v>46299.0</v>
      </c>
      <c r="G14" s="34"/>
      <c r="H14" s="36">
        <v>270000.0</v>
      </c>
      <c r="I14" s="31" t="s">
        <v>30</v>
      </c>
      <c r="J14" s="31" t="s">
        <v>33</v>
      </c>
      <c r="K14" s="16"/>
      <c r="L14" s="31" t="s">
        <v>28</v>
      </c>
      <c r="M14" s="31" t="s">
        <v>95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20" t="s">
        <v>96</v>
      </c>
      <c r="D15" s="20" t="s">
        <v>23</v>
      </c>
      <c r="E15" s="16"/>
      <c r="F15" s="57">
        <v>46299.0</v>
      </c>
      <c r="G15" s="47">
        <v>450000.0</v>
      </c>
      <c r="H15" s="36">
        <v>180000.0</v>
      </c>
      <c r="I15" s="31" t="s">
        <v>30</v>
      </c>
      <c r="J15" s="31" t="s">
        <v>33</v>
      </c>
      <c r="K15" s="31" t="s">
        <v>36</v>
      </c>
      <c r="L15" s="31" t="s">
        <v>28</v>
      </c>
      <c r="M15" s="31" t="s">
        <v>95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61" t="s">
        <v>102</v>
      </c>
      <c r="D16" s="20" t="s">
        <v>23</v>
      </c>
      <c r="E16" s="16"/>
      <c r="F16" s="57">
        <v>46299.0</v>
      </c>
      <c r="G16" s="47">
        <v>250000.0</v>
      </c>
      <c r="H16" s="62"/>
      <c r="I16" s="31" t="s">
        <v>30</v>
      </c>
      <c r="J16" s="31" t="s">
        <v>33</v>
      </c>
      <c r="K16" s="16"/>
      <c r="L16" s="31" t="s">
        <v>28</v>
      </c>
      <c r="M16" s="31" t="s">
        <v>84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20" t="s">
        <v>106</v>
      </c>
      <c r="D17" s="20" t="s">
        <v>23</v>
      </c>
      <c r="E17" s="16"/>
      <c r="F17" s="57">
        <v>46299.0</v>
      </c>
      <c r="G17" s="47">
        <v>370000.0</v>
      </c>
      <c r="H17" s="62"/>
      <c r="I17" s="31" t="s">
        <v>30</v>
      </c>
      <c r="J17" s="31" t="s">
        <v>33</v>
      </c>
      <c r="K17" s="16"/>
      <c r="L17" s="16"/>
      <c r="M17" s="31" t="s">
        <v>60</v>
      </c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20" t="s">
        <v>109</v>
      </c>
      <c r="D18" s="20" t="s">
        <v>23</v>
      </c>
      <c r="E18" s="16"/>
      <c r="F18" s="57">
        <v>46299.0</v>
      </c>
      <c r="G18" s="47">
        <v>290000.0</v>
      </c>
      <c r="H18" s="62"/>
      <c r="I18" s="31" t="s">
        <v>30</v>
      </c>
      <c r="J18" s="31" t="s">
        <v>33</v>
      </c>
      <c r="K18" s="16"/>
      <c r="L18" s="16"/>
      <c r="M18" s="31" t="s">
        <v>43</v>
      </c>
      <c r="N18" s="43"/>
      <c r="O18" s="43"/>
      <c r="P18" s="43"/>
      <c r="Q18" s="66"/>
      <c r="R18" s="1"/>
    </row>
    <row r="19" ht="15.75" customHeight="1">
      <c r="A19" s="1"/>
      <c r="B19" s="16">
        <v>16.0</v>
      </c>
      <c r="C19" s="67" t="s">
        <v>112</v>
      </c>
      <c r="D19" s="20" t="s">
        <v>23</v>
      </c>
      <c r="E19" s="16"/>
      <c r="F19" s="57">
        <v>46299.0</v>
      </c>
      <c r="G19" s="47">
        <v>460000.0</v>
      </c>
      <c r="H19" s="62"/>
      <c r="I19" s="31" t="s">
        <v>30</v>
      </c>
      <c r="J19" s="31" t="s">
        <v>33</v>
      </c>
      <c r="K19" s="16"/>
      <c r="L19" s="31" t="s">
        <v>28</v>
      </c>
      <c r="M19" s="31" t="s">
        <v>43</v>
      </c>
      <c r="N19" s="43"/>
      <c r="O19" s="43"/>
      <c r="P19" s="43"/>
      <c r="Q19" s="1"/>
      <c r="R19" s="1"/>
    </row>
    <row r="20" ht="15.75" customHeight="1">
      <c r="A20" s="1"/>
      <c r="B20" s="16">
        <v>17.0</v>
      </c>
      <c r="C20" s="20" t="s">
        <v>114</v>
      </c>
      <c r="D20" s="20" t="s">
        <v>22</v>
      </c>
      <c r="E20" s="16"/>
      <c r="F20" s="57">
        <v>46299.0</v>
      </c>
      <c r="G20" s="34"/>
      <c r="H20" s="36">
        <v>610000.0</v>
      </c>
      <c r="I20" s="31" t="s">
        <v>30</v>
      </c>
      <c r="J20" s="31" t="s">
        <v>33</v>
      </c>
      <c r="K20" s="16"/>
      <c r="L20" s="31" t="s">
        <v>28</v>
      </c>
      <c r="M20" s="31" t="s">
        <v>84</v>
      </c>
      <c r="N20" s="43"/>
      <c r="O20" s="43"/>
      <c r="P20" s="43"/>
      <c r="Q20" s="1"/>
      <c r="R20" s="1"/>
    </row>
    <row r="21" ht="15.75" customHeight="1">
      <c r="A21" s="1"/>
      <c r="B21" s="16">
        <v>18.0</v>
      </c>
      <c r="C21" s="20" t="s">
        <v>118</v>
      </c>
      <c r="D21" s="20" t="s">
        <v>23</v>
      </c>
      <c r="E21" s="16"/>
      <c r="F21" s="57">
        <v>46299.0</v>
      </c>
      <c r="G21" s="34"/>
      <c r="H21" s="36">
        <v>270000.0</v>
      </c>
      <c r="I21" s="31" t="s">
        <v>30</v>
      </c>
      <c r="J21" s="31" t="s">
        <v>33</v>
      </c>
      <c r="K21" s="16"/>
      <c r="L21" s="31" t="s">
        <v>28</v>
      </c>
      <c r="M21" s="31" t="s">
        <v>95</v>
      </c>
      <c r="N21" s="43"/>
      <c r="O21" s="43"/>
      <c r="P21" s="43"/>
      <c r="Q21" s="1"/>
      <c r="R21" s="1"/>
    </row>
    <row r="22" ht="15.75" customHeight="1">
      <c r="A22" s="1"/>
      <c r="B22" s="16">
        <v>19.0</v>
      </c>
      <c r="C22" s="75" t="s">
        <v>121</v>
      </c>
      <c r="D22" s="20" t="s">
        <v>23</v>
      </c>
      <c r="E22" s="16"/>
      <c r="F22" s="57">
        <v>46299.0</v>
      </c>
      <c r="G22" s="47">
        <v>270000.0</v>
      </c>
      <c r="H22" s="62"/>
      <c r="I22" s="31" t="s">
        <v>30</v>
      </c>
      <c r="J22" s="31" t="s">
        <v>33</v>
      </c>
      <c r="K22" s="31" t="s">
        <v>36</v>
      </c>
      <c r="L22" s="31" t="s">
        <v>28</v>
      </c>
      <c r="M22" s="31" t="s">
        <v>60</v>
      </c>
      <c r="N22" s="43"/>
      <c r="O22" s="43"/>
      <c r="P22" s="43"/>
      <c r="Q22" s="1"/>
      <c r="R22" s="1"/>
    </row>
    <row r="23" ht="15.75" customHeight="1">
      <c r="A23" s="1"/>
      <c r="B23" s="16">
        <v>20.0</v>
      </c>
      <c r="C23" s="20" t="s">
        <v>124</v>
      </c>
      <c r="D23" s="80"/>
      <c r="E23" s="16"/>
      <c r="F23" s="57">
        <v>46299.0</v>
      </c>
      <c r="G23" s="34"/>
      <c r="H23" s="36">
        <v>330000.0</v>
      </c>
      <c r="I23" s="31" t="s">
        <v>30</v>
      </c>
      <c r="J23" s="31" t="s">
        <v>33</v>
      </c>
      <c r="K23" s="31" t="s">
        <v>36</v>
      </c>
      <c r="L23" s="31" t="s">
        <v>28</v>
      </c>
      <c r="M23" s="31" t="s">
        <v>84</v>
      </c>
      <c r="N23" s="43"/>
      <c r="O23" s="43"/>
      <c r="P23" s="43"/>
      <c r="Q23" s="1"/>
      <c r="R23" s="1"/>
    </row>
    <row r="24" ht="15.75" customHeight="1">
      <c r="A24" s="1"/>
      <c r="B24" s="16">
        <v>21.0</v>
      </c>
      <c r="C24" s="20" t="s">
        <v>128</v>
      </c>
      <c r="D24" s="80"/>
      <c r="E24" s="16"/>
      <c r="F24" s="57">
        <v>46299.0</v>
      </c>
      <c r="G24" s="47">
        <v>250000.0</v>
      </c>
      <c r="H24" s="62"/>
      <c r="I24" s="31" t="s">
        <v>30</v>
      </c>
      <c r="J24" s="31" t="s">
        <v>33</v>
      </c>
      <c r="K24" s="16"/>
      <c r="L24" s="31" t="s">
        <v>28</v>
      </c>
      <c r="M24" s="31" t="s">
        <v>60</v>
      </c>
      <c r="N24" s="43"/>
      <c r="O24" s="43"/>
      <c r="P24" s="43"/>
      <c r="Q24" s="1"/>
      <c r="R24" s="1"/>
    </row>
    <row r="25" ht="15.75" customHeight="1">
      <c r="A25" s="1"/>
      <c r="B25" s="16">
        <v>22.0</v>
      </c>
      <c r="C25" s="20" t="s">
        <v>131</v>
      </c>
      <c r="D25" s="20" t="s">
        <v>23</v>
      </c>
      <c r="E25" s="16"/>
      <c r="F25" s="57">
        <v>46299.0</v>
      </c>
      <c r="G25" s="47">
        <v>290000.0</v>
      </c>
      <c r="H25" s="62"/>
      <c r="I25" s="31" t="s">
        <v>30</v>
      </c>
      <c r="J25" s="31" t="s">
        <v>33</v>
      </c>
      <c r="K25" s="16"/>
      <c r="L25" s="31" t="s">
        <v>28</v>
      </c>
      <c r="M25" s="31" t="s">
        <v>43</v>
      </c>
      <c r="N25" s="43"/>
      <c r="O25" s="43"/>
      <c r="P25" s="43"/>
      <c r="Q25" s="1"/>
      <c r="R25" s="1"/>
    </row>
    <row r="26" ht="15.75" customHeight="1">
      <c r="A26" s="1"/>
      <c r="B26" s="16">
        <v>23.0</v>
      </c>
      <c r="C26" s="20" t="s">
        <v>133</v>
      </c>
      <c r="D26" s="20" t="s">
        <v>23</v>
      </c>
      <c r="E26" s="16"/>
      <c r="F26" s="57">
        <v>46299.0</v>
      </c>
      <c r="G26" s="34"/>
      <c r="H26" s="36">
        <v>250000.0</v>
      </c>
      <c r="I26" s="31" t="s">
        <v>30</v>
      </c>
      <c r="J26" s="31" t="s">
        <v>33</v>
      </c>
      <c r="K26" s="31" t="s">
        <v>36</v>
      </c>
      <c r="L26" s="31" t="s">
        <v>28</v>
      </c>
      <c r="M26" s="31" t="s">
        <v>95</v>
      </c>
      <c r="N26" s="43"/>
      <c r="O26" s="43"/>
      <c r="P26" s="43"/>
      <c r="Q26" s="1"/>
      <c r="R26" s="1"/>
    </row>
    <row r="27" ht="15.75" customHeight="1">
      <c r="A27" s="1"/>
      <c r="B27" s="16">
        <v>24.0</v>
      </c>
      <c r="C27" s="61" t="s">
        <v>136</v>
      </c>
      <c r="D27" s="20" t="s">
        <v>23</v>
      </c>
      <c r="E27" s="16"/>
      <c r="F27" s="57">
        <v>46299.0</v>
      </c>
      <c r="G27" s="47">
        <v>430000.0</v>
      </c>
      <c r="H27" s="62"/>
      <c r="I27" s="31" t="s">
        <v>30</v>
      </c>
      <c r="J27" s="31" t="s">
        <v>33</v>
      </c>
      <c r="K27" s="16"/>
      <c r="L27" s="31" t="s">
        <v>28</v>
      </c>
      <c r="M27" s="31" t="s">
        <v>84</v>
      </c>
      <c r="N27" s="43"/>
      <c r="O27" s="43"/>
      <c r="P27" s="43"/>
      <c r="Q27" s="1"/>
      <c r="R27" s="1"/>
    </row>
    <row r="28" ht="15.75" customHeight="1">
      <c r="A28" s="1"/>
      <c r="B28" s="16">
        <v>25.0</v>
      </c>
      <c r="C28" s="61" t="s">
        <v>139</v>
      </c>
      <c r="D28" s="20" t="s">
        <v>23</v>
      </c>
      <c r="E28" s="16"/>
      <c r="F28" s="57">
        <v>46299.0</v>
      </c>
      <c r="G28" s="34"/>
      <c r="H28" s="36">
        <v>150000.0</v>
      </c>
      <c r="I28" s="31" t="s">
        <v>30</v>
      </c>
      <c r="J28" s="31" t="s">
        <v>33</v>
      </c>
      <c r="K28" s="16"/>
      <c r="L28" s="31" t="s">
        <v>28</v>
      </c>
      <c r="M28" s="31" t="s">
        <v>95</v>
      </c>
      <c r="N28" s="43"/>
      <c r="O28" s="43"/>
      <c r="P28" s="43"/>
      <c r="Q28" s="1"/>
      <c r="R28" s="1"/>
    </row>
    <row r="29" ht="15.75" customHeight="1">
      <c r="A29" s="1"/>
      <c r="B29" s="16">
        <v>26.0</v>
      </c>
      <c r="C29" s="20" t="s">
        <v>141</v>
      </c>
      <c r="D29" s="20" t="s">
        <v>23</v>
      </c>
      <c r="E29" s="16"/>
      <c r="F29" s="57">
        <v>46299.0</v>
      </c>
      <c r="G29" s="34"/>
      <c r="H29" s="36">
        <v>350000.0</v>
      </c>
      <c r="I29" s="31" t="s">
        <v>30</v>
      </c>
      <c r="J29" s="31" t="s">
        <v>33</v>
      </c>
      <c r="K29" s="16"/>
      <c r="L29" s="16"/>
      <c r="M29" s="31" t="s">
        <v>43</v>
      </c>
      <c r="N29" s="43"/>
      <c r="O29" s="43"/>
      <c r="P29" s="43"/>
      <c r="Q29" s="1"/>
      <c r="R29" s="1"/>
    </row>
    <row r="30" ht="15.75" customHeight="1">
      <c r="A30" s="1"/>
      <c r="B30" s="16">
        <v>27.0</v>
      </c>
      <c r="C30" s="61" t="s">
        <v>143</v>
      </c>
      <c r="D30" s="80"/>
      <c r="E30" s="16"/>
      <c r="F30" s="57">
        <v>46299.0</v>
      </c>
      <c r="G30" s="47">
        <v>250000.0</v>
      </c>
      <c r="H30" s="62"/>
      <c r="I30" s="31" t="s">
        <v>30</v>
      </c>
      <c r="J30" s="31" t="s">
        <v>33</v>
      </c>
      <c r="K30" s="16"/>
      <c r="L30" s="31" t="s">
        <v>28</v>
      </c>
      <c r="M30" s="31" t="s">
        <v>84</v>
      </c>
      <c r="N30" s="43"/>
      <c r="O30" s="43"/>
      <c r="P30" s="43"/>
      <c r="Q30" s="66"/>
      <c r="R30" s="1"/>
    </row>
    <row r="31" ht="15.75" customHeight="1">
      <c r="A31" s="1"/>
      <c r="B31" s="16">
        <v>28.0</v>
      </c>
      <c r="C31" s="20" t="s">
        <v>152</v>
      </c>
      <c r="D31" s="20" t="s">
        <v>23</v>
      </c>
      <c r="E31" s="16"/>
      <c r="F31" s="57">
        <v>46299.0</v>
      </c>
      <c r="G31" s="34"/>
      <c r="H31" s="36">
        <v>310000.0</v>
      </c>
      <c r="I31" s="31" t="s">
        <v>30</v>
      </c>
      <c r="J31" s="31" t="s">
        <v>33</v>
      </c>
      <c r="K31" s="16"/>
      <c r="L31" s="31" t="s">
        <v>28</v>
      </c>
      <c r="M31" s="31" t="s">
        <v>95</v>
      </c>
      <c r="N31" s="43"/>
      <c r="O31" s="43"/>
      <c r="P31" s="43"/>
      <c r="Q31" s="1"/>
      <c r="R31" s="1"/>
    </row>
    <row r="32" ht="15.75" customHeight="1">
      <c r="A32" s="1"/>
      <c r="B32" s="16">
        <v>29.0</v>
      </c>
      <c r="C32" s="61" t="s">
        <v>157</v>
      </c>
      <c r="D32" s="20" t="s">
        <v>23</v>
      </c>
      <c r="E32" s="16"/>
      <c r="F32" s="103"/>
      <c r="G32" s="34"/>
      <c r="H32" s="36">
        <v>330000.0</v>
      </c>
      <c r="I32" s="31" t="s">
        <v>30</v>
      </c>
      <c r="J32" s="31" t="s">
        <v>33</v>
      </c>
      <c r="K32" s="16"/>
      <c r="L32" s="31" t="s">
        <v>28</v>
      </c>
      <c r="M32" s="31" t="s">
        <v>43</v>
      </c>
      <c r="N32" s="43"/>
      <c r="O32" s="43"/>
      <c r="P32" s="43"/>
      <c r="Q32" s="1"/>
      <c r="R32" s="1"/>
    </row>
    <row r="33" ht="15.75" customHeight="1">
      <c r="A33" s="1"/>
      <c r="B33" s="16">
        <v>30.0</v>
      </c>
      <c r="C33" s="20" t="s">
        <v>160</v>
      </c>
      <c r="D33" s="20" t="s">
        <v>23</v>
      </c>
      <c r="E33" s="16"/>
      <c r="F33" s="57">
        <v>46299.0</v>
      </c>
      <c r="G33" s="47">
        <v>250000.0</v>
      </c>
      <c r="H33" s="62"/>
      <c r="I33" s="31" t="s">
        <v>30</v>
      </c>
      <c r="J33" s="31" t="s">
        <v>33</v>
      </c>
      <c r="K33" s="16"/>
      <c r="L33" s="31" t="s">
        <v>28</v>
      </c>
      <c r="M33" s="31" t="s">
        <v>84</v>
      </c>
      <c r="N33" s="43"/>
      <c r="O33" s="43"/>
      <c r="P33" s="43"/>
      <c r="Q33" s="1"/>
      <c r="R33" s="1"/>
    </row>
    <row r="34" ht="15.75" customHeight="1">
      <c r="A34" s="1"/>
      <c r="B34" s="16">
        <v>31.0</v>
      </c>
      <c r="C34" s="20" t="s">
        <v>161</v>
      </c>
      <c r="D34" s="20" t="s">
        <v>23</v>
      </c>
      <c r="E34" s="16"/>
      <c r="F34" s="57">
        <v>46299.0</v>
      </c>
      <c r="G34" s="47">
        <v>250000.0</v>
      </c>
      <c r="H34" s="62"/>
      <c r="I34" s="31" t="s">
        <v>30</v>
      </c>
      <c r="J34" s="31" t="s">
        <v>33</v>
      </c>
      <c r="K34" s="31" t="s">
        <v>36</v>
      </c>
      <c r="L34" s="31" t="s">
        <v>28</v>
      </c>
      <c r="M34" s="31" t="s">
        <v>95</v>
      </c>
      <c r="N34" s="43"/>
      <c r="O34" s="43"/>
      <c r="P34" s="43"/>
      <c r="Q34" s="1"/>
      <c r="R34" s="1"/>
    </row>
    <row r="35" ht="15.75" customHeight="1">
      <c r="A35" s="1"/>
      <c r="B35" s="16">
        <v>32.0</v>
      </c>
      <c r="C35" s="20" t="s">
        <v>163</v>
      </c>
      <c r="D35" s="20" t="s">
        <v>22</v>
      </c>
      <c r="E35" s="16"/>
      <c r="F35" s="57">
        <v>46299.0</v>
      </c>
      <c r="G35" s="47">
        <v>420000.0</v>
      </c>
      <c r="H35" s="62"/>
      <c r="I35" s="31" t="s">
        <v>30</v>
      </c>
      <c r="J35" s="31" t="s">
        <v>33</v>
      </c>
      <c r="K35" s="31" t="s">
        <v>36</v>
      </c>
      <c r="L35" s="31" t="s">
        <v>28</v>
      </c>
      <c r="M35" s="31" t="s">
        <v>60</v>
      </c>
      <c r="N35" s="43"/>
      <c r="O35" s="43"/>
      <c r="P35" s="43"/>
      <c r="Q35" s="1"/>
      <c r="R35" s="1"/>
    </row>
    <row r="36" ht="15.75" customHeight="1">
      <c r="A36" s="1"/>
      <c r="B36" s="16">
        <v>33.0</v>
      </c>
      <c r="C36" s="20" t="s">
        <v>164</v>
      </c>
      <c r="D36" s="20" t="s">
        <v>22</v>
      </c>
      <c r="E36" s="16"/>
      <c r="F36" s="57">
        <v>46299.0</v>
      </c>
      <c r="G36" s="47">
        <v>580000.0</v>
      </c>
      <c r="H36" s="62"/>
      <c r="I36" s="31" t="s">
        <v>30</v>
      </c>
      <c r="J36" s="31" t="s">
        <v>33</v>
      </c>
      <c r="K36" s="31" t="s">
        <v>36</v>
      </c>
      <c r="L36" s="31" t="s">
        <v>28</v>
      </c>
      <c r="M36" s="31" t="s">
        <v>43</v>
      </c>
      <c r="N36" s="43"/>
      <c r="O36" s="43"/>
      <c r="P36" s="43"/>
      <c r="Q36" s="1"/>
      <c r="R36" s="1"/>
    </row>
    <row r="37" ht="15.75" customHeight="1">
      <c r="A37" s="1"/>
      <c r="B37" s="16">
        <v>34.0</v>
      </c>
      <c r="C37" s="75" t="s">
        <v>165</v>
      </c>
      <c r="D37" s="20" t="s">
        <v>23</v>
      </c>
      <c r="E37" s="16"/>
      <c r="F37" s="57">
        <v>46299.0</v>
      </c>
      <c r="G37" s="47">
        <v>430000.0</v>
      </c>
      <c r="H37" s="62"/>
      <c r="I37" s="31" t="s">
        <v>30</v>
      </c>
      <c r="J37" s="31" t="s">
        <v>33</v>
      </c>
      <c r="K37" s="16"/>
      <c r="L37" s="31" t="s">
        <v>28</v>
      </c>
      <c r="M37" s="31" t="s">
        <v>84</v>
      </c>
      <c r="N37" s="43"/>
      <c r="O37" s="43"/>
      <c r="P37" s="43"/>
      <c r="Q37" s="1"/>
      <c r="R37" s="1"/>
    </row>
    <row r="38" ht="15.75" customHeight="1">
      <c r="A38" s="1"/>
      <c r="B38" s="16">
        <v>35.0</v>
      </c>
      <c r="C38" s="20" t="s">
        <v>167</v>
      </c>
      <c r="D38" s="20" t="s">
        <v>23</v>
      </c>
      <c r="E38" s="16"/>
      <c r="F38" s="57">
        <v>46299.0</v>
      </c>
      <c r="G38" s="47">
        <v>330000.0</v>
      </c>
      <c r="H38" s="62"/>
      <c r="I38" s="31" t="s">
        <v>30</v>
      </c>
      <c r="J38" s="31" t="s">
        <v>33</v>
      </c>
      <c r="K38" s="16"/>
      <c r="L38" s="16"/>
      <c r="M38" s="31" t="s">
        <v>84</v>
      </c>
      <c r="N38" s="43"/>
      <c r="O38" s="43"/>
      <c r="P38" s="43"/>
      <c r="Q38" s="1"/>
      <c r="R38" s="1"/>
    </row>
    <row r="39" ht="15.75" customHeight="1">
      <c r="A39" s="1"/>
      <c r="B39" s="16">
        <v>36.0</v>
      </c>
      <c r="C39" s="20" t="s">
        <v>169</v>
      </c>
      <c r="D39" s="20" t="s">
        <v>23</v>
      </c>
      <c r="E39" s="16"/>
      <c r="F39" s="57">
        <v>46299.0</v>
      </c>
      <c r="G39" s="34"/>
      <c r="H39" s="36">
        <v>270000.0</v>
      </c>
      <c r="I39" s="31" t="s">
        <v>30</v>
      </c>
      <c r="J39" s="31" t="s">
        <v>33</v>
      </c>
      <c r="K39" s="16"/>
      <c r="L39" s="31" t="s">
        <v>28</v>
      </c>
      <c r="M39" s="31" t="s">
        <v>95</v>
      </c>
      <c r="N39" s="43"/>
      <c r="O39" s="43"/>
      <c r="P39" s="43"/>
      <c r="Q39" s="1"/>
      <c r="R39" s="1"/>
    </row>
    <row r="40" ht="15.75" customHeight="1">
      <c r="A40" s="1"/>
      <c r="B40" s="31">
        <v>37.0</v>
      </c>
      <c r="C40" s="20" t="s">
        <v>171</v>
      </c>
      <c r="D40" s="20" t="s">
        <v>23</v>
      </c>
      <c r="E40" s="16"/>
      <c r="F40" s="57">
        <v>46299.0</v>
      </c>
      <c r="G40" s="47" t="s">
        <v>44</v>
      </c>
      <c r="H40" s="36" t="s">
        <v>44</v>
      </c>
      <c r="I40" s="31" t="s">
        <v>30</v>
      </c>
      <c r="J40" s="31" t="s">
        <v>33</v>
      </c>
      <c r="K40" s="31" t="s">
        <v>36</v>
      </c>
      <c r="L40" s="31" t="s">
        <v>28</v>
      </c>
      <c r="M40" s="31" t="s">
        <v>84</v>
      </c>
      <c r="N40" s="43"/>
      <c r="O40" s="43"/>
      <c r="P40" s="43"/>
      <c r="Q40" s="1"/>
      <c r="R40" s="1"/>
    </row>
    <row r="41" ht="15.75" customHeight="1">
      <c r="A41" s="1"/>
      <c r="B41" s="31">
        <v>38.0</v>
      </c>
      <c r="C41" s="109" t="s">
        <v>173</v>
      </c>
      <c r="D41" s="20" t="s">
        <v>23</v>
      </c>
      <c r="E41" s="16"/>
      <c r="F41" s="57"/>
      <c r="G41" s="34"/>
      <c r="H41" s="36">
        <v>290000.0</v>
      </c>
      <c r="I41" s="31" t="s">
        <v>30</v>
      </c>
      <c r="J41" s="31" t="s">
        <v>33</v>
      </c>
      <c r="K41" s="31" t="s">
        <v>36</v>
      </c>
      <c r="L41" s="31" t="s">
        <v>28</v>
      </c>
      <c r="M41" s="31" t="s">
        <v>95</v>
      </c>
      <c r="N41" s="43"/>
      <c r="O41" s="43"/>
      <c r="P41" s="43"/>
      <c r="Q41" s="1"/>
      <c r="R41" s="1"/>
    </row>
    <row r="42" ht="15.75" customHeight="1">
      <c r="A42" s="1"/>
      <c r="B42" s="16"/>
      <c r="C42" s="20" t="s">
        <v>175</v>
      </c>
      <c r="D42" s="20" t="s">
        <v>23</v>
      </c>
      <c r="E42" s="16"/>
      <c r="F42" s="57"/>
      <c r="G42" s="34"/>
      <c r="H42" s="36">
        <v>310000.0</v>
      </c>
      <c r="I42" s="31" t="s">
        <v>30</v>
      </c>
      <c r="J42" s="31" t="s">
        <v>33</v>
      </c>
      <c r="K42" s="31" t="s">
        <v>36</v>
      </c>
      <c r="L42" s="31" t="s">
        <v>28</v>
      </c>
      <c r="M42" s="31" t="s">
        <v>43</v>
      </c>
      <c r="N42" s="43"/>
      <c r="O42" s="43"/>
      <c r="P42" s="43"/>
      <c r="Q42" s="1"/>
      <c r="R42" s="1"/>
    </row>
    <row r="43" ht="15.75" customHeight="1">
      <c r="A43" s="1"/>
      <c r="B43" s="16"/>
      <c r="C43" s="20" t="s">
        <v>176</v>
      </c>
      <c r="D43" s="80"/>
      <c r="E43" s="16"/>
      <c r="F43" s="103"/>
      <c r="G43" s="34"/>
      <c r="H43" s="36">
        <v>350000.0</v>
      </c>
      <c r="I43" s="31" t="s">
        <v>30</v>
      </c>
      <c r="J43" s="31" t="s">
        <v>33</v>
      </c>
      <c r="K43" s="16"/>
      <c r="L43" s="31" t="s">
        <v>28</v>
      </c>
      <c r="M43" s="31" t="s">
        <v>43</v>
      </c>
      <c r="N43" s="43"/>
      <c r="O43" s="43"/>
      <c r="P43" s="43"/>
      <c r="Q43" s="1"/>
      <c r="R43" s="1"/>
    </row>
    <row r="44" ht="15.75" customHeight="1">
      <c r="A44" s="1"/>
      <c r="B44" s="16">
        <v>14.0</v>
      </c>
      <c r="C44" s="20" t="s">
        <v>177</v>
      </c>
      <c r="D44" s="20" t="s">
        <v>82</v>
      </c>
      <c r="E44" s="16"/>
      <c r="F44" s="31" t="s">
        <v>65</v>
      </c>
      <c r="G44" s="34"/>
      <c r="H44" s="36">
        <v>150000.0</v>
      </c>
      <c r="I44" s="31" t="s">
        <v>30</v>
      </c>
      <c r="J44" s="16"/>
      <c r="K44" s="16"/>
      <c r="L44" s="31" t="s">
        <v>28</v>
      </c>
      <c r="M44" s="31" t="s">
        <v>43</v>
      </c>
      <c r="N44" s="43"/>
      <c r="O44" s="43"/>
      <c r="P44" s="43"/>
      <c r="Q44" s="1"/>
      <c r="R44" s="1"/>
    </row>
    <row r="45" ht="15.75" customHeight="1">
      <c r="A45" s="1"/>
      <c r="B45" s="16">
        <v>15.0</v>
      </c>
      <c r="C45" s="20" t="s">
        <v>178</v>
      </c>
      <c r="D45" s="20" t="s">
        <v>23</v>
      </c>
      <c r="E45" s="16"/>
      <c r="F45" s="57">
        <v>46299.0</v>
      </c>
      <c r="G45" s="47">
        <v>370000.0</v>
      </c>
      <c r="H45" s="62"/>
      <c r="I45" s="31" t="s">
        <v>30</v>
      </c>
      <c r="J45" s="31" t="s">
        <v>33</v>
      </c>
      <c r="K45" s="31" t="s">
        <v>36</v>
      </c>
      <c r="L45" s="31" t="s">
        <v>38</v>
      </c>
      <c r="M45" s="31" t="s">
        <v>60</v>
      </c>
      <c r="N45" s="43"/>
      <c r="O45" s="43"/>
      <c r="P45" s="43"/>
      <c r="Q45" s="1"/>
      <c r="R45" s="1"/>
    </row>
    <row r="46" ht="15.75" customHeight="1">
      <c r="A46" s="1"/>
      <c r="B46" s="16">
        <v>16.0</v>
      </c>
      <c r="C46" s="20" t="s">
        <v>180</v>
      </c>
      <c r="D46" s="20" t="s">
        <v>23</v>
      </c>
      <c r="E46" s="16"/>
      <c r="F46" s="57">
        <v>46299.0</v>
      </c>
      <c r="G46" s="47">
        <v>0.0</v>
      </c>
      <c r="H46" s="36">
        <v>0.0</v>
      </c>
      <c r="I46" s="31" t="s">
        <v>30</v>
      </c>
      <c r="J46" s="31" t="s">
        <v>33</v>
      </c>
      <c r="K46" s="31" t="s">
        <v>36</v>
      </c>
      <c r="L46" s="31" t="s">
        <v>38</v>
      </c>
      <c r="M46" s="31" t="s">
        <v>43</v>
      </c>
      <c r="N46" s="43"/>
      <c r="O46" s="43"/>
      <c r="P46" s="43"/>
      <c r="Q46" s="1"/>
      <c r="R46" s="1"/>
    </row>
    <row r="47" ht="15.75" customHeight="1">
      <c r="A47" s="1"/>
      <c r="B47" s="16">
        <v>17.0</v>
      </c>
      <c r="C47" s="20" t="s">
        <v>182</v>
      </c>
      <c r="D47" s="20" t="s">
        <v>23</v>
      </c>
      <c r="E47" s="16"/>
      <c r="F47" s="57">
        <v>46299.0</v>
      </c>
      <c r="G47" s="47">
        <v>270000.0</v>
      </c>
      <c r="H47" s="62"/>
      <c r="I47" s="31" t="s">
        <v>30</v>
      </c>
      <c r="J47" s="31" t="s">
        <v>33</v>
      </c>
      <c r="K47" s="31" t="s">
        <v>36</v>
      </c>
      <c r="L47" s="31" t="s">
        <v>38</v>
      </c>
      <c r="M47" s="31" t="s">
        <v>60</v>
      </c>
      <c r="N47" s="43"/>
      <c r="O47" s="43"/>
      <c r="P47" s="43"/>
      <c r="Q47" s="1"/>
      <c r="R47" s="1"/>
    </row>
    <row r="48" ht="15.75" customHeight="1">
      <c r="A48" s="1"/>
      <c r="B48" s="16">
        <v>18.0</v>
      </c>
      <c r="C48" s="20" t="s">
        <v>184</v>
      </c>
      <c r="D48" s="20" t="s">
        <v>23</v>
      </c>
      <c r="E48" s="16"/>
      <c r="F48" s="57">
        <v>46299.0</v>
      </c>
      <c r="G48" s="47">
        <v>430000.0</v>
      </c>
      <c r="H48" s="62"/>
      <c r="I48" s="31" t="s">
        <v>30</v>
      </c>
      <c r="J48" s="31" t="s">
        <v>33</v>
      </c>
      <c r="K48" s="31" t="s">
        <v>36</v>
      </c>
      <c r="L48" s="31" t="s">
        <v>38</v>
      </c>
      <c r="M48" s="31" t="s">
        <v>95</v>
      </c>
      <c r="N48" s="43"/>
      <c r="O48" s="43"/>
      <c r="P48" s="43"/>
      <c r="Q48" s="9"/>
      <c r="R48" s="1"/>
    </row>
    <row r="49" ht="15.75" customHeight="1">
      <c r="A49" s="1"/>
      <c r="B49" s="16">
        <v>19.0</v>
      </c>
      <c r="C49" s="20" t="s">
        <v>186</v>
      </c>
      <c r="D49" s="20" t="s">
        <v>23</v>
      </c>
      <c r="E49" s="16"/>
      <c r="F49" s="57">
        <v>46299.0</v>
      </c>
      <c r="G49" s="47">
        <v>250000.0</v>
      </c>
      <c r="H49" s="62"/>
      <c r="I49" s="31" t="s">
        <v>30</v>
      </c>
      <c r="J49" s="31" t="s">
        <v>33</v>
      </c>
      <c r="K49" s="31" t="s">
        <v>36</v>
      </c>
      <c r="L49" s="31" t="s">
        <v>38</v>
      </c>
      <c r="M49" s="31" t="s">
        <v>95</v>
      </c>
      <c r="N49" s="43"/>
      <c r="O49" s="43"/>
      <c r="P49" s="43"/>
      <c r="Q49" s="1"/>
      <c r="R49" s="1"/>
    </row>
    <row r="50" ht="15.75" customHeight="1">
      <c r="A50" s="1"/>
      <c r="B50" s="16">
        <v>20.0</v>
      </c>
      <c r="C50" s="20" t="s">
        <v>188</v>
      </c>
      <c r="D50" s="20" t="s">
        <v>23</v>
      </c>
      <c r="E50" s="16"/>
      <c r="F50" s="57">
        <v>46299.0</v>
      </c>
      <c r="G50" s="34"/>
      <c r="H50" s="36">
        <v>530000.0</v>
      </c>
      <c r="I50" s="31" t="s">
        <v>30</v>
      </c>
      <c r="J50" s="31" t="s">
        <v>33</v>
      </c>
      <c r="K50" s="31" t="s">
        <v>36</v>
      </c>
      <c r="L50" s="31" t="s">
        <v>38</v>
      </c>
      <c r="M50" s="31" t="s">
        <v>84</v>
      </c>
      <c r="N50" s="43"/>
      <c r="O50" s="43"/>
      <c r="P50" s="43"/>
      <c r="Q50" s="1"/>
      <c r="R50" s="1"/>
    </row>
    <row r="51" ht="15.75" customHeight="1">
      <c r="A51" s="1"/>
      <c r="B51" s="16">
        <v>21.0</v>
      </c>
      <c r="C51" s="20" t="s">
        <v>190</v>
      </c>
      <c r="D51" s="20" t="s">
        <v>23</v>
      </c>
      <c r="E51" s="16"/>
      <c r="F51" s="57">
        <v>46299.0</v>
      </c>
      <c r="G51" s="47">
        <v>330000.0</v>
      </c>
      <c r="H51" s="62"/>
      <c r="I51" s="31" t="s">
        <v>30</v>
      </c>
      <c r="J51" s="31" t="s">
        <v>33</v>
      </c>
      <c r="K51" s="31" t="s">
        <v>36</v>
      </c>
      <c r="L51" s="31" t="s">
        <v>38</v>
      </c>
      <c r="M51" s="31" t="s">
        <v>60</v>
      </c>
      <c r="N51" s="43"/>
      <c r="O51" s="43"/>
      <c r="P51" s="43"/>
      <c r="Q51" s="9"/>
      <c r="R51" s="1"/>
    </row>
    <row r="52" ht="15.75" customHeight="1">
      <c r="A52" s="1"/>
      <c r="B52" s="16">
        <v>22.0</v>
      </c>
      <c r="C52" s="20" t="s">
        <v>191</v>
      </c>
      <c r="D52" s="20" t="s">
        <v>23</v>
      </c>
      <c r="E52" s="16"/>
      <c r="F52" s="57">
        <v>46299.0</v>
      </c>
      <c r="G52" s="47">
        <v>390000.0</v>
      </c>
      <c r="H52" s="62"/>
      <c r="I52" s="31" t="s">
        <v>30</v>
      </c>
      <c r="J52" s="31" t="s">
        <v>33</v>
      </c>
      <c r="K52" s="31" t="s">
        <v>36</v>
      </c>
      <c r="L52" s="31" t="s">
        <v>38</v>
      </c>
      <c r="M52" s="31" t="s">
        <v>60</v>
      </c>
      <c r="N52" s="43"/>
      <c r="O52" s="43"/>
      <c r="P52" s="43"/>
      <c r="Q52" s="1"/>
      <c r="R52" s="1"/>
    </row>
    <row r="53" ht="15.75" customHeight="1">
      <c r="A53" s="1"/>
      <c r="B53" s="16">
        <v>23.0</v>
      </c>
      <c r="C53" s="20" t="s">
        <v>192</v>
      </c>
      <c r="D53" s="20" t="s">
        <v>23</v>
      </c>
      <c r="E53" s="16"/>
      <c r="F53" s="57">
        <v>46299.0</v>
      </c>
      <c r="G53" s="47">
        <v>350000.0</v>
      </c>
      <c r="H53" s="62"/>
      <c r="I53" s="31" t="s">
        <v>30</v>
      </c>
      <c r="J53" s="31" t="s">
        <v>33</v>
      </c>
      <c r="K53" s="31" t="s">
        <v>36</v>
      </c>
      <c r="L53" s="31" t="s">
        <v>38</v>
      </c>
      <c r="M53" s="31" t="s">
        <v>60</v>
      </c>
      <c r="N53" s="43"/>
      <c r="O53" s="43"/>
      <c r="P53" s="43"/>
      <c r="Q53" s="9"/>
      <c r="R53" s="1"/>
    </row>
    <row r="54" ht="15.75" customHeight="1">
      <c r="A54" s="1"/>
      <c r="B54" s="16">
        <v>24.0</v>
      </c>
      <c r="C54" s="20" t="s">
        <v>193</v>
      </c>
      <c r="D54" s="20" t="s">
        <v>22</v>
      </c>
      <c r="E54" s="16"/>
      <c r="F54" s="57">
        <v>46299.0</v>
      </c>
      <c r="G54" s="47">
        <v>420000.0</v>
      </c>
      <c r="H54" s="62"/>
      <c r="I54" s="31" t="s">
        <v>30</v>
      </c>
      <c r="J54" s="31" t="s">
        <v>33</v>
      </c>
      <c r="K54" s="31" t="s">
        <v>36</v>
      </c>
      <c r="L54" s="31" t="s">
        <v>38</v>
      </c>
      <c r="M54" s="31" t="s">
        <v>60</v>
      </c>
      <c r="N54" s="43"/>
      <c r="O54" s="43"/>
      <c r="P54" s="43"/>
      <c r="Q54" s="1"/>
      <c r="R54" s="1"/>
    </row>
    <row r="55" ht="15.75" customHeight="1">
      <c r="A55" s="1"/>
      <c r="B55" s="16">
        <v>25.0</v>
      </c>
      <c r="C55" s="20" t="s">
        <v>194</v>
      </c>
      <c r="D55" s="20" t="s">
        <v>34</v>
      </c>
      <c r="E55" s="16"/>
      <c r="F55" s="57">
        <v>46299.0</v>
      </c>
      <c r="G55" s="34"/>
      <c r="H55" s="36">
        <v>100000.0</v>
      </c>
      <c r="I55" s="31" t="s">
        <v>27</v>
      </c>
      <c r="J55" s="16"/>
      <c r="K55" s="16"/>
      <c r="L55" s="31" t="s">
        <v>38</v>
      </c>
      <c r="M55" s="16"/>
      <c r="N55" s="43"/>
      <c r="O55" s="43"/>
      <c r="P55" s="43"/>
      <c r="Q55" s="1"/>
      <c r="R55" s="1"/>
    </row>
    <row r="56" ht="15.75" customHeight="1">
      <c r="A56" s="1"/>
      <c r="B56" s="16">
        <v>26.0</v>
      </c>
      <c r="C56" s="20" t="s">
        <v>195</v>
      </c>
      <c r="D56" s="20" t="s">
        <v>23</v>
      </c>
      <c r="E56" s="31" t="s">
        <v>196</v>
      </c>
      <c r="F56" s="57">
        <v>46299.0</v>
      </c>
      <c r="G56" s="34"/>
      <c r="H56" s="36">
        <v>410000.0</v>
      </c>
      <c r="I56" s="31" t="s">
        <v>30</v>
      </c>
      <c r="J56" s="31" t="s">
        <v>33</v>
      </c>
      <c r="K56" s="31" t="s">
        <v>36</v>
      </c>
      <c r="L56" s="31" t="s">
        <v>38</v>
      </c>
      <c r="M56" s="31" t="s">
        <v>60</v>
      </c>
      <c r="N56" s="43"/>
      <c r="O56" s="43"/>
      <c r="P56" s="43"/>
      <c r="Q56" s="1"/>
      <c r="R56" s="1"/>
    </row>
    <row r="57" ht="15.75" customHeight="1">
      <c r="A57" s="1"/>
      <c r="B57" s="16">
        <v>27.0</v>
      </c>
      <c r="C57" s="20" t="s">
        <v>197</v>
      </c>
      <c r="D57" s="20" t="s">
        <v>23</v>
      </c>
      <c r="E57" s="16"/>
      <c r="F57" s="57">
        <v>46301.0</v>
      </c>
      <c r="G57" s="34"/>
      <c r="H57" s="36">
        <v>100000.0</v>
      </c>
      <c r="I57" s="31" t="s">
        <v>27</v>
      </c>
      <c r="J57" s="16"/>
      <c r="K57" s="16"/>
      <c r="L57" s="31" t="s">
        <v>38</v>
      </c>
      <c r="M57" s="16"/>
      <c r="N57" s="43"/>
      <c r="O57" s="43"/>
      <c r="P57" s="43"/>
      <c r="Q57" s="1"/>
      <c r="R57" s="1"/>
    </row>
    <row r="58" ht="15.75" customHeight="1">
      <c r="A58" s="1"/>
      <c r="B58" s="16">
        <v>28.0</v>
      </c>
      <c r="C58" s="20" t="s">
        <v>198</v>
      </c>
      <c r="D58" s="20" t="s">
        <v>23</v>
      </c>
      <c r="E58" s="16"/>
      <c r="F58" s="31" t="s">
        <v>24</v>
      </c>
      <c r="G58" s="34"/>
      <c r="H58" s="36">
        <v>410000.0</v>
      </c>
      <c r="I58" s="31" t="s">
        <v>30</v>
      </c>
      <c r="J58" s="31" t="s">
        <v>33</v>
      </c>
      <c r="K58" s="31" t="s">
        <v>36</v>
      </c>
      <c r="L58" s="31" t="s">
        <v>28</v>
      </c>
      <c r="M58" s="31" t="s">
        <v>43</v>
      </c>
      <c r="N58" s="43"/>
      <c r="O58" s="43"/>
      <c r="P58" s="43"/>
      <c r="Q58" s="1"/>
      <c r="R58" s="1"/>
    </row>
    <row r="59" ht="15.75" customHeight="1">
      <c r="A59" s="1"/>
      <c r="B59" s="16">
        <v>29.0</v>
      </c>
      <c r="C59" s="20" t="s">
        <v>168</v>
      </c>
      <c r="D59" s="20" t="s">
        <v>22</v>
      </c>
      <c r="E59" s="16"/>
      <c r="F59" s="31" t="s">
        <v>42</v>
      </c>
      <c r="G59" s="34"/>
      <c r="H59" s="36">
        <v>150000.0</v>
      </c>
      <c r="I59" s="31" t="s">
        <v>30</v>
      </c>
      <c r="J59" s="31" t="s">
        <v>33</v>
      </c>
      <c r="K59" s="31" t="s">
        <v>36</v>
      </c>
      <c r="L59" s="31" t="s">
        <v>28</v>
      </c>
      <c r="M59" s="16"/>
      <c r="N59" s="43"/>
      <c r="O59" s="43"/>
      <c r="P59" s="43"/>
      <c r="Q59" s="1"/>
      <c r="R59" s="1"/>
    </row>
    <row r="60" ht="15.75" customHeight="1">
      <c r="A60" s="1"/>
      <c r="B60" s="16">
        <v>30.0</v>
      </c>
      <c r="C60" s="80"/>
      <c r="D60" s="80"/>
      <c r="E60" s="16"/>
      <c r="F60" s="103"/>
      <c r="G60" s="34"/>
      <c r="H60" s="62"/>
      <c r="I60" s="16"/>
      <c r="J60" s="16"/>
      <c r="K60" s="16"/>
      <c r="L60" s="16"/>
      <c r="M60" s="16"/>
      <c r="N60" s="43"/>
      <c r="O60" s="43"/>
      <c r="P60" s="43"/>
      <c r="Q60" s="1"/>
      <c r="R60" s="1"/>
    </row>
    <row r="61" ht="15.75" customHeight="1">
      <c r="A61" s="1"/>
      <c r="B61" s="16">
        <v>31.0</v>
      </c>
      <c r="C61" s="80"/>
      <c r="D61" s="80"/>
      <c r="E61" s="16"/>
      <c r="F61" s="103"/>
      <c r="G61" s="34"/>
      <c r="H61" s="62"/>
      <c r="I61" s="16"/>
      <c r="J61" s="16"/>
      <c r="K61" s="16"/>
      <c r="L61" s="16"/>
      <c r="M61" s="16"/>
      <c r="N61" s="43"/>
      <c r="O61" s="43"/>
      <c r="P61" s="43"/>
      <c r="Q61" s="1"/>
      <c r="R61" s="1"/>
    </row>
    <row r="62" ht="15.75" customHeight="1">
      <c r="A62" s="1"/>
      <c r="B62" s="16">
        <v>32.0</v>
      </c>
      <c r="C62" s="80"/>
      <c r="D62" s="80"/>
      <c r="E62" s="16"/>
      <c r="F62" s="103"/>
      <c r="G62" s="34"/>
      <c r="H62" s="62"/>
      <c r="I62" s="16"/>
      <c r="J62" s="16"/>
      <c r="K62" s="16"/>
      <c r="L62" s="16"/>
      <c r="M62" s="16"/>
      <c r="N62" s="43"/>
      <c r="O62" s="43"/>
      <c r="P62" s="43"/>
      <c r="Q62" s="1"/>
      <c r="R62" s="1"/>
    </row>
    <row r="63" ht="15.75" customHeight="1">
      <c r="A63" s="1"/>
      <c r="B63" s="16">
        <v>33.0</v>
      </c>
      <c r="C63" s="80"/>
      <c r="D63" s="80"/>
      <c r="E63" s="16"/>
      <c r="F63" s="103"/>
      <c r="G63" s="34"/>
      <c r="H63" s="62"/>
      <c r="I63" s="16"/>
      <c r="J63" s="16"/>
      <c r="K63" s="16"/>
      <c r="L63" s="16"/>
      <c r="M63" s="16"/>
      <c r="N63" s="43"/>
      <c r="O63" s="43"/>
      <c r="P63" s="43"/>
      <c r="Q63" s="1"/>
      <c r="R63" s="1"/>
    </row>
    <row r="64" ht="15.75" customHeight="1">
      <c r="A64" s="1"/>
      <c r="B64" s="16">
        <v>34.0</v>
      </c>
      <c r="C64" s="80"/>
      <c r="D64" s="80"/>
      <c r="E64" s="16"/>
      <c r="F64" s="103"/>
      <c r="G64" s="34"/>
      <c r="H64" s="62"/>
      <c r="I64" s="16"/>
      <c r="J64" s="16"/>
      <c r="K64" s="16"/>
      <c r="L64" s="16"/>
      <c r="M64" s="16"/>
      <c r="N64" s="43"/>
      <c r="O64" s="43"/>
      <c r="P64" s="43"/>
      <c r="Q64" s="1"/>
      <c r="R64" s="1"/>
    </row>
    <row r="65" ht="15.75" customHeight="1">
      <c r="A65" s="1"/>
      <c r="B65" s="16">
        <v>35.0</v>
      </c>
      <c r="C65" s="80"/>
      <c r="D65" s="80"/>
      <c r="E65" s="16"/>
      <c r="F65" s="103"/>
      <c r="G65" s="34"/>
      <c r="H65" s="62"/>
      <c r="I65" s="16"/>
      <c r="J65" s="16"/>
      <c r="K65" s="16"/>
      <c r="L65" s="16"/>
      <c r="M65" s="16"/>
      <c r="N65" s="43"/>
      <c r="O65" s="43"/>
      <c r="P65" s="43"/>
      <c r="Q65" s="1"/>
      <c r="R65" s="1"/>
    </row>
    <row r="66" ht="15.75" customHeight="1">
      <c r="A66" s="1"/>
      <c r="B66" s="16">
        <v>36.0</v>
      </c>
      <c r="C66" s="80"/>
      <c r="D66" s="80"/>
      <c r="E66" s="16"/>
      <c r="F66" s="103"/>
      <c r="G66" s="34"/>
      <c r="H66" s="62"/>
      <c r="I66" s="16"/>
      <c r="J66" s="16"/>
      <c r="K66" s="16"/>
      <c r="L66" s="16"/>
      <c r="M66" s="16"/>
      <c r="N66" s="43"/>
      <c r="O66" s="43"/>
      <c r="P66" s="43"/>
      <c r="Q66" s="1"/>
      <c r="R66" s="1"/>
    </row>
    <row r="67" ht="15.75" customHeight="1">
      <c r="A67" s="1"/>
      <c r="B67" s="16">
        <v>37.0</v>
      </c>
      <c r="C67" s="80"/>
      <c r="D67" s="80"/>
      <c r="E67" s="16"/>
      <c r="F67" s="103"/>
      <c r="G67" s="34"/>
      <c r="H67" s="62"/>
      <c r="I67" s="16"/>
      <c r="J67" s="16"/>
      <c r="K67" s="16"/>
      <c r="L67" s="16"/>
      <c r="M67" s="16"/>
      <c r="N67" s="43"/>
      <c r="O67" s="43"/>
      <c r="P67" s="43"/>
      <c r="Q67" s="1"/>
      <c r="R67" s="1"/>
    </row>
    <row r="68" ht="15.75" customHeight="1">
      <c r="A68" s="1"/>
      <c r="B68" s="16">
        <v>38.0</v>
      </c>
      <c r="C68" s="80"/>
      <c r="D68" s="80"/>
      <c r="E68" s="16"/>
      <c r="F68" s="103"/>
      <c r="G68" s="34"/>
      <c r="H68" s="62"/>
      <c r="I68" s="16"/>
      <c r="J68" s="16"/>
      <c r="K68" s="16"/>
      <c r="L68" s="16"/>
      <c r="M68" s="16"/>
      <c r="N68" s="43"/>
      <c r="O68" s="43"/>
      <c r="P68" s="43"/>
      <c r="Q68" s="1"/>
      <c r="R68" s="1"/>
    </row>
    <row r="69" ht="15.75" customHeight="1">
      <c r="A69" s="1"/>
      <c r="B69" s="16">
        <v>39.0</v>
      </c>
      <c r="C69" s="80"/>
      <c r="D69" s="80"/>
      <c r="E69" s="16"/>
      <c r="F69" s="103"/>
      <c r="G69" s="34"/>
      <c r="H69" s="62"/>
      <c r="I69" s="16"/>
      <c r="J69" s="16"/>
      <c r="K69" s="16"/>
      <c r="L69" s="16"/>
      <c r="M69" s="16"/>
      <c r="N69" s="43"/>
      <c r="O69" s="43"/>
      <c r="P69" s="43"/>
      <c r="Q69" s="1"/>
      <c r="R69" s="1"/>
    </row>
    <row r="70" ht="15.75" customHeight="1">
      <c r="A70" s="1"/>
      <c r="B70" s="16">
        <v>40.0</v>
      </c>
      <c r="C70" s="80"/>
      <c r="D70" s="80"/>
      <c r="E70" s="16"/>
      <c r="F70" s="103"/>
      <c r="G70" s="34"/>
      <c r="H70" s="62"/>
      <c r="I70" s="16"/>
      <c r="J70" s="16"/>
      <c r="K70" s="16"/>
      <c r="L70" s="16"/>
      <c r="M70" s="16"/>
      <c r="N70" s="43"/>
      <c r="O70" s="43"/>
      <c r="P70" s="43"/>
      <c r="Q70" s="1"/>
      <c r="R70" s="1"/>
    </row>
    <row r="71" ht="15.75" customHeight="1">
      <c r="A71" s="1"/>
      <c r="B71" s="16">
        <v>41.0</v>
      </c>
      <c r="C71" s="80"/>
      <c r="D71" s="80"/>
      <c r="E71" s="16"/>
      <c r="F71" s="103"/>
      <c r="G71" s="34"/>
      <c r="H71" s="62"/>
      <c r="I71" s="16"/>
      <c r="J71" s="16"/>
      <c r="K71" s="16"/>
      <c r="L71" s="16"/>
      <c r="M71" s="16"/>
      <c r="N71" s="43"/>
      <c r="O71" s="43"/>
      <c r="P71" s="43"/>
      <c r="Q71" s="1"/>
      <c r="R71" s="1"/>
    </row>
    <row r="72" ht="15.75" customHeight="1">
      <c r="A72" s="1"/>
      <c r="B72" s="16">
        <v>42.0</v>
      </c>
      <c r="C72" s="80"/>
      <c r="D72" s="80"/>
      <c r="E72" s="16"/>
      <c r="F72" s="103"/>
      <c r="G72" s="34"/>
      <c r="H72" s="62"/>
      <c r="I72" s="16"/>
      <c r="J72" s="16"/>
      <c r="K72" s="16"/>
      <c r="L72" s="16"/>
      <c r="M72" s="16"/>
      <c r="N72" s="43"/>
      <c r="O72" s="43"/>
      <c r="P72" s="43"/>
      <c r="Q72" s="1"/>
      <c r="R72" s="1"/>
    </row>
    <row r="73" ht="15.75" customHeight="1">
      <c r="A73" s="1"/>
      <c r="B73" s="16">
        <v>43.0</v>
      </c>
      <c r="C73" s="80"/>
      <c r="D73" s="80"/>
      <c r="E73" s="16"/>
      <c r="F73" s="103"/>
      <c r="G73" s="34"/>
      <c r="H73" s="62"/>
      <c r="I73" s="16"/>
      <c r="J73" s="16"/>
      <c r="K73" s="16"/>
      <c r="L73" s="16"/>
      <c r="M73" s="16"/>
      <c r="N73" s="43"/>
      <c r="O73" s="43"/>
      <c r="P73" s="43"/>
      <c r="Q73" s="1"/>
      <c r="R73" s="1"/>
    </row>
    <row r="74" ht="15.75" customHeight="1">
      <c r="A74" s="1"/>
      <c r="B74" s="16">
        <v>44.0</v>
      </c>
      <c r="C74" s="80"/>
      <c r="D74" s="80"/>
      <c r="E74" s="16"/>
      <c r="F74" s="103"/>
      <c r="G74" s="34"/>
      <c r="H74" s="62"/>
      <c r="I74" s="16"/>
      <c r="J74" s="16"/>
      <c r="K74" s="16"/>
      <c r="L74" s="16"/>
      <c r="M74" s="16"/>
      <c r="N74" s="43"/>
      <c r="O74" s="43"/>
      <c r="P74" s="43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24">
        <f t="shared" ref="G75:H75" si="1">SUM(G4:G74)</f>
        <v>8380000</v>
      </c>
      <c r="H75" s="78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1" t="s">
        <v>0</v>
      </c>
      <c r="C78" s="80" t="s">
        <v>6</v>
      </c>
      <c r="D78" s="72" t="s">
        <v>115</v>
      </c>
      <c r="E78" s="1"/>
      <c r="F78" s="1"/>
      <c r="G78" s="1"/>
      <c r="H78" s="1"/>
      <c r="I78" s="1"/>
      <c r="J78" s="1"/>
      <c r="K78" s="1"/>
      <c r="L78" s="1"/>
      <c r="M78" s="1"/>
      <c r="N78" s="72" t="s">
        <v>117</v>
      </c>
      <c r="O78" s="72" t="s">
        <v>1</v>
      </c>
      <c r="P78" s="1"/>
      <c r="Q78" s="1"/>
      <c r="R78" s="1"/>
    </row>
    <row r="79" ht="15.75" customHeight="1">
      <c r="A79" s="1"/>
      <c r="B79" s="73">
        <v>1.0</v>
      </c>
      <c r="C79" s="74" t="s">
        <v>119</v>
      </c>
      <c r="D79" s="76">
        <f>SUM(G75)</f>
        <v>8380000</v>
      </c>
      <c r="E79" s="77"/>
      <c r="F79" s="1"/>
      <c r="G79" s="1"/>
      <c r="H79" s="1"/>
      <c r="I79" s="1"/>
      <c r="J79" s="1"/>
      <c r="K79" s="1"/>
      <c r="L79" s="1"/>
      <c r="M79" s="1"/>
      <c r="N79" s="79" t="s">
        <v>123</v>
      </c>
      <c r="O79" s="81" t="s">
        <v>38</v>
      </c>
      <c r="P79" s="1"/>
      <c r="Q79" s="1"/>
      <c r="R79" s="1"/>
    </row>
    <row r="80" ht="15.75" customHeight="1">
      <c r="A80" s="1"/>
      <c r="B80" s="82">
        <v>2.0</v>
      </c>
      <c r="C80" s="141" t="s">
        <v>213</v>
      </c>
      <c r="D80" s="142">
        <v>-110000.0</v>
      </c>
      <c r="E80" s="77"/>
      <c r="F80" s="1"/>
      <c r="G80" s="1"/>
      <c r="H80" s="1"/>
      <c r="I80" s="1"/>
      <c r="J80" s="1"/>
      <c r="K80" s="1"/>
      <c r="L80" s="1"/>
      <c r="M80" s="1"/>
      <c r="N80" s="85" t="s">
        <v>129</v>
      </c>
      <c r="O80" s="86" t="s">
        <v>28</v>
      </c>
      <c r="P80" s="1"/>
      <c r="Q80" s="1"/>
      <c r="R80" s="1"/>
    </row>
    <row r="81" ht="15.75" customHeight="1">
      <c r="A81" s="1"/>
      <c r="B81" s="73">
        <v>3.0</v>
      </c>
      <c r="C81" s="74"/>
      <c r="D81" s="76"/>
      <c r="E81" s="77"/>
      <c r="F81" s="1"/>
      <c r="G81" s="1"/>
      <c r="H81" s="1"/>
      <c r="I81" s="1"/>
      <c r="J81" s="1"/>
      <c r="K81" s="1"/>
      <c r="L81" s="1"/>
      <c r="M81" s="1"/>
      <c r="N81" s="89" t="s">
        <v>134</v>
      </c>
      <c r="O81" s="90" t="s">
        <v>43</v>
      </c>
      <c r="P81" s="1"/>
      <c r="Q81" s="1"/>
      <c r="R81" s="1"/>
    </row>
    <row r="82" ht="15.75" customHeight="1">
      <c r="A82" s="1"/>
      <c r="B82" s="82">
        <v>4.0</v>
      </c>
      <c r="C82" s="74"/>
      <c r="D82" s="99"/>
      <c r="E82" s="77"/>
      <c r="F82" s="1"/>
      <c r="G82" s="1"/>
      <c r="H82" s="1"/>
      <c r="I82" s="1"/>
      <c r="J82" s="1"/>
      <c r="K82" s="1"/>
      <c r="L82" s="1"/>
      <c r="M82" s="1"/>
      <c r="N82" s="93" t="s">
        <v>137</v>
      </c>
      <c r="O82" s="86" t="s">
        <v>60</v>
      </c>
      <c r="P82" s="1"/>
      <c r="Q82" s="1"/>
      <c r="R82" s="1"/>
    </row>
    <row r="83" ht="15.75" customHeight="1">
      <c r="A83" s="1"/>
      <c r="B83" s="73">
        <v>5.0</v>
      </c>
      <c r="C83" s="74"/>
      <c r="D83" s="76"/>
      <c r="E83" s="77"/>
      <c r="F83" s="1"/>
      <c r="G83" s="1"/>
      <c r="H83" s="1"/>
      <c r="I83" s="1"/>
      <c r="J83" s="1"/>
      <c r="K83" s="1"/>
      <c r="L83" s="1"/>
      <c r="M83" s="1"/>
      <c r="N83" s="95"/>
      <c r="O83" s="1"/>
      <c r="P83" s="1"/>
      <c r="Q83" s="1"/>
      <c r="R83" s="1"/>
    </row>
    <row r="84" ht="15.75" customHeight="1">
      <c r="A84" s="1"/>
      <c r="B84" s="82">
        <v>6.0</v>
      </c>
      <c r="C84" s="74"/>
      <c r="D84" s="99"/>
      <c r="E84" s="77"/>
      <c r="F84" s="1"/>
      <c r="G84" s="1"/>
      <c r="H84" s="1"/>
      <c r="I84" s="1"/>
      <c r="J84" s="1"/>
      <c r="K84" s="100" t="s">
        <v>142</v>
      </c>
      <c r="Q84" s="1"/>
      <c r="R84" s="1"/>
    </row>
    <row r="85" ht="15.75" customHeight="1">
      <c r="A85" s="1"/>
      <c r="B85" s="73">
        <v>7.0</v>
      </c>
      <c r="C85" s="74"/>
      <c r="D85" s="76"/>
      <c r="E85" s="77"/>
      <c r="F85" s="1"/>
      <c r="G85" s="1"/>
      <c r="H85" s="1"/>
      <c r="I85" s="1"/>
      <c r="J85" s="1"/>
      <c r="K85" s="101" t="s">
        <v>1</v>
      </c>
      <c r="L85" s="101" t="s">
        <v>145</v>
      </c>
      <c r="M85" s="101" t="s">
        <v>146</v>
      </c>
      <c r="N85" s="101" t="s">
        <v>147</v>
      </c>
      <c r="O85" s="101" t="s">
        <v>148</v>
      </c>
      <c r="P85" s="101" t="s">
        <v>149</v>
      </c>
      <c r="Q85" s="1"/>
      <c r="R85" s="1"/>
      <c r="AC85" s="102" t="s">
        <v>150</v>
      </c>
      <c r="AD85" s="102" t="s">
        <v>151</v>
      </c>
      <c r="AE85" s="102" t="s">
        <v>153</v>
      </c>
      <c r="AF85" s="102" t="s">
        <v>155</v>
      </c>
      <c r="AG85" s="102" t="s">
        <v>156</v>
      </c>
    </row>
    <row r="86" ht="15.75" customHeight="1">
      <c r="A86" s="1"/>
      <c r="B86" s="82">
        <v>8.0</v>
      </c>
      <c r="C86" s="74"/>
      <c r="D86" s="99"/>
      <c r="E86" s="77"/>
      <c r="F86" s="1"/>
      <c r="G86" s="1"/>
      <c r="H86" s="1"/>
      <c r="I86" s="1"/>
      <c r="J86" s="1"/>
      <c r="K86" s="105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9" t="s">
        <v>214</v>
      </c>
      <c r="R86" s="1"/>
      <c r="AC86" s="102">
        <f t="shared" ref="AC86:AC91" si="3">IF(AG86="","",IF(COUNT(L86:P86)&lt;5,"",L86/5*20+M86/5*25+N86/5*25+O86/5*15+P86/5*15))</f>
        <v>100</v>
      </c>
      <c r="AD86" s="102" t="str">
        <f t="shared" ref="AD86:AD91" si="4">IF(AC86="","",IF(AC86&gt;=90,"Sangat Baik",IF(AC86&gt;=80,"Baik",IF(AC86&gt;=70,"Coaching","Underperform"))))</f>
        <v>Sangat Baik</v>
      </c>
      <c r="AE86" s="102" t="str">
        <f t="shared" ref="AE86:AE91" si="5">IF(AG86="","",IF(OR(AG86="INDAH",AG86="ADDEL",AG86="AMEL",AG86="PENTIL",AG86="JIJANG"),"Admin/CS","Fotografer"))</f>
        <v>Admin/CS</v>
      </c>
      <c r="AF86" s="102">
        <f t="shared" ref="AF86:AF91" si="6">IF(OR(AG86="",COUNT(L86:P86)&lt;5),"",1)</f>
        <v>1</v>
      </c>
      <c r="AG86" s="102" t="str">
        <f t="shared" ref="AG86:AG91" si="7">IFERROR(K86,"")</f>
        <v>INDAH</v>
      </c>
    </row>
    <row r="87" ht="15.75" customHeight="1">
      <c r="A87" s="1"/>
      <c r="B87" s="73">
        <v>9.0</v>
      </c>
      <c r="C87" s="74"/>
      <c r="D87" s="76"/>
      <c r="E87" s="77"/>
      <c r="F87" s="1"/>
      <c r="G87" s="1"/>
      <c r="H87" s="1"/>
      <c r="I87" s="1"/>
      <c r="J87" s="1"/>
      <c r="K87" s="105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9" t="s">
        <v>215</v>
      </c>
      <c r="R87" s="1"/>
      <c r="AC87" s="102">
        <f t="shared" si="3"/>
        <v>100</v>
      </c>
      <c r="AD87" s="102" t="str">
        <f t="shared" si="4"/>
        <v>Sangat Baik</v>
      </c>
      <c r="AE87" s="102" t="str">
        <f t="shared" si="5"/>
        <v>Admin/CS</v>
      </c>
      <c r="AF87" s="102">
        <f t="shared" si="6"/>
        <v>1</v>
      </c>
      <c r="AG87" s="102" t="str">
        <f t="shared" si="7"/>
        <v>AMEL</v>
      </c>
    </row>
    <row r="88" ht="15.75" customHeight="1">
      <c r="A88" s="1"/>
      <c r="B88" s="82">
        <v>10.0</v>
      </c>
      <c r="C88" s="74"/>
      <c r="D88" s="99"/>
      <c r="E88" s="77"/>
      <c r="F88" s="1"/>
      <c r="G88" s="1"/>
      <c r="H88" s="1"/>
      <c r="I88" s="1"/>
      <c r="J88" s="1"/>
      <c r="K88" s="105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9" t="s">
        <v>216</v>
      </c>
      <c r="R88" s="1"/>
      <c r="AC88" s="102">
        <f t="shared" si="3"/>
        <v>100</v>
      </c>
      <c r="AD88" s="102" t="str">
        <f t="shared" si="4"/>
        <v>Sangat Baik</v>
      </c>
      <c r="AE88" s="102" t="str">
        <f t="shared" si="5"/>
        <v>Fotografer</v>
      </c>
      <c r="AF88" s="102">
        <f t="shared" si="6"/>
        <v>1</v>
      </c>
      <c r="AG88" s="102" t="str">
        <f t="shared" si="7"/>
        <v>ADIF</v>
      </c>
    </row>
    <row r="89" ht="15.75" customHeight="1">
      <c r="A89" s="1"/>
      <c r="B89" s="112">
        <v>11.0</v>
      </c>
      <c r="C89" s="114"/>
      <c r="D89" s="115"/>
      <c r="E89" s="77"/>
      <c r="F89" s="1"/>
      <c r="G89" s="1"/>
      <c r="H89" s="1"/>
      <c r="I89" s="1"/>
      <c r="J89" s="1"/>
      <c r="K89" s="105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102">
        <f t="shared" si="3"/>
        <v>100</v>
      </c>
      <c r="AD89" s="102" t="str">
        <f t="shared" si="4"/>
        <v>Sangat Baik</v>
      </c>
      <c r="AE89" s="102" t="str">
        <f t="shared" si="5"/>
        <v>Fotografer</v>
      </c>
      <c r="AF89" s="102">
        <f t="shared" si="6"/>
        <v>1</v>
      </c>
      <c r="AG89" s="102" t="str">
        <f t="shared" si="7"/>
        <v>SAKA</v>
      </c>
    </row>
    <row r="90" ht="15.75" customHeight="1">
      <c r="A90" s="1"/>
      <c r="B90" s="1"/>
      <c r="C90" s="2"/>
      <c r="D90" s="116">
        <f>SUM(D79:D89)</f>
        <v>8270000</v>
      </c>
      <c r="E90" s="1"/>
      <c r="F90" s="1"/>
      <c r="G90" s="1"/>
      <c r="H90" s="1"/>
      <c r="I90" s="1"/>
      <c r="J90" s="1"/>
      <c r="K90" s="105"/>
      <c r="L90" s="117"/>
      <c r="M90" s="117"/>
      <c r="N90" s="117"/>
      <c r="O90" s="117"/>
      <c r="P90" s="117"/>
      <c r="Q90" s="1"/>
      <c r="R90" s="1"/>
      <c r="AC90" s="102" t="str">
        <f t="shared" si="3"/>
        <v/>
      </c>
      <c r="AD90" s="102" t="str">
        <f t="shared" si="4"/>
        <v/>
      </c>
      <c r="AE90" s="102" t="str">
        <f t="shared" si="5"/>
        <v/>
      </c>
      <c r="AF90" s="102" t="str">
        <f t="shared" si="6"/>
        <v/>
      </c>
      <c r="AG90" s="102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5"/>
      <c r="L91" s="117"/>
      <c r="M91" s="117"/>
      <c r="N91" s="117"/>
      <c r="O91" s="117"/>
      <c r="P91" s="117"/>
      <c r="Q91" s="1"/>
      <c r="R91" s="1"/>
      <c r="AC91" s="102" t="str">
        <f t="shared" si="3"/>
        <v/>
      </c>
      <c r="AD91" s="102" t="str">
        <f t="shared" si="4"/>
        <v/>
      </c>
      <c r="AE91" s="102" t="str">
        <f t="shared" si="5"/>
        <v/>
      </c>
      <c r="AF91" s="102" t="str">
        <f t="shared" si="6"/>
        <v/>
      </c>
      <c r="AG91" s="102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9" t="s">
        <v>199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20" t="s">
        <v>200</v>
      </c>
      <c r="N94" s="1"/>
      <c r="O94" s="1"/>
      <c r="P94" s="1"/>
      <c r="Q94" s="1"/>
      <c r="R94" s="1"/>
    </row>
    <row r="95" ht="15.75" customHeight="1">
      <c r="K95" s="122" t="s">
        <v>7</v>
      </c>
      <c r="L95" s="122" t="s">
        <v>201</v>
      </c>
      <c r="M95" s="122" t="s">
        <v>202</v>
      </c>
    </row>
    <row r="96" ht="15.75" customHeight="1">
      <c r="K96" s="125" t="str">
        <f t="shared" ref="K96:K97" si="8">IF(O79="","",O79)</f>
        <v>INDAH</v>
      </c>
      <c r="L96" s="126">
        <v>3.0</v>
      </c>
      <c r="M96" s="128"/>
    </row>
    <row r="97" ht="15.75" customHeight="1">
      <c r="K97" s="125" t="str">
        <f t="shared" si="8"/>
        <v>AMEL</v>
      </c>
      <c r="L97" s="128"/>
      <c r="M97" s="128"/>
    </row>
    <row r="98" ht="15.75" customHeight="1"/>
    <row r="99" ht="19.5" customHeight="1">
      <c r="K99" s="130" t="s">
        <v>205</v>
      </c>
    </row>
    <row r="100" ht="19.5" customHeight="1">
      <c r="K100" s="131" t="s">
        <v>206</v>
      </c>
      <c r="M100" s="126">
        <v>24.0</v>
      </c>
    </row>
    <row r="101" ht="19.5" customHeight="1">
      <c r="K101" s="137" t="s">
        <v>209</v>
      </c>
      <c r="M101" s="139">
        <f>COUNTIF($I$4:$I$77,"DP")</f>
        <v>3</v>
      </c>
    </row>
    <row r="102" ht="19.5" customHeight="1">
      <c r="K102" s="137" t="s">
        <v>210</v>
      </c>
      <c r="M102" s="139">
        <f>COUNTIFS($I$4:$I$77,"&lt;&gt;DP",$I$4:$I$77,"&lt;&gt;")</f>
        <v>53</v>
      </c>
    </row>
    <row r="103" ht="19.5" customHeight="1">
      <c r="K103" s="140" t="s">
        <v>211</v>
      </c>
      <c r="M103" s="139">
        <f>M101+M102</f>
        <v>56</v>
      </c>
    </row>
    <row r="104" ht="19.5" customHeight="1">
      <c r="K104" s="131" t="s">
        <v>212</v>
      </c>
      <c r="M104" s="143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6">
        <v>1.0</v>
      </c>
      <c r="C4" s="20" t="s">
        <v>220</v>
      </c>
      <c r="D4" s="20" t="s">
        <v>34</v>
      </c>
      <c r="E4" s="154"/>
      <c r="F4" s="31" t="s">
        <v>221</v>
      </c>
      <c r="G4" s="155"/>
      <c r="H4" s="36">
        <v>100000.0</v>
      </c>
      <c r="I4" s="31" t="s">
        <v>27</v>
      </c>
      <c r="J4" s="16"/>
      <c r="K4" s="16"/>
      <c r="L4" s="31" t="s">
        <v>28</v>
      </c>
      <c r="M4" s="16"/>
      <c r="N4" s="33"/>
      <c r="O4" s="33"/>
      <c r="P4" s="35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6">
        <v>2.0</v>
      </c>
      <c r="C5" s="20" t="s">
        <v>222</v>
      </c>
      <c r="D5" s="20" t="s">
        <v>23</v>
      </c>
      <c r="E5" s="154"/>
      <c r="F5" s="31" t="s">
        <v>223</v>
      </c>
      <c r="G5" s="155"/>
      <c r="H5" s="36">
        <v>250000.0</v>
      </c>
      <c r="I5" s="31" t="s">
        <v>30</v>
      </c>
      <c r="J5" s="31" t="s">
        <v>33</v>
      </c>
      <c r="K5" s="31" t="s">
        <v>36</v>
      </c>
      <c r="L5" s="31" t="s">
        <v>28</v>
      </c>
      <c r="M5" s="31" t="s">
        <v>43</v>
      </c>
      <c r="N5" s="43"/>
      <c r="O5" s="43"/>
      <c r="P5" s="43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6">
        <v>3.0</v>
      </c>
      <c r="C6" s="20" t="s">
        <v>106</v>
      </c>
      <c r="D6" s="20" t="s">
        <v>99</v>
      </c>
      <c r="E6" s="154"/>
      <c r="F6" s="31" t="s">
        <v>32</v>
      </c>
      <c r="G6" s="155"/>
      <c r="H6" s="36">
        <v>20000.0</v>
      </c>
      <c r="I6" s="31" t="s">
        <v>30</v>
      </c>
      <c r="J6" s="31" t="s">
        <v>33</v>
      </c>
      <c r="K6" s="31" t="s">
        <v>33</v>
      </c>
      <c r="L6" s="31" t="s">
        <v>28</v>
      </c>
      <c r="M6" s="16"/>
      <c r="N6" s="43"/>
      <c r="O6" s="43"/>
      <c r="P6" s="43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6">
        <v>4.0</v>
      </c>
      <c r="C7" s="20" t="s">
        <v>224</v>
      </c>
      <c r="D7" s="20" t="s">
        <v>99</v>
      </c>
      <c r="E7" s="154"/>
      <c r="F7" s="31" t="s">
        <v>42</v>
      </c>
      <c r="G7" s="155"/>
      <c r="H7" s="36">
        <v>125000.0</v>
      </c>
      <c r="I7" s="31" t="s">
        <v>30</v>
      </c>
      <c r="J7" s="31" t="s">
        <v>33</v>
      </c>
      <c r="K7" s="31" t="s">
        <v>33</v>
      </c>
      <c r="L7" s="31" t="s">
        <v>28</v>
      </c>
      <c r="M7" s="16"/>
      <c r="N7" s="43"/>
      <c r="O7" s="43"/>
      <c r="P7" s="43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6">
        <v>5.0</v>
      </c>
      <c r="C8" s="63" t="s">
        <v>225</v>
      </c>
      <c r="D8" s="20" t="s">
        <v>23</v>
      </c>
      <c r="E8" s="156"/>
      <c r="F8" s="31" t="s">
        <v>223</v>
      </c>
      <c r="G8" s="155"/>
      <c r="H8" s="36">
        <v>150000.0</v>
      </c>
      <c r="I8" s="31" t="s">
        <v>30</v>
      </c>
      <c r="J8" s="31" t="s">
        <v>33</v>
      </c>
      <c r="K8" s="31" t="s">
        <v>36</v>
      </c>
      <c r="L8" s="31" t="s">
        <v>28</v>
      </c>
      <c r="M8" s="31" t="s">
        <v>43</v>
      </c>
      <c r="N8" s="43"/>
      <c r="O8" s="43"/>
      <c r="P8" s="43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6">
        <v>6.0</v>
      </c>
      <c r="C9" s="20" t="s">
        <v>228</v>
      </c>
      <c r="D9" s="20" t="s">
        <v>22</v>
      </c>
      <c r="E9" s="154"/>
      <c r="F9" s="31" t="s">
        <v>42</v>
      </c>
      <c r="G9" s="155"/>
      <c r="H9" s="36">
        <v>150000.0</v>
      </c>
      <c r="I9" s="31" t="s">
        <v>30</v>
      </c>
      <c r="J9" s="31" t="s">
        <v>33</v>
      </c>
      <c r="K9" s="31" t="s">
        <v>33</v>
      </c>
      <c r="L9" s="31" t="s">
        <v>28</v>
      </c>
      <c r="M9" s="16"/>
      <c r="N9" s="43"/>
      <c r="O9" s="43"/>
      <c r="P9" s="43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6">
        <v>7.0</v>
      </c>
      <c r="C10" s="20" t="s">
        <v>229</v>
      </c>
      <c r="D10" s="20" t="s">
        <v>82</v>
      </c>
      <c r="E10" s="154"/>
      <c r="F10" s="157">
        <v>46300.0</v>
      </c>
      <c r="G10" s="155"/>
      <c r="H10" s="36">
        <v>50000.0</v>
      </c>
      <c r="I10" s="31" t="s">
        <v>30</v>
      </c>
      <c r="J10" s="31" t="s">
        <v>33</v>
      </c>
      <c r="K10" s="31" t="s">
        <v>36</v>
      </c>
      <c r="L10" s="31" t="s">
        <v>38</v>
      </c>
      <c r="M10" s="31" t="s">
        <v>60</v>
      </c>
      <c r="N10" s="43"/>
      <c r="O10" s="43"/>
      <c r="P10" s="43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6">
        <v>8.0</v>
      </c>
      <c r="C11" s="67" t="s">
        <v>231</v>
      </c>
      <c r="D11" s="20" t="s">
        <v>49</v>
      </c>
      <c r="E11" s="156"/>
      <c r="F11" s="158">
        <v>46299.0</v>
      </c>
      <c r="G11" s="155"/>
      <c r="H11" s="36">
        <v>30000.0</v>
      </c>
      <c r="I11" s="31" t="s">
        <v>30</v>
      </c>
      <c r="J11" s="16"/>
      <c r="K11" s="16"/>
      <c r="L11" s="31" t="s">
        <v>38</v>
      </c>
      <c r="M11" s="16"/>
      <c r="N11" s="43"/>
      <c r="O11" s="43"/>
      <c r="P11" s="43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6">
        <v>9.0</v>
      </c>
      <c r="C12" s="20" t="s">
        <v>232</v>
      </c>
      <c r="D12" s="20" t="s">
        <v>23</v>
      </c>
      <c r="E12" s="156"/>
      <c r="F12" s="157">
        <v>46301.0</v>
      </c>
      <c r="G12" s="155"/>
      <c r="H12" s="36">
        <v>100000.0</v>
      </c>
      <c r="I12" s="31" t="s">
        <v>27</v>
      </c>
      <c r="J12" s="16"/>
      <c r="K12" s="16"/>
      <c r="L12" s="31" t="s">
        <v>38</v>
      </c>
      <c r="M12" s="16"/>
      <c r="N12" s="43"/>
      <c r="O12" s="43"/>
      <c r="P12" s="43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6"/>
      <c r="C13" s="20" t="s">
        <v>236</v>
      </c>
      <c r="D13" s="20" t="s">
        <v>237</v>
      </c>
      <c r="E13" s="16"/>
      <c r="F13" s="157">
        <v>46267.0</v>
      </c>
      <c r="G13" s="159"/>
      <c r="H13" s="36">
        <v>20000.0</v>
      </c>
      <c r="I13" s="31" t="s">
        <v>30</v>
      </c>
      <c r="J13" s="16"/>
      <c r="K13" s="16"/>
      <c r="L13" s="31" t="s">
        <v>38</v>
      </c>
      <c r="M13" s="16"/>
      <c r="N13" s="43"/>
      <c r="O13" s="43"/>
      <c r="P13" s="43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6"/>
      <c r="C14" s="20" t="s">
        <v>194</v>
      </c>
      <c r="D14" s="20" t="s">
        <v>34</v>
      </c>
      <c r="E14" s="160">
        <v>0.2</v>
      </c>
      <c r="F14" s="157">
        <v>46270.0</v>
      </c>
      <c r="G14" s="159"/>
      <c r="H14" s="36">
        <v>80000.0</v>
      </c>
      <c r="I14" s="31" t="s">
        <v>30</v>
      </c>
      <c r="J14" s="31" t="s">
        <v>33</v>
      </c>
      <c r="K14" s="31" t="s">
        <v>36</v>
      </c>
      <c r="L14" s="31" t="s">
        <v>38</v>
      </c>
      <c r="M14" s="31" t="s">
        <v>60</v>
      </c>
      <c r="N14" s="43"/>
      <c r="O14" s="43"/>
      <c r="P14" s="43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6"/>
      <c r="C15" s="80"/>
      <c r="D15" s="80"/>
      <c r="E15" s="16"/>
      <c r="F15" s="16"/>
      <c r="G15" s="159"/>
      <c r="H15" s="62"/>
      <c r="I15" s="16"/>
      <c r="J15" s="16"/>
      <c r="K15" s="16"/>
      <c r="L15" s="16"/>
      <c r="M15" s="16"/>
      <c r="N15" s="43"/>
      <c r="O15" s="43"/>
      <c r="P15" s="43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24">
        <f t="shared" ref="G16:H16" si="1">SUM(G4:G15)</f>
        <v>0</v>
      </c>
      <c r="H16" s="78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1" t="s">
        <v>0</v>
      </c>
      <c r="C19" s="72" t="s">
        <v>6</v>
      </c>
      <c r="D19" s="72" t="s">
        <v>115</v>
      </c>
      <c r="E19" s="1"/>
      <c r="F19" s="1"/>
      <c r="G19" s="1"/>
      <c r="H19" s="1"/>
      <c r="I19" s="1"/>
      <c r="J19" s="1"/>
      <c r="K19" s="1"/>
      <c r="L19" s="1"/>
      <c r="M19" s="1"/>
      <c r="N19" s="72" t="s">
        <v>117</v>
      </c>
      <c r="O19" s="72" t="s">
        <v>1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3">
        <v>1.0</v>
      </c>
      <c r="C20" s="74" t="s">
        <v>119</v>
      </c>
      <c r="D20" s="76">
        <f>SUM(G16)</f>
        <v>0</v>
      </c>
      <c r="E20" s="77"/>
      <c r="F20" s="1"/>
      <c r="G20" s="1"/>
      <c r="H20" s="1"/>
      <c r="I20" s="1"/>
      <c r="J20" s="1"/>
      <c r="K20" s="1"/>
      <c r="L20" s="1"/>
      <c r="M20" s="1"/>
      <c r="N20" s="79" t="s">
        <v>123</v>
      </c>
      <c r="O20" s="81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2">
        <v>2.0</v>
      </c>
      <c r="C21" s="98"/>
      <c r="D21" s="99"/>
      <c r="E21" s="77"/>
      <c r="F21" s="1"/>
      <c r="G21" s="1"/>
      <c r="H21" s="1"/>
      <c r="I21" s="1"/>
      <c r="J21" s="1"/>
      <c r="K21" s="1"/>
      <c r="L21" s="1"/>
      <c r="M21" s="1"/>
      <c r="N21" s="85" t="s">
        <v>129</v>
      </c>
      <c r="O21" s="86" t="s">
        <v>38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3">
        <v>3.0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89" t="s">
        <v>134</v>
      </c>
      <c r="O22" s="90" t="s">
        <v>43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2">
        <v>4.0</v>
      </c>
      <c r="C23" s="98"/>
      <c r="D23" s="99"/>
      <c r="E23" s="77"/>
      <c r="F23" s="1"/>
      <c r="G23" s="1"/>
      <c r="H23" s="1"/>
      <c r="I23" s="1"/>
      <c r="J23" s="1"/>
      <c r="K23" s="1"/>
      <c r="L23" s="1"/>
      <c r="M23" s="1"/>
      <c r="N23" s="93" t="s">
        <v>137</v>
      </c>
      <c r="O23" s="86" t="s">
        <v>60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3">
        <v>5.0</v>
      </c>
      <c r="C24" s="74"/>
      <c r="D24" s="76"/>
      <c r="E24" s="77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2">
        <v>6.0</v>
      </c>
      <c r="C25" s="98"/>
      <c r="D25" s="99"/>
      <c r="E25" s="77"/>
      <c r="F25" s="1"/>
      <c r="G25" s="1"/>
      <c r="H25" s="1"/>
      <c r="I25" s="1"/>
      <c r="J25" s="1"/>
      <c r="K25" s="100" t="s">
        <v>142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3">
        <v>7.0</v>
      </c>
      <c r="C26" s="74"/>
      <c r="D26" s="76"/>
      <c r="E26" s="77"/>
      <c r="F26" s="1"/>
      <c r="G26" s="1"/>
      <c r="H26" s="1"/>
      <c r="I26" s="1"/>
      <c r="J26" s="1"/>
      <c r="K26" s="101" t="s">
        <v>1</v>
      </c>
      <c r="L26" s="101" t="s">
        <v>145</v>
      </c>
      <c r="M26" s="101" t="s">
        <v>146</v>
      </c>
      <c r="N26" s="101" t="s">
        <v>147</v>
      </c>
      <c r="O26" s="101" t="s">
        <v>148</v>
      </c>
      <c r="P26" s="101" t="s">
        <v>149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150</v>
      </c>
      <c r="AD26" s="153" t="s">
        <v>151</v>
      </c>
      <c r="AE26" s="153" t="s">
        <v>153</v>
      </c>
      <c r="AF26" s="153" t="s">
        <v>155</v>
      </c>
      <c r="AG26" s="153" t="s">
        <v>156</v>
      </c>
    </row>
    <row r="27" ht="15.75" customHeight="1">
      <c r="A27" s="1"/>
      <c r="B27" s="82">
        <v>8.0</v>
      </c>
      <c r="C27" s="98"/>
      <c r="D27" s="99"/>
      <c r="E27" s="77"/>
      <c r="F27" s="1"/>
      <c r="G27" s="1"/>
      <c r="H27" s="1"/>
      <c r="I27" s="1"/>
      <c r="J27" s="1"/>
      <c r="K27" s="105" t="str">
        <f t="shared" ref="K27:K30" si="2">IF(O20="","",O20)</f>
        <v>AMEL</v>
      </c>
      <c r="L27" s="106">
        <v>5.0</v>
      </c>
      <c r="M27" s="106">
        <v>5.0</v>
      </c>
      <c r="N27" s="106">
        <v>5.0</v>
      </c>
      <c r="O27" s="106">
        <v>5.0</v>
      </c>
      <c r="P27" s="106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3">
        <v>9.0</v>
      </c>
      <c r="C28" s="74"/>
      <c r="D28" s="76"/>
      <c r="E28" s="77"/>
      <c r="F28" s="1"/>
      <c r="G28" s="1"/>
      <c r="H28" s="1"/>
      <c r="I28" s="1"/>
      <c r="J28" s="1"/>
      <c r="K28" s="105" t="str">
        <f t="shared" si="2"/>
        <v>INDAH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2">
        <v>10.0</v>
      </c>
      <c r="C29" s="98"/>
      <c r="D29" s="99"/>
      <c r="E29" s="77"/>
      <c r="F29" s="1"/>
      <c r="G29" s="1"/>
      <c r="H29" s="1"/>
      <c r="I29" s="1"/>
      <c r="J29" s="1"/>
      <c r="K29" s="105" t="str">
        <f t="shared" si="2"/>
        <v>ADIF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2">
        <v>11.0</v>
      </c>
      <c r="C30" s="114"/>
      <c r="D30" s="115"/>
      <c r="E30" s="77"/>
      <c r="F30" s="1"/>
      <c r="G30" s="1"/>
      <c r="H30" s="1"/>
      <c r="I30" s="1"/>
      <c r="J30" s="1"/>
      <c r="K30" s="105" t="str">
        <f t="shared" si="2"/>
        <v>SAKA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6">
        <f>SUM(D20:D30)</f>
        <v>0</v>
      </c>
      <c r="E31" s="1"/>
      <c r="F31" s="1"/>
      <c r="G31" s="1"/>
      <c r="H31" s="1"/>
      <c r="I31" s="1"/>
      <c r="J31" s="1"/>
      <c r="K31" s="105"/>
      <c r="L31" s="117"/>
      <c r="M31" s="117"/>
      <c r="N31" s="117"/>
      <c r="O31" s="117"/>
      <c r="P31" s="117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5"/>
      <c r="L32" s="117"/>
      <c r="M32" s="117"/>
      <c r="N32" s="117"/>
      <c r="O32" s="117"/>
      <c r="P32" s="117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199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0" t="s">
        <v>200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2" t="s">
        <v>7</v>
      </c>
      <c r="L36" s="122" t="s">
        <v>201</v>
      </c>
      <c r="M36" s="122" t="s">
        <v>202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5" t="str">
        <f t="shared" ref="K37:K38" si="8">IF(O20="","",O20)</f>
        <v>AMEL</v>
      </c>
      <c r="L37" s="128"/>
      <c r="M37" s="128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5" t="str">
        <f t="shared" si="8"/>
        <v>INDAH</v>
      </c>
      <c r="L38" s="128"/>
      <c r="M38" s="126" t="s">
        <v>204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30" t="s">
        <v>205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1" t="s">
        <v>206</v>
      </c>
      <c r="M41" s="126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7" t="s">
        <v>209</v>
      </c>
      <c r="M42" s="139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7" t="s">
        <v>210</v>
      </c>
      <c r="M43" s="139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40" t="s">
        <v>211</v>
      </c>
      <c r="M44" s="139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1" t="s">
        <v>212</v>
      </c>
      <c r="M45" s="143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8" t="s">
        <v>226</v>
      </c>
      <c r="D4" s="22" t="s">
        <v>39</v>
      </c>
      <c r="E4" s="23"/>
      <c r="F4" s="54">
        <v>46307.0</v>
      </c>
      <c r="G4" s="29"/>
      <c r="H4" s="30">
        <v>100000.0</v>
      </c>
      <c r="I4" s="25" t="s">
        <v>27</v>
      </c>
      <c r="J4" s="16"/>
      <c r="K4" s="16"/>
      <c r="L4" s="31" t="s">
        <v>38</v>
      </c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18" t="s">
        <v>233</v>
      </c>
      <c r="D5" s="22" t="s">
        <v>23</v>
      </c>
      <c r="E5" s="59" t="s">
        <v>235</v>
      </c>
      <c r="F5" s="54">
        <v>46301.0</v>
      </c>
      <c r="G5" s="29"/>
      <c r="H5" s="30">
        <v>390000.0</v>
      </c>
      <c r="I5" s="25" t="s">
        <v>30</v>
      </c>
      <c r="J5" s="31" t="s">
        <v>33</v>
      </c>
      <c r="K5" s="31" t="s">
        <v>36</v>
      </c>
      <c r="L5" s="31" t="s">
        <v>38</v>
      </c>
      <c r="M5" s="31" t="s">
        <v>43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18" t="s">
        <v>238</v>
      </c>
      <c r="D6" s="22" t="s">
        <v>34</v>
      </c>
      <c r="E6" s="23"/>
      <c r="F6" s="54">
        <v>46303.0</v>
      </c>
      <c r="G6" s="29"/>
      <c r="H6" s="30">
        <v>100000.0</v>
      </c>
      <c r="I6" s="25" t="s">
        <v>27</v>
      </c>
      <c r="J6" s="16"/>
      <c r="K6" s="16"/>
      <c r="L6" s="31" t="s">
        <v>38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50" t="s">
        <v>240</v>
      </c>
      <c r="D7" s="22" t="s">
        <v>23</v>
      </c>
      <c r="E7" s="23"/>
      <c r="F7" s="54">
        <v>46301.0</v>
      </c>
      <c r="G7" s="39"/>
      <c r="H7" s="40">
        <v>250000.0</v>
      </c>
      <c r="I7" s="25" t="s">
        <v>30</v>
      </c>
      <c r="J7" s="31" t="s">
        <v>33</v>
      </c>
      <c r="K7" s="31" t="s">
        <v>36</v>
      </c>
      <c r="L7" s="31" t="s">
        <v>38</v>
      </c>
      <c r="M7" s="31" t="s">
        <v>43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18" t="s">
        <v>241</v>
      </c>
      <c r="D8" s="22" t="s">
        <v>23</v>
      </c>
      <c r="E8" s="23"/>
      <c r="F8" s="54">
        <v>46301.0</v>
      </c>
      <c r="G8" s="29"/>
      <c r="H8" s="30">
        <v>250000.0</v>
      </c>
      <c r="I8" s="25" t="s">
        <v>30</v>
      </c>
      <c r="J8" s="31" t="s">
        <v>33</v>
      </c>
      <c r="K8" s="31" t="s">
        <v>36</v>
      </c>
      <c r="L8" s="31" t="s">
        <v>38</v>
      </c>
      <c r="M8" s="31" t="s">
        <v>43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8" t="s">
        <v>242</v>
      </c>
      <c r="D9" s="22" t="s">
        <v>22</v>
      </c>
      <c r="E9" s="23"/>
      <c r="F9" s="54">
        <v>46301.0</v>
      </c>
      <c r="G9" s="51">
        <v>400000.0</v>
      </c>
      <c r="H9" s="107"/>
      <c r="I9" s="25" t="s">
        <v>30</v>
      </c>
      <c r="J9" s="31" t="s">
        <v>33</v>
      </c>
      <c r="K9" s="31" t="s">
        <v>36</v>
      </c>
      <c r="L9" s="31" t="s">
        <v>38</v>
      </c>
      <c r="M9" s="31" t="s">
        <v>43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8" t="s">
        <v>243</v>
      </c>
      <c r="D10" s="22" t="s">
        <v>39</v>
      </c>
      <c r="E10" s="24"/>
      <c r="F10" s="54">
        <v>46306.0</v>
      </c>
      <c r="G10" s="39"/>
      <c r="H10" s="40">
        <v>100000.0</v>
      </c>
      <c r="I10" s="25" t="s">
        <v>27</v>
      </c>
      <c r="J10" s="16"/>
      <c r="K10" s="16"/>
      <c r="L10" s="31" t="s">
        <v>38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244</v>
      </c>
      <c r="D11" s="18" t="s">
        <v>23</v>
      </c>
      <c r="E11" s="17"/>
      <c r="F11" s="157">
        <v>46301.0</v>
      </c>
      <c r="G11" s="162">
        <v>250000.0</v>
      </c>
      <c r="H11" s="62"/>
      <c r="I11" s="31" t="s">
        <v>30</v>
      </c>
      <c r="J11" s="31" t="s">
        <v>33</v>
      </c>
      <c r="K11" s="31" t="s">
        <v>36</v>
      </c>
      <c r="L11" s="31" t="s">
        <v>38</v>
      </c>
      <c r="M11" s="31" t="s">
        <v>43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50" t="s">
        <v>247</v>
      </c>
      <c r="D12" s="18" t="s">
        <v>23</v>
      </c>
      <c r="E12" s="17"/>
      <c r="F12" s="31" t="s">
        <v>24</v>
      </c>
      <c r="G12" s="162">
        <v>330000.0</v>
      </c>
      <c r="H12" s="62"/>
      <c r="I12" s="31" t="s">
        <v>30</v>
      </c>
      <c r="J12" s="31" t="s">
        <v>33</v>
      </c>
      <c r="K12" s="31" t="s">
        <v>36</v>
      </c>
      <c r="L12" s="31" t="s">
        <v>28</v>
      </c>
      <c r="M12" s="31" t="s">
        <v>43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0" t="s">
        <v>250</v>
      </c>
      <c r="D13" s="18" t="s">
        <v>58</v>
      </c>
      <c r="E13" s="17"/>
      <c r="F13" s="31" t="s">
        <v>221</v>
      </c>
      <c r="G13" s="159"/>
      <c r="H13" s="36">
        <v>100000.0</v>
      </c>
      <c r="I13" s="31" t="s">
        <v>30</v>
      </c>
      <c r="J13" s="31"/>
      <c r="K13" s="31"/>
      <c r="L13" s="31" t="s">
        <v>28</v>
      </c>
      <c r="M13" s="16"/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0" t="s">
        <v>252</v>
      </c>
      <c r="D14" s="18" t="s">
        <v>23</v>
      </c>
      <c r="E14" s="17"/>
      <c r="F14" s="31" t="s">
        <v>24</v>
      </c>
      <c r="G14" s="162">
        <v>250000.0</v>
      </c>
      <c r="H14" s="62"/>
      <c r="I14" s="31" t="s">
        <v>30</v>
      </c>
      <c r="J14" s="31" t="s">
        <v>33</v>
      </c>
      <c r="K14" s="31" t="s">
        <v>36</v>
      </c>
      <c r="L14" s="31" t="s">
        <v>28</v>
      </c>
      <c r="M14" s="31" t="s">
        <v>60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20" t="s">
        <v>255</v>
      </c>
      <c r="D15" s="18" t="s">
        <v>23</v>
      </c>
      <c r="E15" s="17"/>
      <c r="F15" s="31" t="s">
        <v>24</v>
      </c>
      <c r="G15" s="159"/>
      <c r="H15" s="36">
        <v>350000.0</v>
      </c>
      <c r="I15" s="31" t="s">
        <v>30</v>
      </c>
      <c r="J15" s="31" t="s">
        <v>33</v>
      </c>
      <c r="K15" s="31" t="s">
        <v>36</v>
      </c>
      <c r="L15" s="31" t="s">
        <v>28</v>
      </c>
      <c r="M15" s="31" t="s">
        <v>60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20" t="s">
        <v>257</v>
      </c>
      <c r="D16" s="18" t="s">
        <v>23</v>
      </c>
      <c r="E16" s="17"/>
      <c r="F16" s="31" t="s">
        <v>24</v>
      </c>
      <c r="G16" s="159"/>
      <c r="H16" s="36">
        <v>330000.0</v>
      </c>
      <c r="I16" s="31" t="s">
        <v>30</v>
      </c>
      <c r="J16" s="31" t="s">
        <v>33</v>
      </c>
      <c r="K16" s="31" t="s">
        <v>36</v>
      </c>
      <c r="L16" s="31" t="s">
        <v>28</v>
      </c>
      <c r="M16" s="31" t="s">
        <v>60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20" t="s">
        <v>259</v>
      </c>
      <c r="D17" s="18" t="s">
        <v>34</v>
      </c>
      <c r="E17" s="17"/>
      <c r="F17" s="31" t="s">
        <v>24</v>
      </c>
      <c r="G17" s="159"/>
      <c r="H17" s="36">
        <v>100000.0</v>
      </c>
      <c r="I17" s="31" t="s">
        <v>27</v>
      </c>
      <c r="J17" s="16"/>
      <c r="K17" s="16"/>
      <c r="L17" s="31" t="s">
        <v>28</v>
      </c>
      <c r="M17" s="16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20" t="s">
        <v>259</v>
      </c>
      <c r="D18" s="18" t="s">
        <v>34</v>
      </c>
      <c r="E18" s="17"/>
      <c r="F18" s="31" t="s">
        <v>24</v>
      </c>
      <c r="G18" s="159"/>
      <c r="H18" s="36">
        <v>325000.0</v>
      </c>
      <c r="I18" s="31" t="s">
        <v>30</v>
      </c>
      <c r="J18" s="31" t="s">
        <v>33</v>
      </c>
      <c r="K18" s="31" t="s">
        <v>36</v>
      </c>
      <c r="L18" s="31" t="s">
        <v>28</v>
      </c>
      <c r="M18" s="31" t="s">
        <v>60</v>
      </c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20" t="s">
        <v>262</v>
      </c>
      <c r="D19" s="18" t="s">
        <v>34</v>
      </c>
      <c r="E19" s="17"/>
      <c r="F19" s="31" t="s">
        <v>258</v>
      </c>
      <c r="G19" s="159"/>
      <c r="H19" s="36">
        <v>100000.0</v>
      </c>
      <c r="I19" s="31" t="s">
        <v>27</v>
      </c>
      <c r="J19" s="16"/>
      <c r="K19" s="16"/>
      <c r="L19" s="31" t="s">
        <v>28</v>
      </c>
      <c r="M19" s="16"/>
      <c r="N19" s="43"/>
      <c r="O19" s="43"/>
      <c r="P19" s="43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24">
        <f t="shared" ref="G20:H20" si="1">SUM(G4:G19)</f>
        <v>1230000</v>
      </c>
      <c r="H20" s="78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1" t="s">
        <v>0</v>
      </c>
      <c r="C23" s="72" t="s">
        <v>6</v>
      </c>
      <c r="D23" s="72" t="s">
        <v>115</v>
      </c>
      <c r="E23" s="1"/>
      <c r="F23" s="1"/>
      <c r="G23" s="1"/>
      <c r="H23" s="1"/>
      <c r="I23" s="1"/>
      <c r="J23" s="1"/>
      <c r="K23" s="1"/>
      <c r="L23" s="1"/>
      <c r="M23" s="1"/>
      <c r="N23" s="72" t="s">
        <v>117</v>
      </c>
      <c r="O23" s="72" t="s">
        <v>1</v>
      </c>
      <c r="P23" s="1"/>
      <c r="Q23" s="1"/>
      <c r="R23" s="1"/>
    </row>
    <row r="24" ht="15.75" customHeight="1">
      <c r="A24" s="1"/>
      <c r="B24" s="73">
        <v>1.0</v>
      </c>
      <c r="C24" s="74" t="s">
        <v>119</v>
      </c>
      <c r="D24" s="76">
        <f>SUM(G20)</f>
        <v>1230000</v>
      </c>
      <c r="E24" s="77"/>
      <c r="F24" s="1"/>
      <c r="G24" s="1"/>
      <c r="H24" s="1"/>
      <c r="I24" s="1"/>
      <c r="J24" s="1"/>
      <c r="K24" s="1"/>
      <c r="L24" s="1"/>
      <c r="M24" s="1"/>
      <c r="N24" s="79" t="s">
        <v>123</v>
      </c>
      <c r="O24" s="81" t="s">
        <v>38</v>
      </c>
      <c r="P24" s="1"/>
      <c r="Q24" s="1"/>
      <c r="R24" s="1"/>
    </row>
    <row r="25" ht="15.75" customHeight="1">
      <c r="A25" s="1"/>
      <c r="B25" s="82">
        <v>2.0</v>
      </c>
      <c r="C25" s="83" t="s">
        <v>263</v>
      </c>
      <c r="D25" s="84">
        <v>-80000.0</v>
      </c>
      <c r="E25" s="77"/>
      <c r="F25" s="1"/>
      <c r="G25" s="1"/>
      <c r="H25" s="1"/>
      <c r="I25" s="1"/>
      <c r="J25" s="1"/>
      <c r="K25" s="1"/>
      <c r="L25" s="1"/>
      <c r="M25" s="1"/>
      <c r="N25" s="85" t="s">
        <v>129</v>
      </c>
      <c r="O25" s="86" t="s">
        <v>28</v>
      </c>
      <c r="P25" s="1"/>
      <c r="Q25" s="1"/>
      <c r="R25" s="1"/>
    </row>
    <row r="26" ht="15.75" customHeight="1">
      <c r="A26" s="1"/>
      <c r="B26" s="73">
        <v>3.0</v>
      </c>
      <c r="C26" s="87"/>
      <c r="D26" s="88"/>
      <c r="E26" s="77"/>
      <c r="F26" s="1"/>
      <c r="G26" s="1"/>
      <c r="H26" s="1"/>
      <c r="I26" s="1"/>
      <c r="J26" s="1"/>
      <c r="K26" s="1"/>
      <c r="L26" s="1"/>
      <c r="M26" s="1"/>
      <c r="N26" s="89" t="s">
        <v>134</v>
      </c>
      <c r="O26" s="90" t="s">
        <v>43</v>
      </c>
      <c r="P26" s="1"/>
      <c r="Q26" s="1"/>
      <c r="R26" s="1"/>
    </row>
    <row r="27" ht="15.75" customHeight="1">
      <c r="A27" s="1"/>
      <c r="B27" s="82">
        <v>4.0</v>
      </c>
      <c r="C27" s="98"/>
      <c r="D27" s="99"/>
      <c r="E27" s="77"/>
      <c r="F27" s="1"/>
      <c r="G27" s="1"/>
      <c r="H27" s="1"/>
      <c r="I27" s="1"/>
      <c r="J27" s="1"/>
      <c r="K27" s="1"/>
      <c r="L27" s="1"/>
      <c r="M27" s="1"/>
      <c r="N27" s="93" t="s">
        <v>137</v>
      </c>
      <c r="O27" s="86" t="s">
        <v>60</v>
      </c>
      <c r="P27" s="1"/>
      <c r="Q27" s="1"/>
      <c r="R27" s="1"/>
    </row>
    <row r="28" ht="15.75" customHeight="1">
      <c r="A28" s="1"/>
      <c r="B28" s="73">
        <v>5.0</v>
      </c>
      <c r="C28" s="74"/>
      <c r="D28" s="76"/>
      <c r="E28" s="77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82">
        <v>6.0</v>
      </c>
      <c r="C29" s="98"/>
      <c r="D29" s="99"/>
      <c r="E29" s="77"/>
      <c r="F29" s="1"/>
      <c r="G29" s="1"/>
      <c r="H29" s="1"/>
      <c r="I29" s="1"/>
      <c r="J29" s="1"/>
      <c r="K29" s="100" t="s">
        <v>142</v>
      </c>
      <c r="Q29" s="1"/>
      <c r="R29" s="1"/>
    </row>
    <row r="30" ht="15.75" customHeight="1">
      <c r="A30" s="1"/>
      <c r="B30" s="73">
        <v>7.0</v>
      </c>
      <c r="C30" s="74"/>
      <c r="D30" s="76"/>
      <c r="E30" s="77"/>
      <c r="F30" s="1"/>
      <c r="G30" s="1"/>
      <c r="H30" s="1"/>
      <c r="I30" s="1"/>
      <c r="J30" s="1"/>
      <c r="K30" s="101" t="s">
        <v>1</v>
      </c>
      <c r="L30" s="101" t="s">
        <v>145</v>
      </c>
      <c r="M30" s="101" t="s">
        <v>146</v>
      </c>
      <c r="N30" s="101" t="s">
        <v>147</v>
      </c>
      <c r="O30" s="101" t="s">
        <v>148</v>
      </c>
      <c r="P30" s="101" t="s">
        <v>149</v>
      </c>
      <c r="Q30" s="1"/>
      <c r="R30" s="1"/>
      <c r="AC30" s="102" t="s">
        <v>150</v>
      </c>
      <c r="AD30" s="102" t="s">
        <v>151</v>
      </c>
      <c r="AE30" s="102" t="s">
        <v>153</v>
      </c>
      <c r="AF30" s="102" t="s">
        <v>155</v>
      </c>
      <c r="AG30" s="102" t="s">
        <v>156</v>
      </c>
    </row>
    <row r="31" ht="15.75" customHeight="1">
      <c r="A31" s="1"/>
      <c r="B31" s="82">
        <v>8.0</v>
      </c>
      <c r="C31" s="98"/>
      <c r="D31" s="99"/>
      <c r="E31" s="77"/>
      <c r="F31" s="1"/>
      <c r="G31" s="1"/>
      <c r="H31" s="1"/>
      <c r="I31" s="1"/>
      <c r="J31" s="1"/>
      <c r="K31" s="105" t="str">
        <f t="shared" ref="K31:K34" si="2">IF(O24="","",O24)</f>
        <v>INDAH</v>
      </c>
      <c r="L31" s="106">
        <v>5.0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2">
        <f t="shared" ref="AC31:AC36" si="3">IF(AG31="","",IF(COUNT(L31:P31)&lt;5,"",L31/5*20+M31/5*25+N31/5*25+O31/5*15+P31/5*15))</f>
        <v>100</v>
      </c>
      <c r="AD31" s="102" t="str">
        <f t="shared" ref="AD31:AD36" si="4">IF(AC31="","",IF(AC31&gt;=90,"Sangat Baik",IF(AC31&gt;=80,"Baik",IF(AC31&gt;=70,"Coaching","Underperform"))))</f>
        <v>Sangat Baik</v>
      </c>
      <c r="AE31" s="102" t="str">
        <f t="shared" ref="AE31:AE36" si="5">IF(AG31="","",IF(OR(AG31="INDAH",AG31="ADDEL",AG31="AMEL",AG31="PENTIL",AG31="JIJANG"),"Admin/CS","Fotografer"))</f>
        <v>Admin/CS</v>
      </c>
      <c r="AF31" s="102">
        <f t="shared" ref="AF31:AF36" si="6">IF(OR(AG31="",COUNT(L31:P31)&lt;5),"",1)</f>
        <v>1</v>
      </c>
      <c r="AG31" s="102" t="str">
        <f t="shared" ref="AG31:AG36" si="7">IFERROR(K31,"")</f>
        <v>INDAH</v>
      </c>
    </row>
    <row r="32" ht="15.75" customHeight="1">
      <c r="A32" s="1"/>
      <c r="B32" s="73">
        <v>9.0</v>
      </c>
      <c r="C32" s="74"/>
      <c r="D32" s="76"/>
      <c r="E32" s="77"/>
      <c r="F32" s="1"/>
      <c r="G32" s="1"/>
      <c r="H32" s="1"/>
      <c r="I32" s="1"/>
      <c r="J32" s="1"/>
      <c r="K32" s="105" t="str">
        <f t="shared" si="2"/>
        <v>AMEL</v>
      </c>
      <c r="L32" s="106">
        <v>4.0</v>
      </c>
      <c r="M32" s="106">
        <v>3.0</v>
      </c>
      <c r="N32" s="106">
        <v>5.0</v>
      </c>
      <c r="O32" s="106">
        <v>5.0</v>
      </c>
      <c r="P32" s="106">
        <v>4.0</v>
      </c>
      <c r="Q32" s="1"/>
      <c r="R32" s="1"/>
      <c r="AC32" s="102">
        <f t="shared" si="3"/>
        <v>83</v>
      </c>
      <c r="AD32" s="102" t="str">
        <f t="shared" si="4"/>
        <v>Baik</v>
      </c>
      <c r="AE32" s="102" t="str">
        <f t="shared" si="5"/>
        <v>Admin/CS</v>
      </c>
      <c r="AF32" s="102">
        <f t="shared" si="6"/>
        <v>1</v>
      </c>
      <c r="AG32" s="102" t="str">
        <f t="shared" si="7"/>
        <v>AMEL</v>
      </c>
    </row>
    <row r="33" ht="15.75" customHeight="1">
      <c r="A33" s="1"/>
      <c r="B33" s="82">
        <v>10.0</v>
      </c>
      <c r="C33" s="98"/>
      <c r="D33" s="99"/>
      <c r="E33" s="77"/>
      <c r="F33" s="1"/>
      <c r="G33" s="1"/>
      <c r="H33" s="1"/>
      <c r="I33" s="1"/>
      <c r="J33" s="1"/>
      <c r="K33" s="105" t="str">
        <f t="shared" si="2"/>
        <v>ADIF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2">
        <f t="shared" si="3"/>
        <v>100</v>
      </c>
      <c r="AD33" s="102" t="str">
        <f t="shared" si="4"/>
        <v>Sangat Baik</v>
      </c>
      <c r="AE33" s="102" t="str">
        <f t="shared" si="5"/>
        <v>Fotografer</v>
      </c>
      <c r="AF33" s="102">
        <f t="shared" si="6"/>
        <v>1</v>
      </c>
      <c r="AG33" s="102" t="str">
        <f t="shared" si="7"/>
        <v>ADIF</v>
      </c>
    </row>
    <row r="34" ht="15.75" customHeight="1">
      <c r="A34" s="1"/>
      <c r="B34" s="112">
        <v>11.0</v>
      </c>
      <c r="C34" s="114"/>
      <c r="D34" s="115"/>
      <c r="E34" s="77"/>
      <c r="F34" s="1"/>
      <c r="G34" s="1"/>
      <c r="H34" s="1"/>
      <c r="I34" s="1"/>
      <c r="J34" s="1"/>
      <c r="K34" s="105" t="str">
        <f t="shared" si="2"/>
        <v>SAKA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2">
        <f t="shared" si="3"/>
        <v>100</v>
      </c>
      <c r="AD34" s="102" t="str">
        <f t="shared" si="4"/>
        <v>Sangat Baik</v>
      </c>
      <c r="AE34" s="102" t="str">
        <f t="shared" si="5"/>
        <v>Fotografer</v>
      </c>
      <c r="AF34" s="102">
        <f t="shared" si="6"/>
        <v>1</v>
      </c>
      <c r="AG34" s="102" t="str">
        <f t="shared" si="7"/>
        <v>SAKA</v>
      </c>
    </row>
    <row r="35" ht="15.75" customHeight="1">
      <c r="A35" s="1"/>
      <c r="B35" s="1"/>
      <c r="C35" s="2"/>
      <c r="D35" s="116">
        <f>SUM(D24:D34)</f>
        <v>1150000</v>
      </c>
      <c r="E35" s="1"/>
      <c r="F35" s="1"/>
      <c r="G35" s="1"/>
      <c r="H35" s="1"/>
      <c r="I35" s="1"/>
      <c r="J35" s="1"/>
      <c r="K35" s="105"/>
      <c r="L35" s="117"/>
      <c r="M35" s="117"/>
      <c r="N35" s="117"/>
      <c r="O35" s="117"/>
      <c r="P35" s="117"/>
      <c r="Q35" s="1"/>
      <c r="R35" s="1"/>
      <c r="AC35" s="102" t="str">
        <f t="shared" si="3"/>
        <v/>
      </c>
      <c r="AD35" s="102" t="str">
        <f t="shared" si="4"/>
        <v/>
      </c>
      <c r="AE35" s="102" t="str">
        <f t="shared" si="5"/>
        <v/>
      </c>
      <c r="AF35" s="102" t="str">
        <f t="shared" si="6"/>
        <v/>
      </c>
      <c r="AG35" s="10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5"/>
      <c r="L36" s="117"/>
      <c r="M36" s="117"/>
      <c r="N36" s="117"/>
      <c r="O36" s="117"/>
      <c r="P36" s="117"/>
      <c r="Q36" s="1"/>
      <c r="R36" s="1"/>
      <c r="AC36" s="102" t="str">
        <f t="shared" si="3"/>
        <v/>
      </c>
      <c r="AD36" s="102" t="str">
        <f t="shared" si="4"/>
        <v/>
      </c>
      <c r="AE36" s="102" t="str">
        <f t="shared" si="5"/>
        <v/>
      </c>
      <c r="AF36" s="102" t="str">
        <f t="shared" si="6"/>
        <v/>
      </c>
      <c r="AG36" s="102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199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20" t="s">
        <v>200</v>
      </c>
      <c r="N39" s="1"/>
      <c r="O39" s="1"/>
      <c r="P39" s="1"/>
      <c r="Q39" s="1"/>
      <c r="R39" s="1"/>
    </row>
    <row r="40" ht="15.75" customHeight="1">
      <c r="K40" s="122" t="s">
        <v>7</v>
      </c>
      <c r="L40" s="122" t="s">
        <v>201</v>
      </c>
      <c r="M40" s="122" t="s">
        <v>202</v>
      </c>
    </row>
    <row r="41" ht="15.75" customHeight="1">
      <c r="K41" s="125" t="str">
        <f t="shared" ref="K41:K42" si="8">IF(O24="","",O24)</f>
        <v>INDAH</v>
      </c>
      <c r="L41" s="126">
        <v>4.0</v>
      </c>
      <c r="M41" s="128"/>
    </row>
    <row r="42" ht="15.75" customHeight="1">
      <c r="K42" s="125" t="str">
        <f t="shared" si="8"/>
        <v>AMEL</v>
      </c>
      <c r="L42" s="126">
        <v>3.0</v>
      </c>
      <c r="M42" s="128"/>
    </row>
    <row r="43" ht="15.75" customHeight="1"/>
    <row r="44" ht="19.5" customHeight="1">
      <c r="K44" s="130" t="s">
        <v>205</v>
      </c>
    </row>
    <row r="45" ht="19.5" customHeight="1">
      <c r="K45" s="131" t="s">
        <v>206</v>
      </c>
      <c r="M45" s="126">
        <v>26.0</v>
      </c>
    </row>
    <row r="46" ht="19.5" customHeight="1">
      <c r="K46" s="137" t="s">
        <v>209</v>
      </c>
      <c r="M46" s="139">
        <f>COUNTIF($I$4:$I$22,"DP")</f>
        <v>5</v>
      </c>
    </row>
    <row r="47" ht="19.5" customHeight="1">
      <c r="K47" s="137" t="s">
        <v>210</v>
      </c>
      <c r="M47" s="139">
        <f>COUNTIFS($I$4:$I$22,"&lt;&gt;DP",$I$4:$I$22,"&lt;&gt;")</f>
        <v>11</v>
      </c>
    </row>
    <row r="48" ht="19.5" customHeight="1">
      <c r="K48" s="140" t="s">
        <v>211</v>
      </c>
      <c r="M48" s="139">
        <f>M46+M47</f>
        <v>16</v>
      </c>
    </row>
    <row r="49" ht="19.5" customHeight="1">
      <c r="K49" s="131" t="s">
        <v>212</v>
      </c>
      <c r="M49" s="143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8" t="s">
        <v>227</v>
      </c>
      <c r="D4" s="22" t="s">
        <v>230</v>
      </c>
      <c r="E4" s="23"/>
      <c r="F4" s="54">
        <v>46302.0</v>
      </c>
      <c r="G4" s="29"/>
      <c r="H4" s="30">
        <v>100000.0</v>
      </c>
      <c r="I4" s="25" t="s">
        <v>27</v>
      </c>
      <c r="J4" s="16"/>
      <c r="K4" s="16"/>
      <c r="L4" s="25" t="s">
        <v>38</v>
      </c>
      <c r="M4" s="17"/>
      <c r="N4" s="33"/>
      <c r="O4" s="33"/>
      <c r="P4" s="35"/>
      <c r="Q4" s="1"/>
      <c r="R4" s="1"/>
    </row>
    <row r="5" ht="15.75" customHeight="1">
      <c r="A5" s="1"/>
      <c r="B5" s="16">
        <v>2.0</v>
      </c>
      <c r="C5" s="18" t="s">
        <v>234</v>
      </c>
      <c r="D5" s="22" t="s">
        <v>230</v>
      </c>
      <c r="E5" s="23"/>
      <c r="F5" s="54">
        <v>46302.0</v>
      </c>
      <c r="G5" s="29"/>
      <c r="H5" s="30">
        <v>250000.0</v>
      </c>
      <c r="I5" s="25" t="s">
        <v>30</v>
      </c>
      <c r="J5" s="31" t="s">
        <v>33</v>
      </c>
      <c r="K5" s="31" t="s">
        <v>36</v>
      </c>
      <c r="L5" s="25" t="s">
        <v>38</v>
      </c>
      <c r="M5" s="25" t="s">
        <v>60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161" t="s">
        <v>239</v>
      </c>
      <c r="D6" s="22" t="s">
        <v>39</v>
      </c>
      <c r="E6" s="53"/>
      <c r="F6" s="54">
        <v>46271.0</v>
      </c>
      <c r="G6" s="39"/>
      <c r="H6" s="30">
        <v>225000.0</v>
      </c>
      <c r="I6" s="25" t="s">
        <v>30</v>
      </c>
      <c r="J6" s="31" t="s">
        <v>33</v>
      </c>
      <c r="K6" s="31" t="s">
        <v>33</v>
      </c>
      <c r="L6" s="25" t="s">
        <v>38</v>
      </c>
      <c r="M6" s="25" t="s">
        <v>60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18" t="s">
        <v>245</v>
      </c>
      <c r="D7" s="22" t="s">
        <v>23</v>
      </c>
      <c r="E7" s="23"/>
      <c r="F7" s="54">
        <v>46302.0</v>
      </c>
      <c r="G7" s="29"/>
      <c r="H7" s="30">
        <v>250000.0</v>
      </c>
      <c r="I7" s="25" t="s">
        <v>30</v>
      </c>
      <c r="J7" s="31" t="s">
        <v>33</v>
      </c>
      <c r="K7" s="31" t="s">
        <v>36</v>
      </c>
      <c r="L7" s="25" t="s">
        <v>38</v>
      </c>
      <c r="M7" s="25" t="s">
        <v>60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18" t="s">
        <v>246</v>
      </c>
      <c r="D8" s="22" t="s">
        <v>34</v>
      </c>
      <c r="E8" s="23"/>
      <c r="F8" s="163">
        <v>46302.0</v>
      </c>
      <c r="G8" s="29"/>
      <c r="H8" s="30">
        <v>175000.0</v>
      </c>
      <c r="I8" s="31" t="s">
        <v>30</v>
      </c>
      <c r="J8" s="31" t="s">
        <v>33</v>
      </c>
      <c r="K8" s="31" t="s">
        <v>33</v>
      </c>
      <c r="L8" s="31" t="s">
        <v>38</v>
      </c>
      <c r="M8" s="31" t="s">
        <v>60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8" t="s">
        <v>122</v>
      </c>
      <c r="D9" s="22" t="s">
        <v>99</v>
      </c>
      <c r="E9" s="164" t="s">
        <v>248</v>
      </c>
      <c r="F9" s="163">
        <v>46298.0</v>
      </c>
      <c r="G9" s="29"/>
      <c r="H9" s="30">
        <v>50000.0</v>
      </c>
      <c r="I9" s="31" t="s">
        <v>30</v>
      </c>
      <c r="J9" s="16"/>
      <c r="K9" s="16"/>
      <c r="L9" s="31" t="s">
        <v>38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8" t="s">
        <v>249</v>
      </c>
      <c r="D10" s="22" t="s">
        <v>34</v>
      </c>
      <c r="E10" s="38"/>
      <c r="F10" s="163">
        <v>46312.0</v>
      </c>
      <c r="G10" s="29"/>
      <c r="H10" s="30">
        <v>100000.0</v>
      </c>
      <c r="I10" s="31" t="s">
        <v>27</v>
      </c>
      <c r="J10" s="16"/>
      <c r="K10" s="16"/>
      <c r="L10" s="31" t="s">
        <v>38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8" t="s">
        <v>251</v>
      </c>
      <c r="D11" s="22" t="s">
        <v>58</v>
      </c>
      <c r="E11" s="24"/>
      <c r="F11" s="25" t="s">
        <v>253</v>
      </c>
      <c r="G11" s="29"/>
      <c r="H11" s="30">
        <v>100000.0</v>
      </c>
      <c r="I11" s="31" t="s">
        <v>30</v>
      </c>
      <c r="J11" s="16"/>
      <c r="K11" s="16"/>
      <c r="L11" s="31" t="s">
        <v>28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8" t="s">
        <v>254</v>
      </c>
      <c r="D12" s="22" t="s">
        <v>73</v>
      </c>
      <c r="E12" s="23"/>
      <c r="F12" s="25" t="s">
        <v>221</v>
      </c>
      <c r="G12" s="29"/>
      <c r="H12" s="30">
        <v>100000.0</v>
      </c>
      <c r="I12" s="31" t="s">
        <v>27</v>
      </c>
      <c r="J12" s="16"/>
      <c r="K12" s="16"/>
      <c r="L12" s="31" t="s">
        <v>28</v>
      </c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8" t="s">
        <v>256</v>
      </c>
      <c r="D13" s="22" t="s">
        <v>39</v>
      </c>
      <c r="E13" s="23"/>
      <c r="F13" s="25" t="s">
        <v>258</v>
      </c>
      <c r="G13" s="55">
        <v>125000.0</v>
      </c>
      <c r="H13" s="42"/>
      <c r="I13" s="31" t="s">
        <v>30</v>
      </c>
      <c r="J13" s="31" t="s">
        <v>33</v>
      </c>
      <c r="K13" s="31" t="s">
        <v>44</v>
      </c>
      <c r="L13" s="31" t="s">
        <v>28</v>
      </c>
      <c r="M13" s="31" t="s">
        <v>60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8" t="s">
        <v>260</v>
      </c>
      <c r="D14" s="22" t="s">
        <v>34</v>
      </c>
      <c r="E14" s="23"/>
      <c r="F14" s="25" t="s">
        <v>261</v>
      </c>
      <c r="G14" s="29"/>
      <c r="H14" s="30">
        <v>100000.0</v>
      </c>
      <c r="I14" s="31" t="s">
        <v>27</v>
      </c>
      <c r="J14" s="16"/>
      <c r="K14" s="16"/>
      <c r="L14" s="31" t="s">
        <v>28</v>
      </c>
      <c r="M14" s="16"/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68"/>
      <c r="D15" s="69"/>
      <c r="E15" s="23"/>
      <c r="F15" s="165"/>
      <c r="G15" s="29"/>
      <c r="H15" s="42"/>
      <c r="I15" s="16"/>
      <c r="J15" s="16"/>
      <c r="K15" s="16"/>
      <c r="L15" s="16"/>
      <c r="M15" s="16"/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68"/>
      <c r="D16" s="69"/>
      <c r="E16" s="23"/>
      <c r="F16" s="165"/>
      <c r="G16" s="29"/>
      <c r="H16" s="42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68"/>
      <c r="D17" s="69"/>
      <c r="E17" s="24"/>
      <c r="F17" s="165"/>
      <c r="G17" s="39"/>
      <c r="H17" s="107"/>
      <c r="I17" s="16"/>
      <c r="J17" s="16"/>
      <c r="K17" s="16"/>
      <c r="L17" s="16"/>
      <c r="M17" s="16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80"/>
      <c r="D18" s="68"/>
      <c r="E18" s="17"/>
      <c r="F18" s="16"/>
      <c r="G18" s="159"/>
      <c r="H18" s="62"/>
      <c r="I18" s="16"/>
      <c r="J18" s="16"/>
      <c r="K18" s="16"/>
      <c r="L18" s="16"/>
      <c r="M18" s="16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24">
        <f t="shared" ref="G19:H19" si="1">SUM(G4:G18)</f>
        <v>125000</v>
      </c>
      <c r="H19" s="78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1" t="s">
        <v>0</v>
      </c>
      <c r="C22" s="72" t="s">
        <v>6</v>
      </c>
      <c r="D22" s="72" t="s">
        <v>115</v>
      </c>
      <c r="E22" s="1"/>
      <c r="F22" s="1"/>
      <c r="G22" s="1"/>
      <c r="H22" s="1"/>
      <c r="I22" s="1"/>
      <c r="J22" s="1"/>
      <c r="K22" s="1"/>
      <c r="L22" s="1"/>
      <c r="M22" s="1"/>
      <c r="N22" s="72" t="s">
        <v>117</v>
      </c>
      <c r="O22" s="72" t="s">
        <v>1</v>
      </c>
      <c r="P22" s="1"/>
      <c r="Q22" s="1"/>
      <c r="R22" s="1"/>
    </row>
    <row r="23" ht="15.75" customHeight="1">
      <c r="A23" s="1"/>
      <c r="B23" s="73">
        <v>1.0</v>
      </c>
      <c r="C23" s="74" t="s">
        <v>119</v>
      </c>
      <c r="D23" s="76">
        <f>SUM(G19)</f>
        <v>125000</v>
      </c>
      <c r="E23" s="77"/>
      <c r="F23" s="1"/>
      <c r="G23" s="1"/>
      <c r="H23" s="1"/>
      <c r="I23" s="1"/>
      <c r="J23" s="1"/>
      <c r="K23" s="1"/>
      <c r="L23" s="1"/>
      <c r="M23" s="1"/>
      <c r="N23" s="79" t="s">
        <v>123</v>
      </c>
      <c r="O23" s="81" t="s">
        <v>38</v>
      </c>
      <c r="P23" s="1"/>
      <c r="Q23" s="1"/>
      <c r="R23" s="1"/>
    </row>
    <row r="24" ht="15.75" customHeight="1">
      <c r="A24" s="1"/>
      <c r="B24" s="82">
        <v>2.0</v>
      </c>
      <c r="C24" s="91"/>
      <c r="D24" s="92"/>
      <c r="E24" s="77"/>
      <c r="F24" s="1"/>
      <c r="G24" s="1"/>
      <c r="H24" s="1"/>
      <c r="I24" s="1"/>
      <c r="J24" s="1"/>
      <c r="K24" s="1"/>
      <c r="L24" s="1"/>
      <c r="M24" s="1"/>
      <c r="N24" s="85" t="s">
        <v>129</v>
      </c>
      <c r="O24" s="86" t="s">
        <v>28</v>
      </c>
      <c r="P24" s="1"/>
      <c r="Q24" s="1"/>
      <c r="R24" s="1"/>
    </row>
    <row r="25" ht="15.75" customHeight="1">
      <c r="A25" s="1"/>
      <c r="B25" s="73">
        <v>3.0</v>
      </c>
      <c r="C25" s="87"/>
      <c r="D25" s="88"/>
      <c r="E25" s="77"/>
      <c r="F25" s="1"/>
      <c r="G25" s="1"/>
      <c r="H25" s="1"/>
      <c r="I25" s="1"/>
      <c r="J25" s="1"/>
      <c r="K25" s="1"/>
      <c r="L25" s="1"/>
      <c r="M25" s="1"/>
      <c r="N25" s="89" t="s">
        <v>134</v>
      </c>
      <c r="O25" s="90" t="s">
        <v>60</v>
      </c>
      <c r="P25" s="1"/>
      <c r="Q25" s="1"/>
      <c r="R25" s="1"/>
    </row>
    <row r="26" ht="15.75" customHeight="1">
      <c r="A26" s="1"/>
      <c r="B26" s="82">
        <v>4.0</v>
      </c>
      <c r="C26" s="98"/>
      <c r="D26" s="99"/>
      <c r="E26" s="77"/>
      <c r="F26" s="1"/>
      <c r="G26" s="1"/>
      <c r="H26" s="1"/>
      <c r="I26" s="1"/>
      <c r="J26" s="1"/>
      <c r="K26" s="1"/>
      <c r="L26" s="1"/>
      <c r="M26" s="1"/>
      <c r="N26" s="93" t="s">
        <v>137</v>
      </c>
      <c r="O26" s="86" t="s">
        <v>60</v>
      </c>
      <c r="P26" s="1"/>
      <c r="Q26" s="1"/>
      <c r="R26" s="1"/>
    </row>
    <row r="27" ht="15.75" customHeight="1">
      <c r="A27" s="1"/>
      <c r="B27" s="73">
        <v>5.0</v>
      </c>
      <c r="C27" s="74"/>
      <c r="D27" s="76"/>
      <c r="E27" s="77"/>
      <c r="F27" s="97"/>
      <c r="G27" s="2"/>
      <c r="H27" s="1"/>
      <c r="I27" s="1"/>
      <c r="J27" s="1"/>
      <c r="K27" s="1"/>
      <c r="L27" s="1"/>
      <c r="M27" s="1"/>
      <c r="N27" s="95"/>
      <c r="O27" s="1"/>
      <c r="P27" s="1"/>
      <c r="Q27" s="1"/>
      <c r="R27" s="1"/>
    </row>
    <row r="28" ht="15.75" customHeight="1">
      <c r="A28" s="1"/>
      <c r="B28" s="82">
        <v>6.0</v>
      </c>
      <c r="C28" s="98"/>
      <c r="D28" s="99"/>
      <c r="E28" s="77"/>
      <c r="F28" s="1"/>
      <c r="G28" s="1"/>
      <c r="H28" s="1"/>
      <c r="I28" s="1"/>
      <c r="J28" s="1"/>
      <c r="K28" s="100" t="s">
        <v>142</v>
      </c>
      <c r="Q28" s="1"/>
      <c r="R28" s="1"/>
    </row>
    <row r="29" ht="15.75" customHeight="1">
      <c r="A29" s="1"/>
      <c r="B29" s="73">
        <v>7.0</v>
      </c>
      <c r="C29" s="74"/>
      <c r="D29" s="76"/>
      <c r="E29" s="77"/>
      <c r="F29" s="1"/>
      <c r="G29" s="1"/>
      <c r="H29" s="1"/>
      <c r="I29" s="1"/>
      <c r="J29" s="1"/>
      <c r="K29" s="101" t="s">
        <v>1</v>
      </c>
      <c r="L29" s="101" t="s">
        <v>145</v>
      </c>
      <c r="M29" s="101" t="s">
        <v>146</v>
      </c>
      <c r="N29" s="101" t="s">
        <v>147</v>
      </c>
      <c r="O29" s="101" t="s">
        <v>148</v>
      </c>
      <c r="P29" s="101" t="s">
        <v>149</v>
      </c>
      <c r="Q29" s="1"/>
      <c r="R29" s="1"/>
      <c r="AC29" s="102" t="s">
        <v>150</v>
      </c>
      <c r="AD29" s="102" t="s">
        <v>151</v>
      </c>
      <c r="AE29" s="102" t="s">
        <v>153</v>
      </c>
      <c r="AF29" s="102" t="s">
        <v>155</v>
      </c>
      <c r="AG29" s="102" t="s">
        <v>156</v>
      </c>
    </row>
    <row r="30" ht="15.75" customHeight="1">
      <c r="A30" s="1"/>
      <c r="B30" s="82">
        <v>8.0</v>
      </c>
      <c r="C30" s="98"/>
      <c r="D30" s="99"/>
      <c r="E30" s="77"/>
      <c r="F30" s="1"/>
      <c r="G30" s="1"/>
      <c r="H30" s="1"/>
      <c r="I30" s="1"/>
      <c r="J30" s="1"/>
      <c r="K30" s="105" t="str">
        <f t="shared" ref="K30:K33" si="2">IF(O23="","",O23)</f>
        <v>INDAH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AC30" s="102">
        <f t="shared" ref="AC30:AC35" si="3">IF(AG30="","",IF(COUNT(L30:P30)&lt;5,"",L30/5*20+M30/5*25+N30/5*25+O30/5*15+P30/5*15))</f>
        <v>100</v>
      </c>
      <c r="AD30" s="102" t="str">
        <f t="shared" ref="AD30:AD35" si="4">IF(AC30="","",IF(AC30&gt;=90,"Sangat Baik",IF(AC30&gt;=80,"Baik",IF(AC30&gt;=70,"Coaching","Underperform"))))</f>
        <v>Sangat Baik</v>
      </c>
      <c r="AE30" s="102" t="str">
        <f t="shared" ref="AE30:AE35" si="5">IF(AG30="","",IF(OR(AG30="INDAH",AG30="ADDEL",AG30="AMEL",AG30="PENTIL",AG30="JIJANG"),"Admin/CS","Fotografer"))</f>
        <v>Admin/CS</v>
      </c>
      <c r="AF30" s="102">
        <f t="shared" ref="AF30:AF35" si="6">IF(OR(AG30="",COUNT(L30:P30)&lt;5),"",1)</f>
        <v>1</v>
      </c>
      <c r="AG30" s="102" t="str">
        <f t="shared" ref="AG30:AG35" si="7">IFERROR(K30,"")</f>
        <v>INDAH</v>
      </c>
    </row>
    <row r="31" ht="15.75" customHeight="1">
      <c r="A31" s="1"/>
      <c r="B31" s="73">
        <v>9.0</v>
      </c>
      <c r="C31" s="74"/>
      <c r="D31" s="76"/>
      <c r="E31" s="77"/>
      <c r="F31" s="1"/>
      <c r="G31" s="1"/>
      <c r="H31" s="1"/>
      <c r="I31" s="1"/>
      <c r="J31" s="1"/>
      <c r="K31" s="105" t="str">
        <f t="shared" si="2"/>
        <v>AMEL</v>
      </c>
      <c r="L31" s="106">
        <v>5.0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2">
        <f t="shared" si="3"/>
        <v>100</v>
      </c>
      <c r="AD31" s="102" t="str">
        <f t="shared" si="4"/>
        <v>Sangat Baik</v>
      </c>
      <c r="AE31" s="102" t="str">
        <f t="shared" si="5"/>
        <v>Admin/CS</v>
      </c>
      <c r="AF31" s="102">
        <f t="shared" si="6"/>
        <v>1</v>
      </c>
      <c r="AG31" s="102" t="str">
        <f t="shared" si="7"/>
        <v>AMEL</v>
      </c>
    </row>
    <row r="32" ht="15.75" customHeight="1">
      <c r="A32" s="1"/>
      <c r="B32" s="82">
        <v>10.0</v>
      </c>
      <c r="C32" s="98"/>
      <c r="D32" s="99"/>
      <c r="E32" s="77"/>
      <c r="F32" s="1"/>
      <c r="G32" s="1"/>
      <c r="H32" s="1"/>
      <c r="I32" s="1"/>
      <c r="J32" s="1"/>
      <c r="K32" s="105" t="str">
        <f t="shared" si="2"/>
        <v>SAKA</v>
      </c>
      <c r="L32" s="106">
        <v>5.0</v>
      </c>
      <c r="M32" s="106">
        <v>5.0</v>
      </c>
      <c r="N32" s="106">
        <v>5.0</v>
      </c>
      <c r="O32" s="106">
        <v>5.0</v>
      </c>
      <c r="P32" s="106">
        <v>5.0</v>
      </c>
      <c r="Q32" s="1"/>
      <c r="R32" s="1"/>
      <c r="AC32" s="102">
        <f t="shared" si="3"/>
        <v>100</v>
      </c>
      <c r="AD32" s="102" t="str">
        <f t="shared" si="4"/>
        <v>Sangat Baik</v>
      </c>
      <c r="AE32" s="102" t="str">
        <f t="shared" si="5"/>
        <v>Fotografer</v>
      </c>
      <c r="AF32" s="102">
        <f t="shared" si="6"/>
        <v>1</v>
      </c>
      <c r="AG32" s="102" t="str">
        <f t="shared" si="7"/>
        <v>SAKA</v>
      </c>
    </row>
    <row r="33" ht="15.75" customHeight="1">
      <c r="A33" s="1"/>
      <c r="B33" s="112">
        <v>11.0</v>
      </c>
      <c r="C33" s="114"/>
      <c r="D33" s="115"/>
      <c r="E33" s="77"/>
      <c r="F33" s="1"/>
      <c r="G33" s="1"/>
      <c r="H33" s="1"/>
      <c r="I33" s="1"/>
      <c r="J33" s="1"/>
      <c r="K33" s="105" t="str">
        <f t="shared" si="2"/>
        <v>SAKA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2">
        <f t="shared" si="3"/>
        <v>100</v>
      </c>
      <c r="AD33" s="102" t="str">
        <f t="shared" si="4"/>
        <v>Sangat Baik</v>
      </c>
      <c r="AE33" s="102" t="str">
        <f t="shared" si="5"/>
        <v>Fotografer</v>
      </c>
      <c r="AF33" s="102">
        <f t="shared" si="6"/>
        <v>1</v>
      </c>
      <c r="AG33" s="102" t="str">
        <f t="shared" si="7"/>
        <v>SAKA</v>
      </c>
    </row>
    <row r="34" ht="15.75" customHeight="1">
      <c r="A34" s="1"/>
      <c r="B34" s="1"/>
      <c r="C34" s="2"/>
      <c r="D34" s="116">
        <f>SUM(D23:D33)</f>
        <v>125000</v>
      </c>
      <c r="E34" s="1"/>
      <c r="F34" s="1"/>
      <c r="G34" s="1"/>
      <c r="H34" s="1"/>
      <c r="I34" s="1"/>
      <c r="J34" s="1"/>
      <c r="K34" s="105"/>
      <c r="L34" s="117"/>
      <c r="M34" s="117"/>
      <c r="N34" s="117"/>
      <c r="O34" s="117"/>
      <c r="P34" s="117"/>
      <c r="Q34" s="1"/>
      <c r="R34" s="1"/>
      <c r="AC34" s="102" t="str">
        <f t="shared" si="3"/>
        <v/>
      </c>
      <c r="AD34" s="102" t="str">
        <f t="shared" si="4"/>
        <v/>
      </c>
      <c r="AE34" s="102" t="str">
        <f t="shared" si="5"/>
        <v/>
      </c>
      <c r="AF34" s="102" t="str">
        <f t="shared" si="6"/>
        <v/>
      </c>
      <c r="AG34" s="10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5"/>
      <c r="L35" s="117"/>
      <c r="M35" s="117"/>
      <c r="N35" s="117"/>
      <c r="O35" s="117"/>
      <c r="P35" s="117"/>
      <c r="Q35" s="1"/>
      <c r="R35" s="1"/>
      <c r="AC35" s="102" t="str">
        <f t="shared" si="3"/>
        <v/>
      </c>
      <c r="AD35" s="102" t="str">
        <f t="shared" si="4"/>
        <v/>
      </c>
      <c r="AE35" s="102" t="str">
        <f t="shared" si="5"/>
        <v/>
      </c>
      <c r="AF35" s="102" t="str">
        <f t="shared" si="6"/>
        <v/>
      </c>
      <c r="AG35" s="10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9" t="s">
        <v>199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20" t="s">
        <v>200</v>
      </c>
      <c r="N38" s="1"/>
      <c r="O38" s="1"/>
      <c r="P38" s="1"/>
      <c r="Q38" s="1"/>
      <c r="R38" s="1"/>
    </row>
    <row r="39" ht="15.75" customHeight="1">
      <c r="K39" s="122" t="s">
        <v>7</v>
      </c>
      <c r="L39" s="122" t="s">
        <v>201</v>
      </c>
      <c r="M39" s="122" t="s">
        <v>202</v>
      </c>
    </row>
    <row r="40" ht="15.75" customHeight="1">
      <c r="K40" s="125" t="str">
        <f t="shared" ref="K40:K41" si="8">IF(O23="","",O23)</f>
        <v>INDAH</v>
      </c>
      <c r="L40" s="126">
        <v>2.0</v>
      </c>
      <c r="M40" s="126" t="s">
        <v>264</v>
      </c>
    </row>
    <row r="41" ht="15.75" customHeight="1">
      <c r="K41" s="125" t="str">
        <f t="shared" si="8"/>
        <v>AMEL</v>
      </c>
      <c r="L41" s="126">
        <v>3.0</v>
      </c>
      <c r="M41" s="126" t="s">
        <v>265</v>
      </c>
    </row>
    <row r="42" ht="15.75" customHeight="1"/>
    <row r="43" ht="19.5" customHeight="1">
      <c r="K43" s="130" t="s">
        <v>205</v>
      </c>
    </row>
    <row r="44" ht="19.5" customHeight="1">
      <c r="K44" s="131" t="s">
        <v>206</v>
      </c>
      <c r="M44" s="126">
        <v>21.0</v>
      </c>
    </row>
    <row r="45" ht="19.5" customHeight="1">
      <c r="K45" s="137" t="s">
        <v>209</v>
      </c>
      <c r="M45" s="139">
        <f>COUNTIF($I$4:$I$21,"DP")</f>
        <v>4</v>
      </c>
    </row>
    <row r="46" ht="19.5" customHeight="1">
      <c r="K46" s="137" t="s">
        <v>210</v>
      </c>
      <c r="M46" s="139">
        <f>COUNTIFS($I$4:$I$21,"&lt;&gt;DP",$I$4:$I$21,"&lt;&gt;")</f>
        <v>7</v>
      </c>
    </row>
    <row r="47" ht="19.5" customHeight="1">
      <c r="K47" s="140" t="s">
        <v>211</v>
      </c>
      <c r="M47" s="139">
        <f>M45+M46</f>
        <v>11</v>
      </c>
    </row>
    <row r="48" ht="19.5" customHeight="1">
      <c r="K48" s="131" t="s">
        <v>212</v>
      </c>
      <c r="M48" s="143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8" t="s">
        <v>75</v>
      </c>
      <c r="D4" s="22" t="s">
        <v>48</v>
      </c>
      <c r="E4" s="24"/>
      <c r="F4" s="25" t="s">
        <v>32</v>
      </c>
      <c r="G4" s="27"/>
      <c r="H4" s="167">
        <v>100000.0</v>
      </c>
      <c r="I4" s="25" t="s">
        <v>30</v>
      </c>
      <c r="J4" s="25" t="s">
        <v>33</v>
      </c>
      <c r="K4" s="25" t="s">
        <v>33</v>
      </c>
      <c r="L4" s="25" t="s">
        <v>28</v>
      </c>
      <c r="M4" s="17"/>
      <c r="N4" s="16"/>
      <c r="O4" s="16"/>
      <c r="P4" s="108"/>
      <c r="Q4" s="1"/>
      <c r="R4" s="1"/>
    </row>
    <row r="5" ht="15.75" customHeight="1">
      <c r="A5" s="1"/>
      <c r="B5" s="16">
        <v>2.0</v>
      </c>
      <c r="C5" s="18" t="s">
        <v>266</v>
      </c>
      <c r="D5" s="22" t="s">
        <v>267</v>
      </c>
      <c r="E5" s="24"/>
      <c r="F5" s="25" t="s">
        <v>32</v>
      </c>
      <c r="G5" s="41">
        <v>50000.0</v>
      </c>
      <c r="H5" s="168"/>
      <c r="I5" s="25" t="s">
        <v>30</v>
      </c>
      <c r="J5" s="25" t="s">
        <v>33</v>
      </c>
      <c r="K5" s="25" t="s">
        <v>36</v>
      </c>
      <c r="L5" s="25" t="s">
        <v>28</v>
      </c>
      <c r="M5" s="25" t="s">
        <v>43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18" t="s">
        <v>268</v>
      </c>
      <c r="D6" s="22" t="s">
        <v>237</v>
      </c>
      <c r="E6" s="24"/>
      <c r="F6" s="25" t="s">
        <v>269</v>
      </c>
      <c r="G6" s="27"/>
      <c r="H6" s="167">
        <v>20000.0</v>
      </c>
      <c r="I6" s="25" t="s">
        <v>30</v>
      </c>
      <c r="J6" s="25" t="s">
        <v>44</v>
      </c>
      <c r="K6" s="25" t="s">
        <v>44</v>
      </c>
      <c r="L6" s="25" t="s">
        <v>28</v>
      </c>
      <c r="M6" s="17"/>
      <c r="N6" s="16"/>
      <c r="O6" s="16"/>
      <c r="P6" s="16"/>
      <c r="Q6" s="1"/>
      <c r="R6" s="1"/>
    </row>
    <row r="7" ht="15.75" customHeight="1">
      <c r="A7" s="1"/>
      <c r="B7" s="16">
        <v>4.0</v>
      </c>
      <c r="C7" s="18" t="s">
        <v>270</v>
      </c>
      <c r="D7" s="22" t="s">
        <v>34</v>
      </c>
      <c r="E7" s="24"/>
      <c r="F7" s="25" t="s">
        <v>261</v>
      </c>
      <c r="G7" s="27"/>
      <c r="H7" s="167">
        <v>550000.0</v>
      </c>
      <c r="I7" s="25" t="s">
        <v>30</v>
      </c>
      <c r="J7" s="25" t="s">
        <v>33</v>
      </c>
      <c r="K7" s="25" t="s">
        <v>36</v>
      </c>
      <c r="L7" s="25" t="s">
        <v>28</v>
      </c>
      <c r="M7" s="25" t="s">
        <v>43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18" t="s">
        <v>271</v>
      </c>
      <c r="D8" s="22" t="s">
        <v>34</v>
      </c>
      <c r="E8" s="24"/>
      <c r="F8" s="25" t="s">
        <v>253</v>
      </c>
      <c r="G8" s="46"/>
      <c r="H8" s="169">
        <v>100000.0</v>
      </c>
      <c r="I8" s="25" t="s">
        <v>27</v>
      </c>
      <c r="J8" s="17"/>
      <c r="K8" s="17"/>
      <c r="L8" s="25" t="s">
        <v>28</v>
      </c>
      <c r="M8" s="17"/>
      <c r="N8" s="16"/>
      <c r="O8" s="16"/>
      <c r="P8" s="16"/>
      <c r="Q8" s="1"/>
      <c r="R8" s="1"/>
      <c r="S8" s="170"/>
    </row>
    <row r="9" ht="15.75" customHeight="1">
      <c r="A9" s="1"/>
      <c r="B9" s="16">
        <v>6.0</v>
      </c>
      <c r="C9" s="18" t="s">
        <v>272</v>
      </c>
      <c r="D9" s="22" t="s">
        <v>23</v>
      </c>
      <c r="E9" s="53"/>
      <c r="F9" s="25" t="s">
        <v>261</v>
      </c>
      <c r="G9" s="27"/>
      <c r="H9" s="167">
        <v>290000.0</v>
      </c>
      <c r="I9" s="25" t="s">
        <v>30</v>
      </c>
      <c r="J9" s="25" t="s">
        <v>33</v>
      </c>
      <c r="K9" s="25" t="s">
        <v>36</v>
      </c>
      <c r="L9" s="25" t="s">
        <v>28</v>
      </c>
      <c r="M9" s="25" t="s">
        <v>43</v>
      </c>
      <c r="N9" s="16"/>
      <c r="O9" s="16"/>
      <c r="P9" s="16"/>
      <c r="Q9" s="1"/>
      <c r="R9" s="1"/>
      <c r="S9" s="170"/>
    </row>
    <row r="10" ht="15.75" customHeight="1">
      <c r="A10" s="1"/>
      <c r="B10" s="16">
        <v>7.0</v>
      </c>
      <c r="C10" s="18" t="s">
        <v>273</v>
      </c>
      <c r="D10" s="22" t="s">
        <v>58</v>
      </c>
      <c r="E10" s="53"/>
      <c r="F10" s="25" t="s">
        <v>261</v>
      </c>
      <c r="G10" s="27"/>
      <c r="H10" s="167">
        <v>100000.0</v>
      </c>
      <c r="I10" s="25" t="s">
        <v>30</v>
      </c>
      <c r="J10" s="17"/>
      <c r="K10" s="17"/>
      <c r="L10" s="25" t="s">
        <v>28</v>
      </c>
      <c r="M10" s="17"/>
      <c r="N10" s="16"/>
      <c r="O10" s="16"/>
      <c r="P10" s="16"/>
      <c r="Q10" s="1"/>
      <c r="R10" s="1"/>
      <c r="S10" s="170"/>
      <c r="U10" s="170"/>
    </row>
    <row r="11" ht="15.75" customHeight="1">
      <c r="A11" s="1"/>
      <c r="B11" s="16">
        <v>8.0</v>
      </c>
      <c r="C11" s="18" t="s">
        <v>238</v>
      </c>
      <c r="D11" s="22" t="s">
        <v>34</v>
      </c>
      <c r="E11" s="24"/>
      <c r="F11" s="25" t="s">
        <v>261</v>
      </c>
      <c r="G11" s="27"/>
      <c r="H11" s="167">
        <v>100000.0</v>
      </c>
      <c r="I11" s="25" t="s">
        <v>30</v>
      </c>
      <c r="J11" s="25" t="s">
        <v>33</v>
      </c>
      <c r="K11" s="25" t="s">
        <v>33</v>
      </c>
      <c r="L11" s="25" t="s">
        <v>28</v>
      </c>
      <c r="M11" s="25" t="s">
        <v>43</v>
      </c>
      <c r="N11" s="16"/>
      <c r="O11" s="16"/>
      <c r="P11" s="16"/>
      <c r="Q11" s="1"/>
      <c r="R11" s="1"/>
      <c r="S11" s="170"/>
      <c r="U11" s="170"/>
    </row>
    <row r="12" ht="15.75" customHeight="1">
      <c r="A12" s="1"/>
      <c r="B12" s="16">
        <v>9.0</v>
      </c>
      <c r="C12" s="18" t="s">
        <v>274</v>
      </c>
      <c r="D12" s="22" t="s">
        <v>23</v>
      </c>
      <c r="E12" s="24"/>
      <c r="F12" s="25" t="s">
        <v>261</v>
      </c>
      <c r="G12" s="41">
        <v>350000.0</v>
      </c>
      <c r="H12" s="168"/>
      <c r="I12" s="25" t="s">
        <v>30</v>
      </c>
      <c r="J12" s="25" t="s">
        <v>33</v>
      </c>
      <c r="K12" s="25" t="s">
        <v>36</v>
      </c>
      <c r="L12" s="25" t="s">
        <v>28</v>
      </c>
      <c r="M12" s="25" t="s">
        <v>60</v>
      </c>
      <c r="N12" s="16"/>
      <c r="O12" s="16"/>
      <c r="P12" s="16"/>
      <c r="Q12" s="1"/>
      <c r="R12" s="1"/>
      <c r="S12" s="170"/>
      <c r="U12" s="170"/>
    </row>
    <row r="13" ht="15.75" customHeight="1">
      <c r="A13" s="1"/>
      <c r="B13" s="16">
        <v>10.0</v>
      </c>
      <c r="C13" s="18" t="s">
        <v>275</v>
      </c>
      <c r="D13" s="22" t="s">
        <v>82</v>
      </c>
      <c r="E13" s="24"/>
      <c r="F13" s="25" t="s">
        <v>261</v>
      </c>
      <c r="G13" s="27"/>
      <c r="H13" s="167">
        <v>100000.0</v>
      </c>
      <c r="I13" s="25" t="s">
        <v>27</v>
      </c>
      <c r="J13" s="17"/>
      <c r="K13" s="17"/>
      <c r="L13" s="25" t="s">
        <v>28</v>
      </c>
      <c r="M13" s="17"/>
      <c r="N13" s="16"/>
      <c r="O13" s="16"/>
      <c r="P13" s="16"/>
      <c r="Q13" s="1"/>
      <c r="R13" s="1"/>
      <c r="S13" s="170"/>
      <c r="U13" s="170"/>
    </row>
    <row r="14" ht="15.75" customHeight="1">
      <c r="A14" s="1"/>
      <c r="B14" s="16">
        <v>11.0</v>
      </c>
      <c r="C14" s="18" t="s">
        <v>276</v>
      </c>
      <c r="D14" s="22" t="s">
        <v>277</v>
      </c>
      <c r="E14" s="24"/>
      <c r="F14" s="25" t="s">
        <v>261</v>
      </c>
      <c r="G14" s="27"/>
      <c r="H14" s="167">
        <v>200000.0</v>
      </c>
      <c r="I14" s="25" t="s">
        <v>30</v>
      </c>
      <c r="J14" s="25" t="s">
        <v>33</v>
      </c>
      <c r="K14" s="25" t="s">
        <v>36</v>
      </c>
      <c r="L14" s="25" t="s">
        <v>28</v>
      </c>
      <c r="M14" s="25" t="s">
        <v>60</v>
      </c>
      <c r="N14" s="16"/>
      <c r="O14" s="16"/>
      <c r="P14" s="16"/>
      <c r="Q14" s="1"/>
      <c r="R14" s="1"/>
      <c r="S14" s="170"/>
      <c r="U14" s="170"/>
    </row>
    <row r="15" ht="15.75" customHeight="1">
      <c r="A15" s="1"/>
      <c r="B15" s="16">
        <v>12.0</v>
      </c>
      <c r="C15" s="18" t="s">
        <v>278</v>
      </c>
      <c r="D15" s="22" t="s">
        <v>82</v>
      </c>
      <c r="E15" s="24"/>
      <c r="F15" s="25" t="s">
        <v>261</v>
      </c>
      <c r="G15" s="27"/>
      <c r="H15" s="167">
        <v>150000.0</v>
      </c>
      <c r="I15" s="25" t="s">
        <v>30</v>
      </c>
      <c r="J15" s="25" t="s">
        <v>33</v>
      </c>
      <c r="K15" s="25" t="s">
        <v>36</v>
      </c>
      <c r="L15" s="25" t="s">
        <v>28</v>
      </c>
      <c r="M15" s="25" t="s">
        <v>60</v>
      </c>
      <c r="N15" s="16"/>
      <c r="O15" s="16"/>
      <c r="P15" s="16"/>
      <c r="Q15" s="1"/>
      <c r="R15" s="1"/>
      <c r="S15" s="170"/>
      <c r="U15" s="170"/>
    </row>
    <row r="16" ht="15.75" customHeight="1">
      <c r="A16" s="1"/>
      <c r="B16" s="16">
        <v>13.0</v>
      </c>
      <c r="C16" s="18" t="s">
        <v>279</v>
      </c>
      <c r="D16" s="22" t="s">
        <v>34</v>
      </c>
      <c r="E16" s="24"/>
      <c r="F16" s="25" t="s">
        <v>253</v>
      </c>
      <c r="G16" s="27"/>
      <c r="H16" s="167">
        <v>100000.0</v>
      </c>
      <c r="I16" s="25" t="s">
        <v>27</v>
      </c>
      <c r="J16" s="17"/>
      <c r="K16" s="17"/>
      <c r="L16" s="25" t="s">
        <v>28</v>
      </c>
      <c r="M16" s="17"/>
      <c r="N16" s="16"/>
      <c r="O16" s="16"/>
      <c r="P16" s="16"/>
      <c r="Q16" s="1"/>
      <c r="R16" s="1"/>
      <c r="S16" s="170"/>
      <c r="U16" s="170"/>
    </row>
    <row r="17" ht="15.75" customHeight="1">
      <c r="A17" s="1"/>
      <c r="B17" s="16">
        <v>14.0</v>
      </c>
      <c r="C17" s="18" t="s">
        <v>276</v>
      </c>
      <c r="D17" s="22" t="s">
        <v>281</v>
      </c>
      <c r="E17" s="24"/>
      <c r="F17" s="25" t="s">
        <v>261</v>
      </c>
      <c r="G17" s="27"/>
      <c r="H17" s="167">
        <v>400000.0</v>
      </c>
      <c r="I17" s="25" t="s">
        <v>30</v>
      </c>
      <c r="J17" s="25" t="s">
        <v>33</v>
      </c>
      <c r="K17" s="25" t="s">
        <v>36</v>
      </c>
      <c r="L17" s="25" t="s">
        <v>28</v>
      </c>
      <c r="M17" s="25" t="s">
        <v>60</v>
      </c>
      <c r="N17" s="16"/>
      <c r="O17" s="16"/>
      <c r="P17" s="16"/>
      <c r="Q17" s="1"/>
      <c r="R17" s="1"/>
      <c r="S17" s="170"/>
      <c r="U17" s="170"/>
    </row>
    <row r="18" ht="15.75" customHeight="1">
      <c r="A18" s="1"/>
      <c r="B18" s="16">
        <v>15.0</v>
      </c>
      <c r="C18" s="25" t="s">
        <v>282</v>
      </c>
      <c r="D18" s="22" t="s">
        <v>277</v>
      </c>
      <c r="E18" s="164">
        <v>2.0</v>
      </c>
      <c r="F18" s="25" t="s">
        <v>221</v>
      </c>
      <c r="G18" s="27"/>
      <c r="H18" s="167">
        <v>100000.0</v>
      </c>
      <c r="I18" s="25" t="s">
        <v>30</v>
      </c>
      <c r="J18" s="17"/>
      <c r="K18" s="17"/>
      <c r="L18" s="25" t="s">
        <v>28</v>
      </c>
      <c r="M18" s="17"/>
      <c r="N18" s="16"/>
      <c r="O18" s="16"/>
      <c r="P18" s="16"/>
      <c r="Q18" s="1"/>
      <c r="R18" s="1"/>
      <c r="S18" s="170"/>
      <c r="U18" s="170"/>
    </row>
    <row r="19" ht="15.75" customHeight="1">
      <c r="A19" s="1"/>
      <c r="B19" s="16">
        <v>16.0</v>
      </c>
      <c r="C19" s="18" t="s">
        <v>273</v>
      </c>
      <c r="D19" s="22" t="s">
        <v>267</v>
      </c>
      <c r="E19" s="24"/>
      <c r="F19" s="25" t="s">
        <v>261</v>
      </c>
      <c r="G19" s="27"/>
      <c r="H19" s="167">
        <v>50000.0</v>
      </c>
      <c r="I19" s="25" t="s">
        <v>30</v>
      </c>
      <c r="J19" s="25" t="s">
        <v>33</v>
      </c>
      <c r="K19" s="25" t="s">
        <v>36</v>
      </c>
      <c r="L19" s="25" t="s">
        <v>28</v>
      </c>
      <c r="M19" s="25" t="s">
        <v>60</v>
      </c>
      <c r="N19" s="16"/>
      <c r="O19" s="16"/>
      <c r="P19" s="16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24">
        <f t="shared" ref="G20:H20" si="1">SUM(G4:G19)</f>
        <v>400000</v>
      </c>
      <c r="H20" s="78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1" t="s">
        <v>0</v>
      </c>
      <c r="C23" s="72" t="s">
        <v>6</v>
      </c>
      <c r="D23" s="72" t="s">
        <v>115</v>
      </c>
      <c r="E23" s="1"/>
      <c r="F23" s="1"/>
      <c r="G23" s="1"/>
      <c r="H23" s="1"/>
      <c r="I23" s="1"/>
      <c r="J23" s="1"/>
      <c r="K23" s="1"/>
      <c r="L23" s="1"/>
      <c r="M23" s="1"/>
      <c r="N23" s="72" t="s">
        <v>117</v>
      </c>
      <c r="O23" s="72" t="s">
        <v>1</v>
      </c>
      <c r="P23" s="1"/>
      <c r="Q23" s="1"/>
      <c r="R23" s="1"/>
    </row>
    <row r="24" ht="15.75" customHeight="1">
      <c r="A24" s="1"/>
      <c r="B24" s="73">
        <v>1.0</v>
      </c>
      <c r="C24" s="74" t="s">
        <v>119</v>
      </c>
      <c r="D24" s="76">
        <f>SUM(G20)</f>
        <v>400000</v>
      </c>
      <c r="E24" s="77"/>
      <c r="F24" s="1"/>
      <c r="G24" s="1"/>
      <c r="H24" s="1"/>
      <c r="I24" s="1"/>
      <c r="J24" s="1"/>
      <c r="K24" s="1"/>
      <c r="L24" s="1"/>
      <c r="M24" s="1"/>
      <c r="N24" s="79" t="s">
        <v>123</v>
      </c>
      <c r="O24" s="81" t="s">
        <v>28</v>
      </c>
      <c r="P24" s="1"/>
      <c r="Q24" s="1"/>
      <c r="R24" s="1"/>
    </row>
    <row r="25" ht="15.75" customHeight="1">
      <c r="A25" s="1"/>
      <c r="B25" s="82">
        <v>2.0</v>
      </c>
      <c r="C25" s="83" t="s">
        <v>208</v>
      </c>
      <c r="D25" s="84">
        <v>-12000.0</v>
      </c>
      <c r="E25" s="77"/>
      <c r="F25" s="1"/>
      <c r="G25" s="1"/>
      <c r="H25" s="1"/>
      <c r="I25" s="1"/>
      <c r="J25" s="1"/>
      <c r="K25" s="1"/>
      <c r="L25" s="1"/>
      <c r="M25" s="1"/>
      <c r="N25" s="85" t="s">
        <v>129</v>
      </c>
      <c r="O25" s="86" t="s">
        <v>28</v>
      </c>
      <c r="P25" s="1"/>
      <c r="Q25" s="1"/>
      <c r="R25" s="1"/>
    </row>
    <row r="26" ht="15.75" customHeight="1">
      <c r="A26" s="1"/>
      <c r="B26" s="73">
        <v>3.0</v>
      </c>
      <c r="C26" s="171" t="s">
        <v>263</v>
      </c>
      <c r="D26" s="172">
        <v>-88000.0</v>
      </c>
      <c r="E26" s="77"/>
      <c r="F26" s="1"/>
      <c r="G26" s="1"/>
      <c r="H26" s="1"/>
      <c r="I26" s="1"/>
      <c r="J26" s="1"/>
      <c r="K26" s="1"/>
      <c r="L26" s="1"/>
      <c r="M26" s="1"/>
      <c r="N26" s="89" t="s">
        <v>134</v>
      </c>
      <c r="O26" s="90" t="s">
        <v>43</v>
      </c>
      <c r="P26" s="1"/>
      <c r="Q26" s="1"/>
      <c r="R26" s="1"/>
    </row>
    <row r="27" ht="15.75" customHeight="1">
      <c r="A27" s="1"/>
      <c r="B27" s="82">
        <v>4.0</v>
      </c>
      <c r="C27" s="173" t="s">
        <v>292</v>
      </c>
      <c r="D27" s="142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93" t="s">
        <v>137</v>
      </c>
      <c r="O27" s="86" t="s">
        <v>60</v>
      </c>
      <c r="P27" s="1"/>
      <c r="Q27" s="1"/>
      <c r="R27" s="1"/>
    </row>
    <row r="28" ht="15.75" customHeight="1">
      <c r="A28" s="1"/>
      <c r="B28" s="73">
        <v>5.0</v>
      </c>
      <c r="C28" s="74"/>
      <c r="D28" s="76"/>
      <c r="E28" s="77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82">
        <v>6.0</v>
      </c>
      <c r="C29" s="98"/>
      <c r="D29" s="99"/>
      <c r="E29" s="77"/>
      <c r="F29" s="1"/>
      <c r="G29" s="1"/>
      <c r="H29" s="1"/>
      <c r="I29" s="1"/>
      <c r="J29" s="1"/>
      <c r="K29" s="100" t="s">
        <v>142</v>
      </c>
      <c r="Q29" s="1"/>
      <c r="R29" s="1"/>
    </row>
    <row r="30" ht="15.75" customHeight="1">
      <c r="A30" s="1"/>
      <c r="B30" s="73">
        <v>7.0</v>
      </c>
      <c r="C30" s="74"/>
      <c r="D30" s="76"/>
      <c r="E30" s="77"/>
      <c r="F30" s="1"/>
      <c r="G30" s="1"/>
      <c r="H30" s="1"/>
      <c r="I30" s="1"/>
      <c r="J30" s="1"/>
      <c r="K30" s="101" t="s">
        <v>1</v>
      </c>
      <c r="L30" s="101" t="s">
        <v>145</v>
      </c>
      <c r="M30" s="101" t="s">
        <v>146</v>
      </c>
      <c r="N30" s="101" t="s">
        <v>147</v>
      </c>
      <c r="O30" s="101" t="s">
        <v>148</v>
      </c>
      <c r="P30" s="101" t="s">
        <v>149</v>
      </c>
      <c r="Q30" s="1"/>
      <c r="R30" s="1"/>
      <c r="AC30" s="102" t="s">
        <v>150</v>
      </c>
      <c r="AD30" s="102" t="s">
        <v>151</v>
      </c>
      <c r="AE30" s="102" t="s">
        <v>153</v>
      </c>
      <c r="AF30" s="102" t="s">
        <v>155</v>
      </c>
      <c r="AG30" s="102" t="s">
        <v>156</v>
      </c>
    </row>
    <row r="31" ht="15.75" customHeight="1">
      <c r="A31" s="1"/>
      <c r="B31" s="82">
        <v>8.0</v>
      </c>
      <c r="C31" s="98"/>
      <c r="D31" s="99"/>
      <c r="E31" s="77"/>
      <c r="F31" s="1"/>
      <c r="G31" s="1"/>
      <c r="H31" s="1"/>
      <c r="I31" s="1"/>
      <c r="J31" s="1"/>
      <c r="K31" s="105" t="str">
        <f t="shared" ref="K31:K34" si="2">IF(O24="","",O24)</f>
        <v>AMEL</v>
      </c>
      <c r="L31" s="106">
        <v>5.0</v>
      </c>
      <c r="M31" s="106">
        <v>5.0</v>
      </c>
      <c r="N31" s="106">
        <v>4.0</v>
      </c>
      <c r="O31" s="106">
        <v>4.0</v>
      </c>
      <c r="P31" s="106">
        <v>5.0</v>
      </c>
      <c r="Q31" s="1"/>
      <c r="R31" s="1"/>
      <c r="AC31" s="102">
        <f t="shared" ref="AC31:AC36" si="3">IF(AG31="","",IF(COUNT(L31:P31)&lt;5,"",L31/5*20+M31/5*25+N31/5*25+O31/5*15+P31/5*15))</f>
        <v>92</v>
      </c>
      <c r="AD31" s="102" t="str">
        <f t="shared" ref="AD31:AD36" si="4">IF(AC31="","",IF(AC31&gt;=90,"Sangat Baik",IF(AC31&gt;=80,"Baik",IF(AC31&gt;=70,"Coaching","Underperform"))))</f>
        <v>Sangat Baik</v>
      </c>
      <c r="AE31" s="102" t="str">
        <f t="shared" ref="AE31:AE36" si="5">IF(AG31="","",IF(OR(AG31="INDAH",AG31="ADDEL",AG31="AMEL",AG31="PENTIL",AG31="JIJANG"),"Admin/CS","Fotografer"))</f>
        <v>Admin/CS</v>
      </c>
      <c r="AF31" s="102">
        <f t="shared" ref="AF31:AF36" si="6">IF(OR(AG31="",COUNT(L31:P31)&lt;5),"",1)</f>
        <v>1</v>
      </c>
      <c r="AG31" s="102" t="str">
        <f t="shared" ref="AG31:AG36" si="7">IFERROR(K31,"")</f>
        <v>AMEL</v>
      </c>
    </row>
    <row r="32" ht="15.75" customHeight="1">
      <c r="A32" s="1"/>
      <c r="B32" s="73">
        <v>9.0</v>
      </c>
      <c r="C32" s="74"/>
      <c r="D32" s="76"/>
      <c r="E32" s="77"/>
      <c r="F32" s="1"/>
      <c r="G32" s="1"/>
      <c r="H32" s="1"/>
      <c r="I32" s="1"/>
      <c r="J32" s="1"/>
      <c r="K32" s="105" t="str">
        <f t="shared" si="2"/>
        <v>AMEL</v>
      </c>
      <c r="L32" s="106">
        <v>5.0</v>
      </c>
      <c r="M32" s="106">
        <v>5.0</v>
      </c>
      <c r="N32" s="106">
        <v>4.0</v>
      </c>
      <c r="O32" s="106">
        <v>4.0</v>
      </c>
      <c r="P32" s="106">
        <v>5.0</v>
      </c>
      <c r="Q32" s="1"/>
      <c r="R32" s="1"/>
      <c r="AC32" s="102">
        <f t="shared" si="3"/>
        <v>92</v>
      </c>
      <c r="AD32" s="102" t="str">
        <f t="shared" si="4"/>
        <v>Sangat Baik</v>
      </c>
      <c r="AE32" s="102" t="str">
        <f t="shared" si="5"/>
        <v>Admin/CS</v>
      </c>
      <c r="AF32" s="102">
        <f t="shared" si="6"/>
        <v>1</v>
      </c>
      <c r="AG32" s="102" t="str">
        <f t="shared" si="7"/>
        <v>AMEL</v>
      </c>
    </row>
    <row r="33" ht="15.75" customHeight="1">
      <c r="A33" s="1"/>
      <c r="B33" s="82">
        <v>10.0</v>
      </c>
      <c r="C33" s="98"/>
      <c r="D33" s="99"/>
      <c r="E33" s="77"/>
      <c r="F33" s="1"/>
      <c r="G33" s="1"/>
      <c r="H33" s="1"/>
      <c r="I33" s="1"/>
      <c r="J33" s="1"/>
      <c r="K33" s="105" t="str">
        <f t="shared" si="2"/>
        <v>ADIF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2">
        <f t="shared" si="3"/>
        <v>100</v>
      </c>
      <c r="AD33" s="102" t="str">
        <f t="shared" si="4"/>
        <v>Sangat Baik</v>
      </c>
      <c r="AE33" s="102" t="str">
        <f t="shared" si="5"/>
        <v>Fotografer</v>
      </c>
      <c r="AF33" s="102">
        <f t="shared" si="6"/>
        <v>1</v>
      </c>
      <c r="AG33" s="102" t="str">
        <f t="shared" si="7"/>
        <v>ADIF</v>
      </c>
    </row>
    <row r="34" ht="15.75" customHeight="1">
      <c r="A34" s="1"/>
      <c r="B34" s="112">
        <v>11.0</v>
      </c>
      <c r="C34" s="114"/>
      <c r="D34" s="115"/>
      <c r="E34" s="77"/>
      <c r="F34" s="1"/>
      <c r="G34" s="1"/>
      <c r="H34" s="1"/>
      <c r="I34" s="1"/>
      <c r="J34" s="1"/>
      <c r="K34" s="105" t="str">
        <f t="shared" si="2"/>
        <v>SAKA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2">
        <f t="shared" si="3"/>
        <v>100</v>
      </c>
      <c r="AD34" s="102" t="str">
        <f t="shared" si="4"/>
        <v>Sangat Baik</v>
      </c>
      <c r="AE34" s="102" t="str">
        <f t="shared" si="5"/>
        <v>Fotografer</v>
      </c>
      <c r="AF34" s="102">
        <f t="shared" si="6"/>
        <v>1</v>
      </c>
      <c r="AG34" s="102" t="str">
        <f t="shared" si="7"/>
        <v>SAKA</v>
      </c>
    </row>
    <row r="35" ht="15.75" customHeight="1">
      <c r="A35" s="1"/>
      <c r="B35" s="1"/>
      <c r="C35" s="2"/>
      <c r="D35" s="116">
        <f>SUM(D24:D34)</f>
        <v>250000</v>
      </c>
      <c r="E35" s="1"/>
      <c r="F35" s="1"/>
      <c r="G35" s="1"/>
      <c r="H35" s="1"/>
      <c r="I35" s="1"/>
      <c r="J35" s="1"/>
      <c r="K35" s="105"/>
      <c r="L35" s="117"/>
      <c r="M35" s="117"/>
      <c r="N35" s="117"/>
      <c r="O35" s="117"/>
      <c r="P35" s="117"/>
      <c r="Q35" s="1"/>
      <c r="R35" s="1"/>
      <c r="AC35" s="102" t="str">
        <f t="shared" si="3"/>
        <v/>
      </c>
      <c r="AD35" s="102" t="str">
        <f t="shared" si="4"/>
        <v/>
      </c>
      <c r="AE35" s="102" t="str">
        <f t="shared" si="5"/>
        <v/>
      </c>
      <c r="AF35" s="102" t="str">
        <f t="shared" si="6"/>
        <v/>
      </c>
      <c r="AG35" s="10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5"/>
      <c r="L36" s="117"/>
      <c r="M36" s="117"/>
      <c r="N36" s="117"/>
      <c r="O36" s="117"/>
      <c r="P36" s="117"/>
      <c r="Q36" s="1"/>
      <c r="R36" s="1"/>
      <c r="AC36" s="102" t="str">
        <f t="shared" si="3"/>
        <v/>
      </c>
      <c r="AD36" s="102" t="str">
        <f t="shared" si="4"/>
        <v/>
      </c>
      <c r="AE36" s="102" t="str">
        <f t="shared" si="5"/>
        <v/>
      </c>
      <c r="AF36" s="102" t="str">
        <f t="shared" si="6"/>
        <v/>
      </c>
      <c r="AG36" s="102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199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20" t="s">
        <v>200</v>
      </c>
      <c r="N39" s="1"/>
      <c r="O39" s="1"/>
      <c r="P39" s="1"/>
      <c r="Q39" s="1"/>
      <c r="R39" s="1"/>
    </row>
    <row r="40" ht="15.75" customHeight="1">
      <c r="K40" s="122" t="s">
        <v>7</v>
      </c>
      <c r="L40" s="122" t="s">
        <v>201</v>
      </c>
      <c r="M40" s="122" t="s">
        <v>202</v>
      </c>
    </row>
    <row r="41" ht="15.75" customHeight="1">
      <c r="K41" s="125" t="str">
        <f t="shared" ref="K41:K42" si="8">IF(O24="","",O24)</f>
        <v>AMEL</v>
      </c>
      <c r="L41" s="126">
        <v>5.0</v>
      </c>
      <c r="M41" s="128"/>
    </row>
    <row r="42" ht="15.75" customHeight="1">
      <c r="K42" s="125" t="str">
        <f t="shared" si="8"/>
        <v>AMEL</v>
      </c>
      <c r="L42" s="128"/>
      <c r="M42" s="128"/>
    </row>
    <row r="43" ht="15.75" customHeight="1"/>
    <row r="44" ht="19.5" customHeight="1">
      <c r="K44" s="130" t="s">
        <v>205</v>
      </c>
    </row>
    <row r="45" ht="19.5" customHeight="1">
      <c r="K45" s="131" t="s">
        <v>206</v>
      </c>
      <c r="M45" s="126">
        <v>20.0</v>
      </c>
    </row>
    <row r="46" ht="19.5" customHeight="1">
      <c r="K46" s="137" t="s">
        <v>209</v>
      </c>
      <c r="M46" s="139">
        <f>COUNTIF($I$4:$I$22,"DP")</f>
        <v>3</v>
      </c>
    </row>
    <row r="47" ht="19.5" customHeight="1">
      <c r="K47" s="137" t="s">
        <v>210</v>
      </c>
      <c r="M47" s="139">
        <f>COUNTIFS($I$4:$I$22,"&lt;&gt;DP",$I$4:$I$22,"&lt;&gt;")</f>
        <v>13</v>
      </c>
    </row>
    <row r="48" ht="19.5" customHeight="1">
      <c r="K48" s="140" t="s">
        <v>211</v>
      </c>
      <c r="M48" s="139">
        <f>M46+M47</f>
        <v>16</v>
      </c>
    </row>
    <row r="49" ht="19.5" customHeight="1">
      <c r="K49" s="131" t="s">
        <v>212</v>
      </c>
      <c r="M49" s="143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8" t="s">
        <v>273</v>
      </c>
      <c r="D4" s="22" t="s">
        <v>49</v>
      </c>
      <c r="E4" s="24"/>
      <c r="F4" s="17"/>
      <c r="G4" s="27"/>
      <c r="H4" s="167">
        <v>140000.0</v>
      </c>
      <c r="I4" s="25" t="s">
        <v>30</v>
      </c>
      <c r="J4" s="25" t="s">
        <v>33</v>
      </c>
      <c r="K4" s="25" t="s">
        <v>33</v>
      </c>
      <c r="L4" s="25" t="s">
        <v>28</v>
      </c>
      <c r="M4" s="17"/>
      <c r="N4" s="33"/>
      <c r="O4" s="33"/>
      <c r="P4" s="35"/>
      <c r="Q4" s="1"/>
      <c r="R4" s="1"/>
    </row>
    <row r="5" ht="15.75" customHeight="1">
      <c r="A5" s="1"/>
      <c r="B5" s="16">
        <v>2.0</v>
      </c>
      <c r="C5" s="18" t="s">
        <v>280</v>
      </c>
      <c r="D5" s="22" t="s">
        <v>23</v>
      </c>
      <c r="E5" s="53"/>
      <c r="F5" s="25" t="s">
        <v>25</v>
      </c>
      <c r="G5" s="27"/>
      <c r="H5" s="167">
        <v>100000.0</v>
      </c>
      <c r="I5" s="25" t="s">
        <v>27</v>
      </c>
      <c r="J5" s="25" t="s">
        <v>44</v>
      </c>
      <c r="K5" s="25" t="s">
        <v>44</v>
      </c>
      <c r="L5" s="25" t="s">
        <v>28</v>
      </c>
      <c r="M5" s="17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8" t="s">
        <v>283</v>
      </c>
      <c r="D6" s="22" t="s">
        <v>82</v>
      </c>
      <c r="E6" s="24"/>
      <c r="F6" s="25" t="s">
        <v>65</v>
      </c>
      <c r="G6" s="27"/>
      <c r="H6" s="167">
        <v>100000.0</v>
      </c>
      <c r="I6" s="25" t="s">
        <v>27</v>
      </c>
      <c r="J6" s="25" t="s">
        <v>44</v>
      </c>
      <c r="K6" s="25" t="s">
        <v>44</v>
      </c>
      <c r="L6" s="25" t="s">
        <v>28</v>
      </c>
      <c r="M6" s="17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8" t="s">
        <v>254</v>
      </c>
      <c r="D7" s="22" t="s">
        <v>73</v>
      </c>
      <c r="E7" s="164" t="s">
        <v>284</v>
      </c>
      <c r="F7" s="25" t="s">
        <v>221</v>
      </c>
      <c r="G7" s="27"/>
      <c r="H7" s="167">
        <v>350000.0</v>
      </c>
      <c r="I7" s="25" t="s">
        <v>30</v>
      </c>
      <c r="J7" s="25" t="s">
        <v>44</v>
      </c>
      <c r="K7" s="25" t="s">
        <v>44</v>
      </c>
      <c r="L7" s="25" t="s">
        <v>28</v>
      </c>
      <c r="M7" s="17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8" t="s">
        <v>285</v>
      </c>
      <c r="D8" s="22" t="s">
        <v>58</v>
      </c>
      <c r="E8" s="24"/>
      <c r="F8" s="25" t="s">
        <v>65</v>
      </c>
      <c r="G8" s="27"/>
      <c r="H8" s="167">
        <v>100000.0</v>
      </c>
      <c r="I8" s="25" t="s">
        <v>30</v>
      </c>
      <c r="J8" s="25" t="s">
        <v>44</v>
      </c>
      <c r="K8" s="25" t="s">
        <v>44</v>
      </c>
      <c r="L8" s="25" t="s">
        <v>28</v>
      </c>
      <c r="M8" s="17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8" t="s">
        <v>286</v>
      </c>
      <c r="D9" s="22" t="s">
        <v>277</v>
      </c>
      <c r="E9" s="24"/>
      <c r="F9" s="25" t="s">
        <v>221</v>
      </c>
      <c r="G9" s="27"/>
      <c r="H9" s="167">
        <v>50000.0</v>
      </c>
      <c r="I9" s="25" t="s">
        <v>30</v>
      </c>
      <c r="J9" s="25" t="s">
        <v>33</v>
      </c>
      <c r="K9" s="25" t="s">
        <v>36</v>
      </c>
      <c r="L9" s="25" t="s">
        <v>28</v>
      </c>
      <c r="M9" s="25" t="s">
        <v>43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8" t="s">
        <v>287</v>
      </c>
      <c r="D10" s="22" t="s">
        <v>23</v>
      </c>
      <c r="E10" s="24"/>
      <c r="F10" s="54">
        <v>46312.0</v>
      </c>
      <c r="G10" s="46"/>
      <c r="H10" s="169">
        <v>100000.0</v>
      </c>
      <c r="I10" s="25" t="s">
        <v>27</v>
      </c>
      <c r="J10" s="17"/>
      <c r="K10" s="17"/>
      <c r="L10" s="25" t="s">
        <v>38</v>
      </c>
      <c r="M10" s="17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8" t="s">
        <v>288</v>
      </c>
      <c r="D11" s="22" t="s">
        <v>39</v>
      </c>
      <c r="E11" s="24"/>
      <c r="F11" s="54">
        <v>46304.0</v>
      </c>
      <c r="G11" s="46"/>
      <c r="H11" s="169">
        <v>100000.0</v>
      </c>
      <c r="I11" s="25" t="s">
        <v>27</v>
      </c>
      <c r="J11" s="17"/>
      <c r="K11" s="17"/>
      <c r="L11" s="25" t="s">
        <v>38</v>
      </c>
      <c r="M11" s="17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8" t="s">
        <v>289</v>
      </c>
      <c r="D12" s="22" t="s">
        <v>34</v>
      </c>
      <c r="E12" s="164" t="s">
        <v>196</v>
      </c>
      <c r="F12" s="54">
        <v>46304.0</v>
      </c>
      <c r="G12" s="46"/>
      <c r="H12" s="169">
        <v>175000.0</v>
      </c>
      <c r="I12" s="25" t="s">
        <v>30</v>
      </c>
      <c r="J12" s="25" t="s">
        <v>33</v>
      </c>
      <c r="K12" s="25" t="s">
        <v>33</v>
      </c>
      <c r="L12" s="25" t="s">
        <v>38</v>
      </c>
      <c r="M12" s="25" t="s">
        <v>43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8" t="s">
        <v>290</v>
      </c>
      <c r="D13" s="22" t="s">
        <v>34</v>
      </c>
      <c r="E13" s="24"/>
      <c r="F13" s="54">
        <v>46307.0</v>
      </c>
      <c r="G13" s="27"/>
      <c r="H13" s="167">
        <v>100000.0</v>
      </c>
      <c r="I13" s="25" t="s">
        <v>27</v>
      </c>
      <c r="J13" s="17"/>
      <c r="K13" s="17"/>
      <c r="L13" s="25" t="s">
        <v>38</v>
      </c>
      <c r="M13" s="17"/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8" t="s">
        <v>291</v>
      </c>
      <c r="D14" s="22" t="s">
        <v>277</v>
      </c>
      <c r="E14" s="24"/>
      <c r="F14" s="54">
        <v>46304.0</v>
      </c>
      <c r="G14" s="41">
        <v>0.0</v>
      </c>
      <c r="H14" s="167">
        <v>0.0</v>
      </c>
      <c r="I14" s="25" t="s">
        <v>30</v>
      </c>
      <c r="J14" s="25" t="s">
        <v>33</v>
      </c>
      <c r="K14" s="25" t="s">
        <v>33</v>
      </c>
      <c r="L14" s="25" t="s">
        <v>38</v>
      </c>
      <c r="M14" s="25" t="s">
        <v>43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8" t="s">
        <v>293</v>
      </c>
      <c r="D15" s="22" t="s">
        <v>294</v>
      </c>
      <c r="E15" s="24"/>
      <c r="F15" s="17"/>
      <c r="G15" s="27"/>
      <c r="H15" s="167">
        <v>125000.0</v>
      </c>
      <c r="I15" s="25" t="s">
        <v>30</v>
      </c>
      <c r="J15" s="17"/>
      <c r="K15" s="17"/>
      <c r="L15" s="25" t="s">
        <v>38</v>
      </c>
      <c r="M15" s="17"/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18" t="s">
        <v>288</v>
      </c>
      <c r="D16" s="22" t="s">
        <v>39</v>
      </c>
      <c r="E16" s="24"/>
      <c r="F16" s="54">
        <v>46304.0</v>
      </c>
      <c r="G16" s="27"/>
      <c r="H16" s="167">
        <v>100000.0</v>
      </c>
      <c r="I16" s="25" t="s">
        <v>30</v>
      </c>
      <c r="J16" s="25" t="s">
        <v>33</v>
      </c>
      <c r="K16" s="25" t="s">
        <v>33</v>
      </c>
      <c r="L16" s="25" t="s">
        <v>38</v>
      </c>
      <c r="M16" s="25" t="s">
        <v>43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18" t="s">
        <v>295</v>
      </c>
      <c r="D17" s="22" t="s">
        <v>82</v>
      </c>
      <c r="E17" s="24"/>
      <c r="F17" s="54">
        <v>46316.0</v>
      </c>
      <c r="G17" s="27"/>
      <c r="H17" s="167">
        <v>100000.0</v>
      </c>
      <c r="I17" s="25" t="s">
        <v>27</v>
      </c>
      <c r="J17" s="17"/>
      <c r="K17" s="17"/>
      <c r="L17" s="25" t="s">
        <v>38</v>
      </c>
      <c r="M17" s="17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8" t="s">
        <v>220</v>
      </c>
      <c r="D18" s="22" t="s">
        <v>34</v>
      </c>
      <c r="E18" s="24"/>
      <c r="F18" s="54">
        <v>46304.0</v>
      </c>
      <c r="G18" s="41">
        <v>200000.0</v>
      </c>
      <c r="H18" s="168"/>
      <c r="I18" s="25" t="s">
        <v>30</v>
      </c>
      <c r="J18" s="25" t="s">
        <v>33</v>
      </c>
      <c r="K18" s="25" t="s">
        <v>33</v>
      </c>
      <c r="L18" s="25" t="s">
        <v>38</v>
      </c>
      <c r="M18" s="25" t="s">
        <v>43</v>
      </c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18" t="s">
        <v>296</v>
      </c>
      <c r="D19" s="22" t="s">
        <v>281</v>
      </c>
      <c r="E19" s="24"/>
      <c r="F19" s="54">
        <v>46324.0</v>
      </c>
      <c r="G19" s="27"/>
      <c r="H19" s="167">
        <v>100000.0</v>
      </c>
      <c r="I19" s="25" t="s">
        <v>27</v>
      </c>
      <c r="J19" s="17"/>
      <c r="K19" s="17"/>
      <c r="L19" s="25" t="s">
        <v>38</v>
      </c>
      <c r="M19" s="17"/>
      <c r="N19" s="43"/>
      <c r="O19" s="43"/>
      <c r="P19" s="43"/>
      <c r="Q19" s="1"/>
      <c r="R19" s="1"/>
    </row>
    <row r="20" ht="15.75" customHeight="1">
      <c r="A20" s="1"/>
      <c r="B20" s="16"/>
      <c r="C20" s="18" t="s">
        <v>297</v>
      </c>
      <c r="D20" s="22" t="s">
        <v>189</v>
      </c>
      <c r="E20" s="164"/>
      <c r="F20" s="25" t="s">
        <v>298</v>
      </c>
      <c r="G20" s="27"/>
      <c r="H20" s="167">
        <v>100000.0</v>
      </c>
      <c r="I20" s="25" t="s">
        <v>27</v>
      </c>
      <c r="J20" s="17"/>
      <c r="K20" s="17"/>
      <c r="L20" s="25" t="s">
        <v>38</v>
      </c>
      <c r="M20" s="17"/>
      <c r="N20" s="43"/>
      <c r="O20" s="43"/>
      <c r="P20" s="43"/>
      <c r="Q20" s="1"/>
      <c r="R20" s="1"/>
    </row>
    <row r="21" ht="15.75" customHeight="1">
      <c r="A21" s="1"/>
      <c r="B21" s="16"/>
      <c r="C21" s="18" t="s">
        <v>299</v>
      </c>
      <c r="D21" s="22" t="s">
        <v>99</v>
      </c>
      <c r="E21" s="164" t="s">
        <v>300</v>
      </c>
      <c r="F21" s="17"/>
      <c r="G21" s="27"/>
      <c r="H21" s="167">
        <v>90000.0</v>
      </c>
      <c r="I21" s="25" t="s">
        <v>30</v>
      </c>
      <c r="J21" s="17"/>
      <c r="K21" s="17"/>
      <c r="L21" s="25" t="s">
        <v>38</v>
      </c>
      <c r="M21" s="17"/>
      <c r="N21" s="43"/>
      <c r="O21" s="43"/>
      <c r="P21" s="43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24">
        <f t="shared" ref="G22:H22" si="1">SUM(G4:G21)</f>
        <v>200000</v>
      </c>
      <c r="H22" s="78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 t="s">
        <v>0</v>
      </c>
      <c r="C25" s="72" t="s">
        <v>6</v>
      </c>
      <c r="D25" s="72" t="s">
        <v>115</v>
      </c>
      <c r="E25" s="1"/>
      <c r="F25" s="1"/>
      <c r="G25" s="1"/>
      <c r="H25" s="1"/>
      <c r="I25" s="1"/>
      <c r="J25" s="1"/>
      <c r="K25" s="1"/>
      <c r="L25" s="1"/>
      <c r="M25" s="1"/>
      <c r="N25" s="72" t="s">
        <v>117</v>
      </c>
      <c r="O25" s="72" t="s">
        <v>1</v>
      </c>
      <c r="P25" s="1"/>
      <c r="Q25" s="1"/>
      <c r="R25" s="1"/>
    </row>
    <row r="26" ht="15.75" customHeight="1">
      <c r="A26" s="1"/>
      <c r="B26" s="73">
        <v>1.0</v>
      </c>
      <c r="C26" s="74" t="s">
        <v>119</v>
      </c>
      <c r="D26" s="76">
        <f>SUM(G22)</f>
        <v>200000</v>
      </c>
      <c r="E26" s="77"/>
      <c r="F26" s="1"/>
      <c r="G26" s="1"/>
      <c r="H26" s="1"/>
      <c r="I26" s="1"/>
      <c r="J26" s="1"/>
      <c r="K26" s="1"/>
      <c r="L26" s="1"/>
      <c r="M26" s="1"/>
      <c r="N26" s="79" t="s">
        <v>123</v>
      </c>
      <c r="O26" s="81" t="s">
        <v>28</v>
      </c>
      <c r="P26" s="1"/>
      <c r="Q26" s="1"/>
      <c r="R26" s="1"/>
    </row>
    <row r="27" ht="15.75" customHeight="1">
      <c r="A27" s="1"/>
      <c r="B27" s="82">
        <v>2.0</v>
      </c>
      <c r="C27" s="83" t="s">
        <v>301</v>
      </c>
      <c r="D27" s="84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85" t="s">
        <v>129</v>
      </c>
      <c r="O27" s="86" t="s">
        <v>38</v>
      </c>
      <c r="P27" s="1"/>
      <c r="Q27" s="1"/>
      <c r="R27" s="1"/>
    </row>
    <row r="28" ht="15.75" customHeight="1">
      <c r="A28" s="1"/>
      <c r="B28" s="73">
        <v>3.0</v>
      </c>
      <c r="C28" s="171" t="s">
        <v>302</v>
      </c>
      <c r="D28" s="172">
        <v>-46000.0</v>
      </c>
      <c r="E28" s="77"/>
      <c r="F28" s="1"/>
      <c r="G28" s="1"/>
      <c r="H28" s="1"/>
      <c r="I28" s="1"/>
      <c r="J28" s="1"/>
      <c r="K28" s="1"/>
      <c r="L28" s="1"/>
      <c r="M28" s="1"/>
      <c r="N28" s="89" t="s">
        <v>134</v>
      </c>
      <c r="O28" s="90" t="s">
        <v>43</v>
      </c>
      <c r="P28" s="1"/>
      <c r="Q28" s="1"/>
      <c r="R28" s="1"/>
    </row>
    <row r="29" ht="15.75" customHeight="1">
      <c r="A29" s="1"/>
      <c r="B29" s="82">
        <v>4.0</v>
      </c>
      <c r="C29" s="98"/>
      <c r="D29" s="99"/>
      <c r="E29" s="77"/>
      <c r="F29" s="1"/>
      <c r="G29" s="1"/>
      <c r="H29" s="1"/>
      <c r="I29" s="1"/>
      <c r="J29" s="1"/>
      <c r="K29" s="1"/>
      <c r="L29" s="1"/>
      <c r="M29" s="1"/>
      <c r="N29" s="93" t="s">
        <v>137</v>
      </c>
      <c r="O29" s="86" t="s">
        <v>43</v>
      </c>
      <c r="P29" s="1"/>
      <c r="Q29" s="1"/>
      <c r="R29" s="1"/>
    </row>
    <row r="30" ht="15.75" customHeight="1">
      <c r="A30" s="1"/>
      <c r="B30" s="73">
        <v>5.0</v>
      </c>
      <c r="C30" s="74"/>
      <c r="D30" s="76"/>
      <c r="E30" s="77"/>
      <c r="F30" s="1"/>
      <c r="G30" s="1"/>
      <c r="H30" s="1"/>
      <c r="I30" s="1"/>
      <c r="J30" s="1"/>
      <c r="K30" s="1"/>
      <c r="L30" s="1"/>
      <c r="M30" s="1"/>
      <c r="N30" s="95"/>
      <c r="O30" s="1"/>
      <c r="P30" s="1"/>
      <c r="Q30" s="1"/>
      <c r="R30" s="1"/>
    </row>
    <row r="31" ht="15.75" customHeight="1">
      <c r="A31" s="1"/>
      <c r="B31" s="82">
        <v>6.0</v>
      </c>
      <c r="C31" s="98"/>
      <c r="D31" s="99"/>
      <c r="E31" s="77"/>
      <c r="F31" s="1"/>
      <c r="G31" s="1"/>
      <c r="H31" s="1"/>
      <c r="I31" s="1"/>
      <c r="J31" s="1"/>
      <c r="K31" s="100" t="s">
        <v>142</v>
      </c>
      <c r="Q31" s="1"/>
      <c r="R31" s="1"/>
    </row>
    <row r="32" ht="15.75" customHeight="1">
      <c r="A32" s="1"/>
      <c r="B32" s="73">
        <v>7.0</v>
      </c>
      <c r="C32" s="74"/>
      <c r="D32" s="76"/>
      <c r="E32" s="77"/>
      <c r="F32" s="1"/>
      <c r="G32" s="1"/>
      <c r="H32" s="1"/>
      <c r="I32" s="1"/>
      <c r="J32" s="1"/>
      <c r="K32" s="101" t="s">
        <v>1</v>
      </c>
      <c r="L32" s="101" t="s">
        <v>145</v>
      </c>
      <c r="M32" s="101" t="s">
        <v>146</v>
      </c>
      <c r="N32" s="101" t="s">
        <v>147</v>
      </c>
      <c r="O32" s="101" t="s">
        <v>148</v>
      </c>
      <c r="P32" s="101" t="s">
        <v>149</v>
      </c>
      <c r="Q32" s="1"/>
      <c r="R32" s="1"/>
      <c r="AC32" s="102" t="s">
        <v>150</v>
      </c>
      <c r="AD32" s="102" t="s">
        <v>151</v>
      </c>
      <c r="AE32" s="102" t="s">
        <v>153</v>
      </c>
      <c r="AF32" s="102" t="s">
        <v>155</v>
      </c>
      <c r="AG32" s="102" t="s">
        <v>156</v>
      </c>
    </row>
    <row r="33" ht="15.75" customHeight="1">
      <c r="A33" s="1"/>
      <c r="B33" s="82">
        <v>8.0</v>
      </c>
      <c r="C33" s="98"/>
      <c r="D33" s="99"/>
      <c r="E33" s="77"/>
      <c r="F33" s="1"/>
      <c r="G33" s="1"/>
      <c r="H33" s="1"/>
      <c r="I33" s="1"/>
      <c r="J33" s="1"/>
      <c r="K33" s="105" t="str">
        <f t="shared" ref="K33:K36" si="2">IF(O26="","",O26)</f>
        <v>AMEL</v>
      </c>
      <c r="L33" s="106">
        <v>4.0</v>
      </c>
      <c r="M33" s="106">
        <v>5.0</v>
      </c>
      <c r="N33" s="106">
        <v>4.0</v>
      </c>
      <c r="O33" s="106">
        <v>5.0</v>
      </c>
      <c r="P33" s="106">
        <v>4.0</v>
      </c>
      <c r="Q33" s="1"/>
      <c r="R33" s="1"/>
      <c r="AC33" s="102">
        <f t="shared" ref="AC33:AC38" si="3">IF(AG33="","",IF(COUNT(L33:P33)&lt;5,"",L33/5*20+M33/5*25+N33/5*25+O33/5*15+P33/5*15))</f>
        <v>88</v>
      </c>
      <c r="AD33" s="102" t="str">
        <f t="shared" ref="AD33:AD38" si="4">IF(AC33="","",IF(AC33&gt;=90,"Sangat Baik",IF(AC33&gt;=80,"Baik",IF(AC33&gt;=70,"Coaching","Underperform"))))</f>
        <v>Baik</v>
      </c>
      <c r="AE33" s="102" t="str">
        <f t="shared" ref="AE33:AE38" si="5">IF(AG33="","",IF(OR(AG33="INDAH",AG33="ADDEL",AG33="AMEL",AG33="PENTIL",AG33="JIJANG"),"Admin/CS","Fotografer"))</f>
        <v>Admin/CS</v>
      </c>
      <c r="AF33" s="102">
        <f t="shared" ref="AF33:AF38" si="6">IF(OR(AG33="",COUNT(L33:P33)&lt;5),"",1)</f>
        <v>1</v>
      </c>
      <c r="AG33" s="102" t="str">
        <f t="shared" ref="AG33:AG38" si="7">IFERROR(K33,"")</f>
        <v>AMEL</v>
      </c>
    </row>
    <row r="34" ht="15.75" customHeight="1">
      <c r="A34" s="1"/>
      <c r="B34" s="73">
        <v>9.0</v>
      </c>
      <c r="C34" s="74"/>
      <c r="D34" s="76"/>
      <c r="E34" s="77"/>
      <c r="F34" s="1"/>
      <c r="G34" s="1"/>
      <c r="H34" s="1"/>
      <c r="I34" s="1"/>
      <c r="J34" s="1"/>
      <c r="K34" s="105" t="str">
        <f t="shared" si="2"/>
        <v>INDAH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2">
        <f t="shared" si="3"/>
        <v>100</v>
      </c>
      <c r="AD34" s="102" t="str">
        <f t="shared" si="4"/>
        <v>Sangat Baik</v>
      </c>
      <c r="AE34" s="102" t="str">
        <f t="shared" si="5"/>
        <v>Admin/CS</v>
      </c>
      <c r="AF34" s="102">
        <f t="shared" si="6"/>
        <v>1</v>
      </c>
      <c r="AG34" s="102" t="str">
        <f t="shared" si="7"/>
        <v>INDAH</v>
      </c>
    </row>
    <row r="35" ht="15.75" customHeight="1">
      <c r="A35" s="1"/>
      <c r="B35" s="82">
        <v>10.0</v>
      </c>
      <c r="C35" s="98"/>
      <c r="D35" s="99"/>
      <c r="E35" s="77"/>
      <c r="F35" s="1"/>
      <c r="G35" s="1"/>
      <c r="H35" s="1"/>
      <c r="I35" s="1"/>
      <c r="J35" s="1"/>
      <c r="K35" s="105" t="str">
        <f t="shared" si="2"/>
        <v>ADIF</v>
      </c>
      <c r="L35" s="106">
        <v>5.0</v>
      </c>
      <c r="M35" s="106">
        <v>5.0</v>
      </c>
      <c r="N35" s="106">
        <v>5.0</v>
      </c>
      <c r="O35" s="106">
        <v>5.0</v>
      </c>
      <c r="P35" s="106">
        <v>5.0</v>
      </c>
      <c r="Q35" s="1"/>
      <c r="R35" s="1"/>
      <c r="AC35" s="102">
        <f t="shared" si="3"/>
        <v>100</v>
      </c>
      <c r="AD35" s="102" t="str">
        <f t="shared" si="4"/>
        <v>Sangat Baik</v>
      </c>
      <c r="AE35" s="102" t="str">
        <f t="shared" si="5"/>
        <v>Fotografer</v>
      </c>
      <c r="AF35" s="102">
        <f t="shared" si="6"/>
        <v>1</v>
      </c>
      <c r="AG35" s="102" t="str">
        <f t="shared" si="7"/>
        <v>ADIF</v>
      </c>
    </row>
    <row r="36" ht="15.75" customHeight="1">
      <c r="A36" s="1"/>
      <c r="B36" s="112">
        <v>11.0</v>
      </c>
      <c r="C36" s="114"/>
      <c r="D36" s="115"/>
      <c r="E36" s="77"/>
      <c r="F36" s="1"/>
      <c r="G36" s="1"/>
      <c r="H36" s="1"/>
      <c r="I36" s="1"/>
      <c r="J36" s="1"/>
      <c r="K36" s="105" t="str">
        <f t="shared" si="2"/>
        <v>ADIF</v>
      </c>
      <c r="L36" s="106">
        <v>5.0</v>
      </c>
      <c r="M36" s="106">
        <v>5.0</v>
      </c>
      <c r="N36" s="106">
        <v>5.0</v>
      </c>
      <c r="O36" s="106">
        <v>5.0</v>
      </c>
      <c r="P36" s="106">
        <v>5.0</v>
      </c>
      <c r="Q36" s="1"/>
      <c r="R36" s="1"/>
      <c r="AC36" s="102">
        <f t="shared" si="3"/>
        <v>100</v>
      </c>
      <c r="AD36" s="102" t="str">
        <f t="shared" si="4"/>
        <v>Sangat Baik</v>
      </c>
      <c r="AE36" s="102" t="str">
        <f t="shared" si="5"/>
        <v>Fotografer</v>
      </c>
      <c r="AF36" s="102">
        <f t="shared" si="6"/>
        <v>1</v>
      </c>
      <c r="AG36" s="102" t="str">
        <f t="shared" si="7"/>
        <v>ADIF</v>
      </c>
    </row>
    <row r="37" ht="15.75" customHeight="1">
      <c r="A37" s="1"/>
      <c r="B37" s="1"/>
      <c r="C37" s="2"/>
      <c r="D37" s="116">
        <f>SUM(D26:D36)</f>
        <v>104000</v>
      </c>
      <c r="E37" s="1"/>
      <c r="F37" s="1"/>
      <c r="G37" s="1"/>
      <c r="H37" s="1"/>
      <c r="I37" s="1"/>
      <c r="J37" s="1"/>
      <c r="K37" s="105"/>
      <c r="L37" s="117"/>
      <c r="M37" s="117"/>
      <c r="N37" s="117"/>
      <c r="O37" s="117"/>
      <c r="P37" s="117"/>
      <c r="Q37" s="1"/>
      <c r="R37" s="1"/>
      <c r="AC37" s="102" t="str">
        <f t="shared" si="3"/>
        <v/>
      </c>
      <c r="AD37" s="102" t="str">
        <f t="shared" si="4"/>
        <v/>
      </c>
      <c r="AE37" s="102" t="str">
        <f t="shared" si="5"/>
        <v/>
      </c>
      <c r="AF37" s="102" t="str">
        <f t="shared" si="6"/>
        <v/>
      </c>
      <c r="AG37" s="10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5"/>
      <c r="L38" s="117"/>
      <c r="M38" s="117"/>
      <c r="N38" s="117"/>
      <c r="O38" s="117"/>
      <c r="P38" s="117"/>
      <c r="Q38" s="1"/>
      <c r="R38" s="1"/>
      <c r="AC38" s="102" t="str">
        <f t="shared" si="3"/>
        <v/>
      </c>
      <c r="AD38" s="102" t="str">
        <f t="shared" si="4"/>
        <v/>
      </c>
      <c r="AE38" s="102" t="str">
        <f t="shared" si="5"/>
        <v/>
      </c>
      <c r="AF38" s="102" t="str">
        <f t="shared" si="6"/>
        <v/>
      </c>
      <c r="AG38" s="10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9" t="s">
        <v>199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2" t="s">
        <v>7</v>
      </c>
      <c r="L42" s="122" t="s">
        <v>201</v>
      </c>
      <c r="M42" s="122" t="s">
        <v>202</v>
      </c>
    </row>
    <row r="43" ht="15.75" customHeight="1">
      <c r="K43" s="125" t="str">
        <f t="shared" ref="K43:K44" si="8">IF(O26="","",O26)</f>
        <v>AMEL</v>
      </c>
      <c r="L43" s="126">
        <v>7.0</v>
      </c>
      <c r="M43" s="128"/>
    </row>
    <row r="44" ht="15.75" customHeight="1">
      <c r="K44" s="125" t="str">
        <f t="shared" si="8"/>
        <v>INDAH</v>
      </c>
      <c r="L44" s="126">
        <v>7.0</v>
      </c>
      <c r="M44" s="128"/>
    </row>
    <row r="45" ht="15.75" customHeight="1"/>
    <row r="46" ht="19.5" customHeight="1">
      <c r="K46" s="130" t="s">
        <v>205</v>
      </c>
    </row>
    <row r="47" ht="19.5" customHeight="1">
      <c r="K47" s="131" t="s">
        <v>206</v>
      </c>
      <c r="M47" s="126">
        <v>38.0</v>
      </c>
    </row>
    <row r="48" ht="19.5" customHeight="1">
      <c r="K48" s="137" t="s">
        <v>209</v>
      </c>
      <c r="M48" s="139">
        <f>COUNTIF($I$4:$I$24,"DP")</f>
        <v>8</v>
      </c>
    </row>
    <row r="49" ht="19.5" customHeight="1">
      <c r="K49" s="137" t="s">
        <v>210</v>
      </c>
      <c r="M49" s="139">
        <f>COUNTIFS($I$4:$I$24,"&lt;&gt;DP",$I$4:$I$24,"&lt;&gt;")</f>
        <v>10</v>
      </c>
    </row>
    <row r="50" ht="19.5" customHeight="1">
      <c r="K50" s="140" t="s">
        <v>211</v>
      </c>
      <c r="M50" s="139">
        <f>M48+M49</f>
        <v>18</v>
      </c>
    </row>
    <row r="51" ht="19.5" customHeight="1">
      <c r="K51" s="131" t="s">
        <v>212</v>
      </c>
      <c r="M51" s="143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8" t="s">
        <v>303</v>
      </c>
      <c r="D4" s="22" t="s">
        <v>23</v>
      </c>
      <c r="E4" s="24"/>
      <c r="F4" s="54">
        <v>46306.0</v>
      </c>
      <c r="G4" s="29"/>
      <c r="H4" s="30">
        <v>100000.0</v>
      </c>
      <c r="I4" s="25" t="s">
        <v>27</v>
      </c>
      <c r="J4" s="17"/>
      <c r="K4" s="17"/>
      <c r="L4" s="25" t="s">
        <v>38</v>
      </c>
      <c r="M4" s="17"/>
      <c r="N4" s="33"/>
      <c r="O4" s="33"/>
      <c r="P4" s="35"/>
      <c r="Q4" s="1"/>
      <c r="R4" s="1"/>
    </row>
    <row r="5" ht="15.75" customHeight="1">
      <c r="A5" s="1"/>
      <c r="B5" s="16">
        <v>2.0</v>
      </c>
      <c r="C5" s="18" t="s">
        <v>304</v>
      </c>
      <c r="D5" s="22" t="s">
        <v>39</v>
      </c>
      <c r="E5" s="24"/>
      <c r="F5" s="54">
        <v>46305.0</v>
      </c>
      <c r="G5" s="29"/>
      <c r="H5" s="30">
        <v>100000.0</v>
      </c>
      <c r="I5" s="25" t="s">
        <v>27</v>
      </c>
      <c r="J5" s="17"/>
      <c r="K5" s="17"/>
      <c r="L5" s="25" t="s">
        <v>38</v>
      </c>
      <c r="M5" s="17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8" t="s">
        <v>305</v>
      </c>
      <c r="D6" s="22" t="s">
        <v>306</v>
      </c>
      <c r="E6" s="24"/>
      <c r="F6" s="54">
        <v>46305.0</v>
      </c>
      <c r="G6" s="39"/>
      <c r="H6" s="30">
        <v>50000.0</v>
      </c>
      <c r="I6" s="25" t="s">
        <v>30</v>
      </c>
      <c r="J6" s="25" t="s">
        <v>33</v>
      </c>
      <c r="K6" s="25" t="s">
        <v>36</v>
      </c>
      <c r="L6" s="25" t="s">
        <v>38</v>
      </c>
      <c r="M6" s="25" t="s">
        <v>43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18" t="s">
        <v>307</v>
      </c>
      <c r="D7" s="22" t="s">
        <v>82</v>
      </c>
      <c r="E7" s="24"/>
      <c r="F7" s="54">
        <v>46305.0</v>
      </c>
      <c r="G7" s="55">
        <v>0.0</v>
      </c>
      <c r="H7" s="30">
        <v>0.0</v>
      </c>
      <c r="I7" s="25" t="s">
        <v>30</v>
      </c>
      <c r="J7" s="25" t="s">
        <v>33</v>
      </c>
      <c r="K7" s="25" t="s">
        <v>33</v>
      </c>
      <c r="L7" s="25" t="s">
        <v>38</v>
      </c>
      <c r="M7" s="25" t="s">
        <v>43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18" t="s">
        <v>308</v>
      </c>
      <c r="D8" s="22" t="s">
        <v>230</v>
      </c>
      <c r="E8" s="164" t="s">
        <v>309</v>
      </c>
      <c r="F8" s="54">
        <v>46305.0</v>
      </c>
      <c r="G8" s="29"/>
      <c r="H8" s="30">
        <v>490000.0</v>
      </c>
      <c r="I8" s="25" t="s">
        <v>30</v>
      </c>
      <c r="J8" s="25" t="s">
        <v>33</v>
      </c>
      <c r="K8" s="25" t="s">
        <v>36</v>
      </c>
      <c r="L8" s="25" t="s">
        <v>38</v>
      </c>
      <c r="M8" s="25" t="s">
        <v>43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8" t="s">
        <v>310</v>
      </c>
      <c r="D9" s="22" t="s">
        <v>82</v>
      </c>
      <c r="E9" s="24"/>
      <c r="F9" s="54">
        <v>46305.0</v>
      </c>
      <c r="G9" s="29"/>
      <c r="H9" s="30">
        <v>100000.0</v>
      </c>
      <c r="I9" s="25" t="s">
        <v>27</v>
      </c>
      <c r="J9" s="17"/>
      <c r="K9" s="17"/>
      <c r="L9" s="25" t="s">
        <v>38</v>
      </c>
      <c r="M9" s="17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8" t="s">
        <v>297</v>
      </c>
      <c r="D10" s="22" t="s">
        <v>189</v>
      </c>
      <c r="E10" s="24"/>
      <c r="F10" s="54">
        <v>46305.0</v>
      </c>
      <c r="G10" s="51">
        <v>100000.0</v>
      </c>
      <c r="H10" s="107"/>
      <c r="I10" s="25" t="s">
        <v>30</v>
      </c>
      <c r="J10" s="25" t="s">
        <v>33</v>
      </c>
      <c r="K10" s="25" t="s">
        <v>36</v>
      </c>
      <c r="L10" s="25" t="s">
        <v>38</v>
      </c>
      <c r="M10" s="25" t="s">
        <v>43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8" t="s">
        <v>304</v>
      </c>
      <c r="D11" s="22" t="s">
        <v>39</v>
      </c>
      <c r="E11" s="164"/>
      <c r="F11" s="54">
        <v>46305.0</v>
      </c>
      <c r="G11" s="51">
        <v>100000.0</v>
      </c>
      <c r="H11" s="107"/>
      <c r="I11" s="25" t="s">
        <v>30</v>
      </c>
      <c r="J11" s="25" t="s">
        <v>33</v>
      </c>
      <c r="K11" s="25" t="s">
        <v>33</v>
      </c>
      <c r="L11" s="25" t="s">
        <v>38</v>
      </c>
      <c r="M11" s="25" t="s">
        <v>43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8" t="s">
        <v>311</v>
      </c>
      <c r="D12" s="22" t="s">
        <v>34</v>
      </c>
      <c r="E12" s="24"/>
      <c r="F12" s="54">
        <v>46305.0</v>
      </c>
      <c r="G12" s="39"/>
      <c r="H12" s="40">
        <v>100000.0</v>
      </c>
      <c r="I12" s="25" t="s">
        <v>27</v>
      </c>
      <c r="J12" s="17"/>
      <c r="K12" s="17"/>
      <c r="L12" s="25" t="s">
        <v>38</v>
      </c>
      <c r="M12" s="17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8" t="s">
        <v>312</v>
      </c>
      <c r="D13" s="22" t="s">
        <v>34</v>
      </c>
      <c r="E13" s="24"/>
      <c r="F13" s="54">
        <v>46305.0</v>
      </c>
      <c r="G13" s="39"/>
      <c r="H13" s="40">
        <v>75000.0</v>
      </c>
      <c r="I13" s="25" t="s">
        <v>30</v>
      </c>
      <c r="J13" s="25" t="s">
        <v>33</v>
      </c>
      <c r="K13" s="25" t="s">
        <v>33</v>
      </c>
      <c r="L13" s="25" t="s">
        <v>38</v>
      </c>
      <c r="M13" s="25" t="s">
        <v>60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8" t="s">
        <v>313</v>
      </c>
      <c r="D14" s="22" t="s">
        <v>34</v>
      </c>
      <c r="E14" s="24"/>
      <c r="F14" s="54">
        <v>46305.0</v>
      </c>
      <c r="G14" s="174"/>
      <c r="H14" s="40">
        <v>150000.0</v>
      </c>
      <c r="I14" s="25" t="s">
        <v>30</v>
      </c>
      <c r="J14" s="25" t="s">
        <v>33</v>
      </c>
      <c r="K14" s="25" t="s">
        <v>33</v>
      </c>
      <c r="L14" s="25" t="s">
        <v>38</v>
      </c>
      <c r="M14" s="25" t="s">
        <v>60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8" t="s">
        <v>314</v>
      </c>
      <c r="D15" s="22" t="s">
        <v>39</v>
      </c>
      <c r="E15" s="24"/>
      <c r="F15" s="54">
        <v>46305.0</v>
      </c>
      <c r="G15" s="39"/>
      <c r="H15" s="40">
        <v>100000.0</v>
      </c>
      <c r="I15" s="25" t="s">
        <v>30</v>
      </c>
      <c r="J15" s="25" t="s">
        <v>33</v>
      </c>
      <c r="K15" s="25" t="s">
        <v>33</v>
      </c>
      <c r="L15" s="25" t="s">
        <v>38</v>
      </c>
      <c r="M15" s="25" t="s">
        <v>60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18" t="s">
        <v>283</v>
      </c>
      <c r="D16" s="22" t="s">
        <v>82</v>
      </c>
      <c r="E16" s="24"/>
      <c r="F16" s="54">
        <v>46305.0</v>
      </c>
      <c r="G16" s="51">
        <v>50000.0</v>
      </c>
      <c r="H16" s="107"/>
      <c r="I16" s="25" t="s">
        <v>30</v>
      </c>
      <c r="J16" s="25" t="s">
        <v>33</v>
      </c>
      <c r="K16" s="25" t="s">
        <v>36</v>
      </c>
      <c r="L16" s="25" t="s">
        <v>38</v>
      </c>
      <c r="M16" s="25" t="s">
        <v>60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18" t="s">
        <v>315</v>
      </c>
      <c r="D17" s="22" t="s">
        <v>23</v>
      </c>
      <c r="E17" s="24"/>
      <c r="F17" s="54">
        <v>46317.0</v>
      </c>
      <c r="G17" s="39"/>
      <c r="H17" s="40">
        <v>100000.0</v>
      </c>
      <c r="I17" s="25" t="s">
        <v>27</v>
      </c>
      <c r="J17" s="17"/>
      <c r="K17" s="17"/>
      <c r="L17" s="25" t="s">
        <v>38</v>
      </c>
      <c r="M17" s="17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8" t="s">
        <v>316</v>
      </c>
      <c r="D18" s="22" t="s">
        <v>34</v>
      </c>
      <c r="E18" s="24"/>
      <c r="F18" s="54">
        <v>46306.0</v>
      </c>
      <c r="G18" s="29"/>
      <c r="H18" s="30">
        <v>100000.0</v>
      </c>
      <c r="I18" s="25" t="s">
        <v>27</v>
      </c>
      <c r="J18" s="17"/>
      <c r="K18" s="17"/>
      <c r="L18" s="25" t="s">
        <v>38</v>
      </c>
      <c r="M18" s="17"/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18" t="s">
        <v>310</v>
      </c>
      <c r="D19" s="22" t="s">
        <v>82</v>
      </c>
      <c r="E19" s="24"/>
      <c r="F19" s="54">
        <v>46305.0</v>
      </c>
      <c r="G19" s="29"/>
      <c r="H19" s="30">
        <v>50000.0</v>
      </c>
      <c r="I19" s="25" t="s">
        <v>30</v>
      </c>
      <c r="J19" s="25" t="s">
        <v>33</v>
      </c>
      <c r="K19" s="25" t="s">
        <v>36</v>
      </c>
      <c r="L19" s="25" t="s">
        <v>38</v>
      </c>
      <c r="M19" s="25" t="s">
        <v>60</v>
      </c>
      <c r="N19" s="43"/>
      <c r="O19" s="43"/>
      <c r="P19" s="43"/>
      <c r="Q19" s="1"/>
      <c r="R19" s="1"/>
    </row>
    <row r="20" ht="15.75" customHeight="1">
      <c r="A20" s="1"/>
      <c r="B20" s="16">
        <v>17.0</v>
      </c>
      <c r="C20" s="18" t="s">
        <v>311</v>
      </c>
      <c r="D20" s="22" t="s">
        <v>34</v>
      </c>
      <c r="E20" s="24"/>
      <c r="F20" s="54">
        <v>46305.0</v>
      </c>
      <c r="G20" s="29"/>
      <c r="H20" s="30">
        <v>500000.0</v>
      </c>
      <c r="I20" s="25" t="s">
        <v>30</v>
      </c>
      <c r="J20" s="25" t="s">
        <v>33</v>
      </c>
      <c r="K20" s="25" t="s">
        <v>33</v>
      </c>
      <c r="L20" s="25" t="s">
        <v>38</v>
      </c>
      <c r="M20" s="25" t="s">
        <v>60</v>
      </c>
      <c r="N20" s="43"/>
      <c r="O20" s="43"/>
      <c r="P20" s="43"/>
      <c r="Q20" s="1"/>
      <c r="R20" s="1"/>
    </row>
    <row r="21" ht="15.75" customHeight="1">
      <c r="A21" s="1"/>
      <c r="B21" s="16">
        <v>18.0</v>
      </c>
      <c r="C21" s="68"/>
      <c r="D21" s="69"/>
      <c r="E21" s="24"/>
      <c r="F21" s="70"/>
      <c r="G21" s="29"/>
      <c r="H21" s="42"/>
      <c r="I21" s="17"/>
      <c r="J21" s="17"/>
      <c r="K21" s="17"/>
      <c r="L21" s="17"/>
      <c r="M21" s="17"/>
      <c r="N21" s="43"/>
      <c r="O21" s="43"/>
      <c r="P21" s="43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24">
        <f t="shared" ref="G22:H22" si="1">SUM(G4:G21)</f>
        <v>250000</v>
      </c>
      <c r="H22" s="78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 t="s">
        <v>0</v>
      </c>
      <c r="C25" s="72" t="s">
        <v>6</v>
      </c>
      <c r="D25" s="72" t="s">
        <v>115</v>
      </c>
      <c r="E25" s="1"/>
      <c r="F25" s="1"/>
      <c r="G25" s="1"/>
      <c r="H25" s="1"/>
      <c r="I25" s="1"/>
      <c r="J25" s="1"/>
      <c r="K25" s="1"/>
      <c r="L25" s="1"/>
      <c r="M25" s="1"/>
      <c r="N25" s="72" t="s">
        <v>117</v>
      </c>
      <c r="O25" s="72" t="s">
        <v>1</v>
      </c>
      <c r="P25" s="1"/>
      <c r="Q25" s="1"/>
      <c r="R25" s="1"/>
    </row>
    <row r="26" ht="15.75" customHeight="1">
      <c r="A26" s="1"/>
      <c r="B26" s="73">
        <v>1.0</v>
      </c>
      <c r="C26" s="74" t="s">
        <v>119</v>
      </c>
      <c r="D26" s="76">
        <f>SUM(G22)</f>
        <v>250000</v>
      </c>
      <c r="E26" s="77"/>
      <c r="F26" s="1"/>
      <c r="G26" s="1"/>
      <c r="H26" s="1"/>
      <c r="I26" s="1"/>
      <c r="J26" s="1"/>
      <c r="K26" s="1"/>
      <c r="L26" s="1"/>
      <c r="M26" s="1"/>
      <c r="N26" s="79" t="s">
        <v>123</v>
      </c>
      <c r="O26" s="81" t="s">
        <v>38</v>
      </c>
      <c r="P26" s="1"/>
      <c r="Q26" s="1"/>
      <c r="R26" s="1"/>
    </row>
    <row r="27" ht="15.75" customHeight="1">
      <c r="A27" s="1"/>
      <c r="B27" s="82">
        <v>2.0</v>
      </c>
      <c r="C27" s="91"/>
      <c r="D27" s="92"/>
      <c r="E27" s="77"/>
      <c r="F27" s="1"/>
      <c r="G27" s="1"/>
      <c r="H27" s="1"/>
      <c r="I27" s="1"/>
      <c r="J27" s="1"/>
      <c r="K27" s="1"/>
      <c r="L27" s="1"/>
      <c r="M27" s="1"/>
      <c r="N27" s="85" t="s">
        <v>129</v>
      </c>
      <c r="O27" s="86" t="s">
        <v>38</v>
      </c>
      <c r="P27" s="1"/>
      <c r="Q27" s="1"/>
      <c r="R27" s="1"/>
    </row>
    <row r="28" ht="15.75" customHeight="1">
      <c r="A28" s="1"/>
      <c r="B28" s="73">
        <v>3.0</v>
      </c>
      <c r="C28" s="87"/>
      <c r="D28" s="88"/>
      <c r="E28" s="77"/>
      <c r="F28" s="1"/>
      <c r="G28" s="1"/>
      <c r="H28" s="1"/>
      <c r="I28" s="1"/>
      <c r="J28" s="1"/>
      <c r="K28" s="1"/>
      <c r="L28" s="1"/>
      <c r="M28" s="1"/>
      <c r="N28" s="89" t="s">
        <v>134</v>
      </c>
      <c r="O28" s="90" t="s">
        <v>43</v>
      </c>
      <c r="P28" s="1"/>
      <c r="Q28" s="1"/>
      <c r="R28" s="1"/>
    </row>
    <row r="29" ht="15.75" customHeight="1">
      <c r="A29" s="1"/>
      <c r="B29" s="82">
        <v>4.0</v>
      </c>
      <c r="C29" s="91"/>
      <c r="D29" s="92"/>
      <c r="E29" s="77"/>
      <c r="F29" s="1"/>
      <c r="G29" s="1"/>
      <c r="H29" s="1"/>
      <c r="I29" s="1"/>
      <c r="J29" s="1"/>
      <c r="K29" s="1"/>
      <c r="L29" s="1"/>
      <c r="M29" s="1"/>
      <c r="N29" s="93" t="s">
        <v>137</v>
      </c>
      <c r="O29" s="86" t="s">
        <v>60</v>
      </c>
      <c r="P29" s="1"/>
      <c r="Q29" s="1"/>
      <c r="R29" s="1"/>
    </row>
    <row r="30" ht="15.75" customHeight="1">
      <c r="A30" s="1"/>
      <c r="B30" s="73">
        <v>5.0</v>
      </c>
      <c r="C30" s="87"/>
      <c r="D30" s="88"/>
      <c r="E30" s="77"/>
      <c r="F30" s="1"/>
      <c r="G30" s="1"/>
      <c r="H30" s="1"/>
      <c r="I30" s="1"/>
      <c r="J30" s="1"/>
      <c r="K30" s="1"/>
      <c r="L30" s="1"/>
      <c r="M30" s="1"/>
      <c r="N30" s="95"/>
      <c r="O30" s="1"/>
      <c r="P30" s="1"/>
      <c r="Q30" s="1"/>
      <c r="R30" s="1"/>
    </row>
    <row r="31" ht="15.75" customHeight="1">
      <c r="A31" s="1"/>
      <c r="B31" s="82">
        <v>6.0</v>
      </c>
      <c r="C31" s="98"/>
      <c r="D31" s="99"/>
      <c r="E31" s="77"/>
      <c r="F31" s="1"/>
      <c r="G31" s="1"/>
      <c r="H31" s="1"/>
      <c r="I31" s="1"/>
      <c r="J31" s="1"/>
      <c r="K31" s="100" t="s">
        <v>142</v>
      </c>
      <c r="Q31" s="1"/>
      <c r="R31" s="1"/>
    </row>
    <row r="32" ht="15.75" customHeight="1">
      <c r="A32" s="1"/>
      <c r="B32" s="73">
        <v>7.0</v>
      </c>
      <c r="C32" s="74"/>
      <c r="D32" s="76"/>
      <c r="E32" s="77"/>
      <c r="F32" s="1"/>
      <c r="G32" s="1"/>
      <c r="H32" s="1"/>
      <c r="I32" s="1"/>
      <c r="J32" s="1"/>
      <c r="K32" s="101" t="s">
        <v>1</v>
      </c>
      <c r="L32" s="101" t="s">
        <v>145</v>
      </c>
      <c r="M32" s="101" t="s">
        <v>146</v>
      </c>
      <c r="N32" s="101" t="s">
        <v>147</v>
      </c>
      <c r="O32" s="101" t="s">
        <v>148</v>
      </c>
      <c r="P32" s="101" t="s">
        <v>149</v>
      </c>
      <c r="Q32" s="1"/>
      <c r="R32" s="1"/>
      <c r="AC32" s="102" t="s">
        <v>150</v>
      </c>
      <c r="AD32" s="102" t="s">
        <v>151</v>
      </c>
      <c r="AE32" s="102" t="s">
        <v>153</v>
      </c>
      <c r="AF32" s="102" t="s">
        <v>155</v>
      </c>
      <c r="AG32" s="102" t="s">
        <v>156</v>
      </c>
    </row>
    <row r="33" ht="15.75" customHeight="1">
      <c r="A33" s="1"/>
      <c r="B33" s="82">
        <v>8.0</v>
      </c>
      <c r="C33" s="98"/>
      <c r="D33" s="99"/>
      <c r="E33" s="77"/>
      <c r="F33" s="1"/>
      <c r="G33" s="1"/>
      <c r="H33" s="1"/>
      <c r="I33" s="1"/>
      <c r="J33" s="1"/>
      <c r="K33" s="105" t="str">
        <f t="shared" ref="K33:K36" si="2">IF(O26="","",O26)</f>
        <v>INDAH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2">
        <f t="shared" ref="AC33:AC38" si="3">IF(AG33="","",IF(COUNT(L33:P33)&lt;5,"",L33/5*20+M33/5*25+N33/5*25+O33/5*15+P33/5*15))</f>
        <v>100</v>
      </c>
      <c r="AD33" s="102" t="str">
        <f t="shared" ref="AD33:AD38" si="4">IF(AC33="","",IF(AC33&gt;=90,"Sangat Baik",IF(AC33&gt;=80,"Baik",IF(AC33&gt;=70,"Coaching","Underperform"))))</f>
        <v>Sangat Baik</v>
      </c>
      <c r="AE33" s="102" t="str">
        <f t="shared" ref="AE33:AE38" si="5">IF(AG33="","",IF(OR(AG33="INDAH",AG33="ADDEL",AG33="AMEL",AG33="PENTIL",AG33="JIJANG"),"Admin/CS","Fotografer"))</f>
        <v>Admin/CS</v>
      </c>
      <c r="AF33" s="102">
        <f t="shared" ref="AF33:AF38" si="6">IF(OR(AG33="",COUNT(L33:P33)&lt;5),"",1)</f>
        <v>1</v>
      </c>
      <c r="AG33" s="102" t="str">
        <f t="shared" ref="AG33:AG38" si="7">IFERROR(K33,"")</f>
        <v>INDAH</v>
      </c>
    </row>
    <row r="34" ht="15.75" customHeight="1">
      <c r="A34" s="1"/>
      <c r="B34" s="73">
        <v>9.0</v>
      </c>
      <c r="C34" s="74"/>
      <c r="D34" s="76"/>
      <c r="E34" s="77"/>
      <c r="F34" s="1"/>
      <c r="G34" s="1"/>
      <c r="H34" s="1"/>
      <c r="I34" s="1"/>
      <c r="J34" s="1"/>
      <c r="K34" s="105" t="str">
        <f t="shared" si="2"/>
        <v>INDAH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2">
        <f t="shared" si="3"/>
        <v>100</v>
      </c>
      <c r="AD34" s="102" t="str">
        <f t="shared" si="4"/>
        <v>Sangat Baik</v>
      </c>
      <c r="AE34" s="102" t="str">
        <f t="shared" si="5"/>
        <v>Admin/CS</v>
      </c>
      <c r="AF34" s="102">
        <f t="shared" si="6"/>
        <v>1</v>
      </c>
      <c r="AG34" s="102" t="str">
        <f t="shared" si="7"/>
        <v>INDAH</v>
      </c>
    </row>
    <row r="35" ht="15.75" customHeight="1">
      <c r="A35" s="1"/>
      <c r="B35" s="82">
        <v>10.0</v>
      </c>
      <c r="C35" s="98"/>
      <c r="D35" s="99"/>
      <c r="E35" s="77"/>
      <c r="F35" s="1"/>
      <c r="G35" s="1"/>
      <c r="H35" s="1"/>
      <c r="I35" s="1"/>
      <c r="J35" s="1"/>
      <c r="K35" s="105" t="str">
        <f t="shared" si="2"/>
        <v>ADIF</v>
      </c>
      <c r="L35" s="106">
        <v>5.0</v>
      </c>
      <c r="M35" s="106">
        <v>5.0</v>
      </c>
      <c r="N35" s="106">
        <v>5.0</v>
      </c>
      <c r="O35" s="106">
        <v>5.0</v>
      </c>
      <c r="P35" s="106">
        <v>5.0</v>
      </c>
      <c r="Q35" s="1"/>
      <c r="R35" s="1"/>
      <c r="AC35" s="102">
        <f t="shared" si="3"/>
        <v>100</v>
      </c>
      <c r="AD35" s="102" t="str">
        <f t="shared" si="4"/>
        <v>Sangat Baik</v>
      </c>
      <c r="AE35" s="102" t="str">
        <f t="shared" si="5"/>
        <v>Fotografer</v>
      </c>
      <c r="AF35" s="102">
        <f t="shared" si="6"/>
        <v>1</v>
      </c>
      <c r="AG35" s="102" t="str">
        <f t="shared" si="7"/>
        <v>ADIF</v>
      </c>
    </row>
    <row r="36" ht="15.75" customHeight="1">
      <c r="A36" s="1"/>
      <c r="B36" s="112">
        <v>11.0</v>
      </c>
      <c r="C36" s="114"/>
      <c r="D36" s="115"/>
      <c r="E36" s="77"/>
      <c r="F36" s="1"/>
      <c r="G36" s="1"/>
      <c r="H36" s="1"/>
      <c r="I36" s="1"/>
      <c r="J36" s="1"/>
      <c r="K36" s="105" t="str">
        <f t="shared" si="2"/>
        <v>SAKA</v>
      </c>
      <c r="L36" s="106">
        <v>5.0</v>
      </c>
      <c r="M36" s="106">
        <v>5.0</v>
      </c>
      <c r="N36" s="106">
        <v>5.0</v>
      </c>
      <c r="O36" s="106">
        <v>5.0</v>
      </c>
      <c r="P36" s="106">
        <v>5.0</v>
      </c>
      <c r="Q36" s="1"/>
      <c r="R36" s="1"/>
      <c r="AC36" s="102">
        <f t="shared" si="3"/>
        <v>100</v>
      </c>
      <c r="AD36" s="102" t="str">
        <f t="shared" si="4"/>
        <v>Sangat Baik</v>
      </c>
      <c r="AE36" s="102" t="str">
        <f t="shared" si="5"/>
        <v>Fotografer</v>
      </c>
      <c r="AF36" s="102">
        <f t="shared" si="6"/>
        <v>1</v>
      </c>
      <c r="AG36" s="102" t="str">
        <f t="shared" si="7"/>
        <v>SAKA</v>
      </c>
    </row>
    <row r="37" ht="15.75" customHeight="1">
      <c r="A37" s="1"/>
      <c r="B37" s="1"/>
      <c r="C37" s="2"/>
      <c r="D37" s="116">
        <f>SUM(D26:D36)</f>
        <v>250000</v>
      </c>
      <c r="E37" s="1"/>
      <c r="F37" s="1"/>
      <c r="G37" s="1"/>
      <c r="H37" s="1"/>
      <c r="I37" s="1"/>
      <c r="J37" s="1"/>
      <c r="K37" s="105"/>
      <c r="L37" s="117"/>
      <c r="M37" s="117"/>
      <c r="N37" s="117"/>
      <c r="O37" s="117"/>
      <c r="P37" s="117"/>
      <c r="Q37" s="1"/>
      <c r="R37" s="1"/>
      <c r="AC37" s="102" t="str">
        <f t="shared" si="3"/>
        <v/>
      </c>
      <c r="AD37" s="102" t="str">
        <f t="shared" si="4"/>
        <v/>
      </c>
      <c r="AE37" s="102" t="str">
        <f t="shared" si="5"/>
        <v/>
      </c>
      <c r="AF37" s="102" t="str">
        <f t="shared" si="6"/>
        <v/>
      </c>
      <c r="AG37" s="10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5"/>
      <c r="L38" s="117"/>
      <c r="M38" s="117"/>
      <c r="N38" s="117"/>
      <c r="O38" s="117"/>
      <c r="P38" s="117"/>
      <c r="Q38" s="1"/>
      <c r="R38" s="1"/>
      <c r="AC38" s="102" t="str">
        <f t="shared" si="3"/>
        <v/>
      </c>
      <c r="AD38" s="102" t="str">
        <f t="shared" si="4"/>
        <v/>
      </c>
      <c r="AE38" s="102" t="str">
        <f t="shared" si="5"/>
        <v/>
      </c>
      <c r="AF38" s="102" t="str">
        <f t="shared" si="6"/>
        <v/>
      </c>
      <c r="AG38" s="10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9" t="s">
        <v>199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2" t="s">
        <v>7</v>
      </c>
      <c r="L42" s="122" t="s">
        <v>201</v>
      </c>
      <c r="M42" s="122" t="s">
        <v>202</v>
      </c>
    </row>
    <row r="43" ht="15.75" customHeight="1">
      <c r="K43" s="125" t="str">
        <f t="shared" ref="K43:K44" si="8">IF(O26="","",O26)</f>
        <v>INDAH</v>
      </c>
      <c r="L43" s="128"/>
      <c r="M43" s="126" t="s">
        <v>204</v>
      </c>
    </row>
    <row r="44" ht="15.75" customHeight="1">
      <c r="K44" s="125" t="str">
        <f t="shared" si="8"/>
        <v>INDAH</v>
      </c>
      <c r="L44" s="128"/>
      <c r="M44" s="128"/>
    </row>
    <row r="45" ht="15.75" customHeight="1"/>
    <row r="46" ht="19.5" customHeight="1">
      <c r="K46" s="130" t="s">
        <v>205</v>
      </c>
    </row>
    <row r="47" ht="19.5" customHeight="1">
      <c r="K47" s="131" t="s">
        <v>206</v>
      </c>
      <c r="M47" s="126">
        <v>26.0</v>
      </c>
    </row>
    <row r="48" ht="19.5" customHeight="1">
      <c r="K48" s="137" t="s">
        <v>209</v>
      </c>
      <c r="M48" s="139">
        <f>COUNTIF($I$4:$I$24,"DP")</f>
        <v>6</v>
      </c>
    </row>
    <row r="49" ht="19.5" customHeight="1">
      <c r="K49" s="137" t="s">
        <v>210</v>
      </c>
      <c r="M49" s="139">
        <f>COUNTIFS($I$4:$I$24,"&lt;&gt;DP",$I$4:$I$24,"&lt;&gt;")</f>
        <v>11</v>
      </c>
    </row>
    <row r="50" ht="19.5" customHeight="1">
      <c r="K50" s="140" t="s">
        <v>211</v>
      </c>
      <c r="M50" s="139">
        <f>M48+M49</f>
        <v>17</v>
      </c>
    </row>
    <row r="51" ht="19.5" customHeight="1">
      <c r="K51" s="131" t="s">
        <v>212</v>
      </c>
      <c r="M51" s="143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8" t="s">
        <v>328</v>
      </c>
      <c r="D4" s="22" t="s">
        <v>34</v>
      </c>
      <c r="E4" s="24"/>
      <c r="F4" s="54">
        <v>46311.0</v>
      </c>
      <c r="G4" s="29"/>
      <c r="H4" s="30">
        <v>100000.0</v>
      </c>
      <c r="I4" s="25" t="s">
        <v>27</v>
      </c>
      <c r="J4" s="17"/>
      <c r="K4" s="17"/>
      <c r="L4" s="25" t="s">
        <v>38</v>
      </c>
      <c r="M4" s="17"/>
      <c r="N4" s="33"/>
      <c r="O4" s="33"/>
      <c r="P4" s="35"/>
      <c r="Q4" s="1"/>
      <c r="R4" s="1"/>
    </row>
    <row r="5" ht="15.75" customHeight="1">
      <c r="A5" s="1"/>
      <c r="B5" s="16">
        <v>2.0</v>
      </c>
      <c r="C5" s="18" t="s">
        <v>303</v>
      </c>
      <c r="D5" s="22" t="s">
        <v>23</v>
      </c>
      <c r="E5" s="164" t="s">
        <v>329</v>
      </c>
      <c r="F5" s="54">
        <v>46306.0</v>
      </c>
      <c r="G5" s="55">
        <v>510000.0</v>
      </c>
      <c r="H5" s="42"/>
      <c r="I5" s="25" t="s">
        <v>30</v>
      </c>
      <c r="J5" s="25" t="s">
        <v>33</v>
      </c>
      <c r="K5" s="25" t="s">
        <v>33</v>
      </c>
      <c r="L5" s="25" t="s">
        <v>38</v>
      </c>
      <c r="M5" s="25" t="s">
        <v>43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18" t="s">
        <v>330</v>
      </c>
      <c r="D6" s="22" t="s">
        <v>82</v>
      </c>
      <c r="E6" s="164" t="s">
        <v>331</v>
      </c>
      <c r="F6" s="54">
        <v>46306.0</v>
      </c>
      <c r="G6" s="29"/>
      <c r="H6" s="30">
        <v>150000.0</v>
      </c>
      <c r="I6" s="25" t="s">
        <v>30</v>
      </c>
      <c r="J6" s="25" t="s">
        <v>33</v>
      </c>
      <c r="K6" s="25" t="s">
        <v>33</v>
      </c>
      <c r="L6" s="25" t="s">
        <v>38</v>
      </c>
      <c r="M6" s="25" t="s">
        <v>43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18" t="s">
        <v>325</v>
      </c>
      <c r="D7" s="22" t="s">
        <v>34</v>
      </c>
      <c r="E7" s="24"/>
      <c r="F7" s="54">
        <v>46307.0</v>
      </c>
      <c r="G7" s="29"/>
      <c r="H7" s="30">
        <v>100000.0</v>
      </c>
      <c r="I7" s="25" t="s">
        <v>27</v>
      </c>
      <c r="J7" s="17"/>
      <c r="K7" s="17"/>
      <c r="L7" s="25" t="s">
        <v>38</v>
      </c>
      <c r="M7" s="17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8" t="s">
        <v>332</v>
      </c>
      <c r="D8" s="22" t="s">
        <v>34</v>
      </c>
      <c r="E8" s="24"/>
      <c r="F8" s="54">
        <v>46306.0</v>
      </c>
      <c r="G8" s="55">
        <v>825000.0</v>
      </c>
      <c r="H8" s="42"/>
      <c r="I8" s="25" t="s">
        <v>30</v>
      </c>
      <c r="J8" s="25" t="s">
        <v>33</v>
      </c>
      <c r="K8" s="25" t="s">
        <v>36</v>
      </c>
      <c r="L8" s="25" t="s">
        <v>38</v>
      </c>
      <c r="M8" s="25" t="s">
        <v>43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8" t="s">
        <v>333</v>
      </c>
      <c r="D9" s="22" t="s">
        <v>39</v>
      </c>
      <c r="E9" s="24"/>
      <c r="F9" s="54">
        <v>46306.0</v>
      </c>
      <c r="G9" s="29"/>
      <c r="H9" s="30">
        <v>100000.0</v>
      </c>
      <c r="I9" s="25" t="s">
        <v>27</v>
      </c>
      <c r="J9" s="17"/>
      <c r="K9" s="17"/>
      <c r="L9" s="25" t="s">
        <v>38</v>
      </c>
      <c r="M9" s="17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8" t="s">
        <v>334</v>
      </c>
      <c r="D10" s="22" t="s">
        <v>34</v>
      </c>
      <c r="E10" s="24"/>
      <c r="F10" s="54">
        <v>46306.0</v>
      </c>
      <c r="G10" s="29"/>
      <c r="H10" s="30">
        <v>1100000.0</v>
      </c>
      <c r="I10" s="25" t="s">
        <v>30</v>
      </c>
      <c r="J10" s="25" t="s">
        <v>33</v>
      </c>
      <c r="K10" s="25" t="s">
        <v>36</v>
      </c>
      <c r="L10" s="25" t="s">
        <v>38</v>
      </c>
      <c r="M10" s="25" t="s">
        <v>43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8" t="s">
        <v>335</v>
      </c>
      <c r="D11" s="22" t="s">
        <v>34</v>
      </c>
      <c r="E11" s="24"/>
      <c r="F11" s="163">
        <v>46306.0</v>
      </c>
      <c r="G11" s="29"/>
      <c r="H11" s="30">
        <v>500000.0</v>
      </c>
      <c r="I11" s="25" t="s">
        <v>30</v>
      </c>
      <c r="J11" s="25" t="s">
        <v>33</v>
      </c>
      <c r="K11" s="25" t="s">
        <v>36</v>
      </c>
      <c r="L11" s="25" t="s">
        <v>38</v>
      </c>
      <c r="M11" s="25" t="s">
        <v>60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8" t="s">
        <v>243</v>
      </c>
      <c r="D12" s="22" t="s">
        <v>34</v>
      </c>
      <c r="E12" s="24"/>
      <c r="F12" s="163">
        <v>46306.0</v>
      </c>
      <c r="G12" s="29"/>
      <c r="H12" s="30">
        <v>75000.0</v>
      </c>
      <c r="I12" s="25" t="s">
        <v>30</v>
      </c>
      <c r="J12" s="25" t="s">
        <v>33</v>
      </c>
      <c r="K12" s="25" t="s">
        <v>33</v>
      </c>
      <c r="L12" s="25" t="s">
        <v>38</v>
      </c>
      <c r="M12" s="25" t="s">
        <v>60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8" t="s">
        <v>251</v>
      </c>
      <c r="D13" s="22" t="s">
        <v>58</v>
      </c>
      <c r="E13" s="164">
        <v>2.0</v>
      </c>
      <c r="F13" s="163">
        <v>46306.0</v>
      </c>
      <c r="G13" s="29"/>
      <c r="H13" s="30">
        <v>100000.0</v>
      </c>
      <c r="I13" s="25" t="s">
        <v>30</v>
      </c>
      <c r="J13" s="25" t="s">
        <v>33</v>
      </c>
      <c r="K13" s="25" t="s">
        <v>33</v>
      </c>
      <c r="L13" s="25" t="s">
        <v>38</v>
      </c>
      <c r="M13" s="25" t="s">
        <v>60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8" t="s">
        <v>336</v>
      </c>
      <c r="D14" s="22" t="s">
        <v>34</v>
      </c>
      <c r="E14" s="24"/>
      <c r="F14" s="163">
        <v>46306.0</v>
      </c>
      <c r="G14" s="29"/>
      <c r="H14" s="30">
        <v>125000.0</v>
      </c>
      <c r="I14" s="25" t="s">
        <v>30</v>
      </c>
      <c r="J14" s="25" t="s">
        <v>33</v>
      </c>
      <c r="K14" s="25" t="s">
        <v>36</v>
      </c>
      <c r="L14" s="25" t="s">
        <v>38</v>
      </c>
      <c r="M14" s="25" t="s">
        <v>60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8" t="s">
        <v>333</v>
      </c>
      <c r="D15" s="22" t="s">
        <v>22</v>
      </c>
      <c r="E15" s="24"/>
      <c r="F15" s="163">
        <v>46306.0</v>
      </c>
      <c r="G15" s="29"/>
      <c r="H15" s="30">
        <v>100000.0</v>
      </c>
      <c r="I15" s="25" t="s">
        <v>30</v>
      </c>
      <c r="J15" s="25" t="s">
        <v>33</v>
      </c>
      <c r="K15" s="25" t="s">
        <v>33</v>
      </c>
      <c r="L15" s="25" t="s">
        <v>38</v>
      </c>
      <c r="M15" s="25" t="s">
        <v>60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68"/>
      <c r="D16" s="69"/>
      <c r="E16" s="24"/>
      <c r="F16" s="165"/>
      <c r="G16" s="29"/>
      <c r="H16" s="42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68"/>
      <c r="D17" s="69"/>
      <c r="E17" s="24"/>
      <c r="F17" s="165"/>
      <c r="G17" s="29"/>
      <c r="H17" s="42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24">
        <f t="shared" ref="G18:H18" si="1">SUM(G4:G17)</f>
        <v>1335000</v>
      </c>
      <c r="H18" s="78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1" t="s">
        <v>0</v>
      </c>
      <c r="C21" s="72" t="s">
        <v>6</v>
      </c>
      <c r="D21" s="72" t="s">
        <v>115</v>
      </c>
      <c r="E21" s="1"/>
      <c r="F21" s="1"/>
      <c r="G21" s="1"/>
      <c r="H21" s="1"/>
      <c r="I21" s="1"/>
      <c r="J21" s="1"/>
      <c r="K21" s="1"/>
      <c r="L21" s="1"/>
      <c r="M21" s="1"/>
      <c r="N21" s="72" t="s">
        <v>117</v>
      </c>
      <c r="O21" s="72" t="s">
        <v>1</v>
      </c>
      <c r="P21" s="1"/>
      <c r="Q21" s="1"/>
      <c r="R21" s="1"/>
    </row>
    <row r="22" ht="15.75" customHeight="1">
      <c r="A22" s="1"/>
      <c r="B22" s="73">
        <v>1.0</v>
      </c>
      <c r="C22" s="74" t="s">
        <v>119</v>
      </c>
      <c r="D22" s="76">
        <f>SUM(G18)</f>
        <v>1335000</v>
      </c>
      <c r="E22" s="77"/>
      <c r="F22" s="1"/>
      <c r="G22" s="1"/>
      <c r="H22" s="1"/>
      <c r="I22" s="1"/>
      <c r="J22" s="1"/>
      <c r="K22" s="1"/>
      <c r="L22" s="1"/>
      <c r="M22" s="1"/>
      <c r="N22" s="79" t="s">
        <v>123</v>
      </c>
      <c r="O22" s="81" t="s">
        <v>38</v>
      </c>
      <c r="P22" s="1"/>
      <c r="Q22" s="1"/>
      <c r="R22" s="1"/>
    </row>
    <row r="23" ht="15.75" customHeight="1">
      <c r="A23" s="1"/>
      <c r="B23" s="82">
        <v>2.0</v>
      </c>
      <c r="C23" s="83" t="s">
        <v>337</v>
      </c>
      <c r="D23" s="84">
        <v>-10000.0</v>
      </c>
      <c r="E23" s="77"/>
      <c r="F23" s="1"/>
      <c r="G23" s="1"/>
      <c r="H23" s="1"/>
      <c r="I23" s="1"/>
      <c r="J23" s="1"/>
      <c r="K23" s="1"/>
      <c r="L23" s="1"/>
      <c r="M23" s="1"/>
      <c r="N23" s="85" t="s">
        <v>129</v>
      </c>
      <c r="O23" s="86" t="s">
        <v>38</v>
      </c>
      <c r="P23" s="1"/>
      <c r="Q23" s="1"/>
      <c r="R23" s="1"/>
    </row>
    <row r="24" ht="15.75" customHeight="1">
      <c r="A24" s="1"/>
      <c r="B24" s="73">
        <v>3.0</v>
      </c>
      <c r="C24" s="87"/>
      <c r="D24" s="88"/>
      <c r="E24" s="77"/>
      <c r="F24" s="1"/>
      <c r="G24" s="1"/>
      <c r="H24" s="1"/>
      <c r="I24" s="1"/>
      <c r="J24" s="1"/>
      <c r="K24" s="1"/>
      <c r="L24" s="1"/>
      <c r="M24" s="1"/>
      <c r="N24" s="89" t="s">
        <v>134</v>
      </c>
      <c r="O24" s="90" t="s">
        <v>43</v>
      </c>
      <c r="P24" s="1"/>
      <c r="Q24" s="1"/>
      <c r="R24" s="1"/>
    </row>
    <row r="25" ht="15.75" customHeight="1">
      <c r="A25" s="1"/>
      <c r="B25" s="82">
        <v>4.0</v>
      </c>
      <c r="C25" s="98"/>
      <c r="D25" s="99"/>
      <c r="E25" s="77"/>
      <c r="F25" s="1"/>
      <c r="G25" s="1"/>
      <c r="H25" s="1"/>
      <c r="I25" s="1"/>
      <c r="J25" s="1"/>
      <c r="K25" s="1"/>
      <c r="L25" s="1"/>
      <c r="M25" s="1"/>
      <c r="N25" s="93" t="s">
        <v>137</v>
      </c>
      <c r="O25" s="86" t="s">
        <v>60</v>
      </c>
      <c r="P25" s="1"/>
      <c r="Q25" s="1"/>
      <c r="R25" s="1"/>
    </row>
    <row r="26" ht="15.75" customHeight="1">
      <c r="A26" s="1"/>
      <c r="B26" s="73">
        <v>5.0</v>
      </c>
      <c r="C26" s="74"/>
      <c r="D26" s="76"/>
      <c r="E26" s="77"/>
      <c r="F26" s="1"/>
      <c r="G26" s="1"/>
      <c r="H26" s="1"/>
      <c r="I26" s="1"/>
      <c r="J26" s="1"/>
      <c r="K26" s="1"/>
      <c r="L26" s="1"/>
      <c r="M26" s="1"/>
      <c r="N26" s="95"/>
      <c r="O26" s="1"/>
      <c r="P26" s="1"/>
      <c r="Q26" s="1"/>
      <c r="R26" s="1"/>
    </row>
    <row r="27" ht="15.75" customHeight="1">
      <c r="A27" s="1"/>
      <c r="B27" s="82">
        <v>6.0</v>
      </c>
      <c r="C27" s="98"/>
      <c r="D27" s="99"/>
      <c r="E27" s="77"/>
      <c r="F27" s="1"/>
      <c r="G27" s="1"/>
      <c r="H27" s="1"/>
      <c r="I27" s="1"/>
      <c r="J27" s="1"/>
      <c r="K27" s="100" t="s">
        <v>142</v>
      </c>
      <c r="Q27" s="1"/>
      <c r="R27" s="1"/>
    </row>
    <row r="28" ht="15.75" customHeight="1">
      <c r="A28" s="1"/>
      <c r="B28" s="73">
        <v>7.0</v>
      </c>
      <c r="C28" s="74"/>
      <c r="D28" s="76"/>
      <c r="E28" s="77"/>
      <c r="F28" s="1"/>
      <c r="G28" s="1"/>
      <c r="H28" s="1"/>
      <c r="I28" s="1"/>
      <c r="J28" s="1"/>
      <c r="K28" s="101" t="s">
        <v>1</v>
      </c>
      <c r="L28" s="101" t="s">
        <v>145</v>
      </c>
      <c r="M28" s="101" t="s">
        <v>146</v>
      </c>
      <c r="N28" s="101" t="s">
        <v>147</v>
      </c>
      <c r="O28" s="101" t="s">
        <v>148</v>
      </c>
      <c r="P28" s="101" t="s">
        <v>149</v>
      </c>
      <c r="Q28" s="1"/>
      <c r="R28" s="1"/>
      <c r="AC28" s="102" t="s">
        <v>150</v>
      </c>
      <c r="AD28" s="102" t="s">
        <v>151</v>
      </c>
      <c r="AE28" s="102" t="s">
        <v>153</v>
      </c>
      <c r="AF28" s="102" t="s">
        <v>155</v>
      </c>
      <c r="AG28" s="102" t="s">
        <v>156</v>
      </c>
    </row>
    <row r="29" ht="15.75" customHeight="1">
      <c r="A29" s="1"/>
      <c r="B29" s="82">
        <v>8.0</v>
      </c>
      <c r="C29" s="98"/>
      <c r="D29" s="99"/>
      <c r="E29" s="77"/>
      <c r="F29" s="1"/>
      <c r="G29" s="1"/>
      <c r="H29" s="1"/>
      <c r="I29" s="1"/>
      <c r="J29" s="1"/>
      <c r="K29" s="105" t="str">
        <f t="shared" ref="K29:K32" si="2">IF(O22="","",O22)</f>
        <v>INDAH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AC29" s="102">
        <f t="shared" ref="AC29:AC34" si="3">IF(AG29="","",IF(COUNT(L29:P29)&lt;5,"",L29/5*20+M29/5*25+N29/5*25+O29/5*15+P29/5*15))</f>
        <v>100</v>
      </c>
      <c r="AD29" s="102" t="str">
        <f t="shared" ref="AD29:AD34" si="4">IF(AC29="","",IF(AC29&gt;=90,"Sangat Baik",IF(AC29&gt;=80,"Baik",IF(AC29&gt;=70,"Coaching","Underperform"))))</f>
        <v>Sangat Baik</v>
      </c>
      <c r="AE29" s="102" t="str">
        <f t="shared" ref="AE29:AE34" si="5">IF(AG29="","",IF(OR(AG29="INDAH",AG29="ADDEL",AG29="AMEL",AG29="PENTIL",AG29="JIJANG"),"Admin/CS","Fotografer"))</f>
        <v>Admin/CS</v>
      </c>
      <c r="AF29" s="102">
        <f t="shared" ref="AF29:AF34" si="6">IF(OR(AG29="",COUNT(L29:P29)&lt;5),"",1)</f>
        <v>1</v>
      </c>
      <c r="AG29" s="102" t="str">
        <f t="shared" ref="AG29:AG34" si="7">IFERROR(K29,"")</f>
        <v>INDAH</v>
      </c>
    </row>
    <row r="30" ht="15.75" customHeight="1">
      <c r="A30" s="1"/>
      <c r="B30" s="73">
        <v>9.0</v>
      </c>
      <c r="C30" s="74"/>
      <c r="D30" s="76"/>
      <c r="E30" s="77"/>
      <c r="F30" s="1"/>
      <c r="G30" s="1"/>
      <c r="H30" s="1"/>
      <c r="I30" s="1"/>
      <c r="J30" s="1"/>
      <c r="K30" s="105" t="str">
        <f t="shared" si="2"/>
        <v>INDAH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AC30" s="102">
        <f t="shared" si="3"/>
        <v>100</v>
      </c>
      <c r="AD30" s="102" t="str">
        <f t="shared" si="4"/>
        <v>Sangat Baik</v>
      </c>
      <c r="AE30" s="102" t="str">
        <f t="shared" si="5"/>
        <v>Admin/CS</v>
      </c>
      <c r="AF30" s="102">
        <f t="shared" si="6"/>
        <v>1</v>
      </c>
      <c r="AG30" s="102" t="str">
        <f t="shared" si="7"/>
        <v>INDAH</v>
      </c>
    </row>
    <row r="31" ht="15.75" customHeight="1">
      <c r="A31" s="1"/>
      <c r="B31" s="82">
        <v>10.0</v>
      </c>
      <c r="C31" s="98"/>
      <c r="D31" s="99"/>
      <c r="E31" s="77"/>
      <c r="F31" s="1"/>
      <c r="G31" s="1"/>
      <c r="H31" s="1"/>
      <c r="I31" s="1"/>
      <c r="J31" s="1"/>
      <c r="K31" s="105" t="str">
        <f t="shared" si="2"/>
        <v>ADIF</v>
      </c>
      <c r="L31" s="106">
        <v>5.0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2">
        <f t="shared" si="3"/>
        <v>100</v>
      </c>
      <c r="AD31" s="102" t="str">
        <f t="shared" si="4"/>
        <v>Sangat Baik</v>
      </c>
      <c r="AE31" s="102" t="str">
        <f t="shared" si="5"/>
        <v>Fotografer</v>
      </c>
      <c r="AF31" s="102">
        <f t="shared" si="6"/>
        <v>1</v>
      </c>
      <c r="AG31" s="102" t="str">
        <f t="shared" si="7"/>
        <v>ADIF</v>
      </c>
    </row>
    <row r="32" ht="15.75" customHeight="1">
      <c r="A32" s="1"/>
      <c r="B32" s="112">
        <v>11.0</v>
      </c>
      <c r="C32" s="114"/>
      <c r="D32" s="115"/>
      <c r="E32" s="77"/>
      <c r="F32" s="1"/>
      <c r="G32" s="1"/>
      <c r="H32" s="1"/>
      <c r="I32" s="1"/>
      <c r="J32" s="1"/>
      <c r="K32" s="105" t="str">
        <f t="shared" si="2"/>
        <v>SAKA</v>
      </c>
      <c r="L32" s="106">
        <v>5.0</v>
      </c>
      <c r="M32" s="106">
        <v>5.0</v>
      </c>
      <c r="N32" s="106">
        <v>5.0</v>
      </c>
      <c r="O32" s="106">
        <v>5.0</v>
      </c>
      <c r="P32" s="106">
        <v>5.0</v>
      </c>
      <c r="Q32" s="1"/>
      <c r="R32" s="1"/>
      <c r="AC32" s="102">
        <f t="shared" si="3"/>
        <v>100</v>
      </c>
      <c r="AD32" s="102" t="str">
        <f t="shared" si="4"/>
        <v>Sangat Baik</v>
      </c>
      <c r="AE32" s="102" t="str">
        <f t="shared" si="5"/>
        <v>Fotografer</v>
      </c>
      <c r="AF32" s="102">
        <f t="shared" si="6"/>
        <v>1</v>
      </c>
      <c r="AG32" s="102" t="str">
        <f t="shared" si="7"/>
        <v>SAKA</v>
      </c>
    </row>
    <row r="33" ht="15.75" customHeight="1">
      <c r="A33" s="1"/>
      <c r="B33" s="1"/>
      <c r="C33" s="2"/>
      <c r="D33" s="116">
        <f>SUM(D22:D32)</f>
        <v>1325000</v>
      </c>
      <c r="E33" s="1"/>
      <c r="F33" s="1"/>
      <c r="G33" s="1"/>
      <c r="H33" s="1"/>
      <c r="I33" s="1"/>
      <c r="J33" s="1"/>
      <c r="K33" s="105"/>
      <c r="L33" s="117"/>
      <c r="M33" s="117"/>
      <c r="N33" s="117"/>
      <c r="O33" s="117"/>
      <c r="P33" s="117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/>
      </c>
      <c r="AF33" s="102" t="str">
        <f t="shared" si="6"/>
        <v/>
      </c>
      <c r="AG33" s="10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5"/>
      <c r="L34" s="117"/>
      <c r="M34" s="117"/>
      <c r="N34" s="117"/>
      <c r="O34" s="117"/>
      <c r="P34" s="117"/>
      <c r="Q34" s="1"/>
      <c r="R34" s="1"/>
      <c r="AC34" s="102" t="str">
        <f t="shared" si="3"/>
        <v/>
      </c>
      <c r="AD34" s="102" t="str">
        <f t="shared" si="4"/>
        <v/>
      </c>
      <c r="AE34" s="102" t="str">
        <f t="shared" si="5"/>
        <v/>
      </c>
      <c r="AF34" s="102" t="str">
        <f t="shared" si="6"/>
        <v/>
      </c>
      <c r="AG34" s="10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0" t="s">
        <v>200</v>
      </c>
      <c r="N37" s="1"/>
      <c r="O37" s="1"/>
      <c r="P37" s="1"/>
      <c r="Q37" s="1"/>
      <c r="R37" s="1"/>
    </row>
    <row r="38" ht="15.75" customHeight="1">
      <c r="K38" s="122" t="s">
        <v>7</v>
      </c>
      <c r="L38" s="122" t="s">
        <v>201</v>
      </c>
      <c r="M38" s="122" t="s">
        <v>202</v>
      </c>
    </row>
    <row r="39" ht="15.75" customHeight="1">
      <c r="K39" s="125" t="str">
        <f t="shared" ref="K39:K40" si="8">IF(O22="","",O22)</f>
        <v>INDAH</v>
      </c>
      <c r="L39" s="126">
        <v>3.0</v>
      </c>
      <c r="M39" s="126" t="s">
        <v>338</v>
      </c>
    </row>
    <row r="40" ht="15.75" customHeight="1">
      <c r="K40" s="125" t="str">
        <f t="shared" si="8"/>
        <v>INDAH</v>
      </c>
      <c r="L40" s="128"/>
      <c r="M40" s="128"/>
    </row>
    <row r="41" ht="15.75" customHeight="1"/>
    <row r="42" ht="19.5" customHeight="1">
      <c r="K42" s="130" t="s">
        <v>205</v>
      </c>
    </row>
    <row r="43" ht="19.5" customHeight="1">
      <c r="K43" s="131" t="s">
        <v>206</v>
      </c>
      <c r="M43" s="126">
        <v>16.0</v>
      </c>
    </row>
    <row r="44" ht="19.5" customHeight="1">
      <c r="K44" s="137" t="s">
        <v>209</v>
      </c>
      <c r="M44" s="150">
        <v>3.0</v>
      </c>
    </row>
    <row r="45" ht="19.5" customHeight="1">
      <c r="K45" s="137" t="s">
        <v>210</v>
      </c>
      <c r="M45" s="150">
        <v>7.0</v>
      </c>
    </row>
    <row r="46" ht="19.5" customHeight="1">
      <c r="K46" s="140" t="s">
        <v>211</v>
      </c>
      <c r="M46" s="150">
        <v>10.0</v>
      </c>
    </row>
    <row r="47" ht="19.5" customHeight="1">
      <c r="K47" s="131" t="s">
        <v>212</v>
      </c>
      <c r="M47" s="143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37" t="s">
        <v>317</v>
      </c>
      <c r="D4" s="22" t="s">
        <v>58</v>
      </c>
      <c r="E4" s="59" t="s">
        <v>196</v>
      </c>
      <c r="F4" s="54">
        <v>46307.0</v>
      </c>
      <c r="G4" s="29"/>
      <c r="H4" s="30">
        <v>100000.0</v>
      </c>
      <c r="I4" s="25" t="s">
        <v>30</v>
      </c>
      <c r="J4" s="25" t="s">
        <v>33</v>
      </c>
      <c r="K4" s="25" t="s">
        <v>33</v>
      </c>
      <c r="L4" s="25" t="s">
        <v>38</v>
      </c>
      <c r="M4" s="175" t="s">
        <v>60</v>
      </c>
      <c r="N4" s="33"/>
      <c r="O4" s="33"/>
      <c r="P4" s="35"/>
      <c r="Q4" s="1"/>
      <c r="R4" s="1"/>
    </row>
    <row r="5" ht="15.75" customHeight="1">
      <c r="A5" s="1"/>
      <c r="B5" s="16">
        <v>2.0</v>
      </c>
      <c r="C5" s="25" t="s">
        <v>318</v>
      </c>
      <c r="D5" s="22" t="s">
        <v>58</v>
      </c>
      <c r="E5" s="23"/>
      <c r="F5" s="54">
        <v>46307.0</v>
      </c>
      <c r="G5" s="29"/>
      <c r="H5" s="30">
        <v>100000.0</v>
      </c>
      <c r="I5" s="25" t="s">
        <v>30</v>
      </c>
      <c r="J5" s="17"/>
      <c r="K5" s="17"/>
      <c r="L5" s="25" t="s">
        <v>38</v>
      </c>
      <c r="M5" s="17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37" t="s">
        <v>319</v>
      </c>
      <c r="D6" s="22" t="s">
        <v>82</v>
      </c>
      <c r="E6" s="23"/>
      <c r="F6" s="54">
        <v>46316.0</v>
      </c>
      <c r="G6" s="29"/>
      <c r="H6" s="30">
        <v>100000.0</v>
      </c>
      <c r="I6" s="25" t="s">
        <v>27</v>
      </c>
      <c r="J6" s="17"/>
      <c r="K6" s="17"/>
      <c r="L6" s="177" t="s">
        <v>38</v>
      </c>
      <c r="M6" s="17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8" t="s">
        <v>320</v>
      </c>
      <c r="D7" s="22" t="s">
        <v>237</v>
      </c>
      <c r="E7" s="24"/>
      <c r="F7" s="54">
        <v>46298.0</v>
      </c>
      <c r="G7" s="29"/>
      <c r="H7" s="30">
        <v>20000.0</v>
      </c>
      <c r="I7" s="25" t="s">
        <v>30</v>
      </c>
      <c r="J7" s="17"/>
      <c r="K7" s="17"/>
      <c r="L7" s="25" t="s">
        <v>38</v>
      </c>
      <c r="M7" s="17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8" t="s">
        <v>321</v>
      </c>
      <c r="D8" s="22" t="s">
        <v>34</v>
      </c>
      <c r="E8" s="23"/>
      <c r="F8" s="54">
        <v>46313.0</v>
      </c>
      <c r="G8" s="29"/>
      <c r="H8" s="30">
        <v>100000.0</v>
      </c>
      <c r="I8" s="25" t="s">
        <v>27</v>
      </c>
      <c r="J8" s="17"/>
      <c r="K8" s="17"/>
      <c r="L8" s="25" t="s">
        <v>38</v>
      </c>
      <c r="M8" s="17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8" t="s">
        <v>322</v>
      </c>
      <c r="D9" s="22" t="s">
        <v>39</v>
      </c>
      <c r="E9" s="23"/>
      <c r="F9" s="54">
        <v>46307.0</v>
      </c>
      <c r="G9" s="55">
        <v>100000.0</v>
      </c>
      <c r="H9" s="42"/>
      <c r="I9" s="25" t="s">
        <v>30</v>
      </c>
      <c r="J9" s="25" t="s">
        <v>33</v>
      </c>
      <c r="K9" s="25" t="s">
        <v>36</v>
      </c>
      <c r="L9" s="25" t="s">
        <v>28</v>
      </c>
      <c r="M9" s="25" t="s">
        <v>60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8" t="s">
        <v>290</v>
      </c>
      <c r="D10" s="22" t="s">
        <v>34</v>
      </c>
      <c r="E10" s="23"/>
      <c r="F10" s="54">
        <v>46307.0</v>
      </c>
      <c r="G10" s="55">
        <v>75000.0</v>
      </c>
      <c r="H10" s="42"/>
      <c r="I10" s="25" t="s">
        <v>30</v>
      </c>
      <c r="J10" s="25" t="s">
        <v>33</v>
      </c>
      <c r="K10" s="25" t="s">
        <v>44</v>
      </c>
      <c r="L10" s="25" t="s">
        <v>28</v>
      </c>
      <c r="M10" s="25" t="s">
        <v>60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8" t="s">
        <v>323</v>
      </c>
      <c r="D11" s="22" t="s">
        <v>58</v>
      </c>
      <c r="E11" s="23"/>
      <c r="F11" s="54">
        <v>46307.0</v>
      </c>
      <c r="G11" s="39"/>
      <c r="H11" s="40">
        <v>50000.0</v>
      </c>
      <c r="I11" s="25" t="s">
        <v>30</v>
      </c>
      <c r="J11" s="25" t="s">
        <v>33</v>
      </c>
      <c r="K11" s="25" t="s">
        <v>36</v>
      </c>
      <c r="L11" s="25" t="s">
        <v>28</v>
      </c>
      <c r="M11" s="25" t="s">
        <v>43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8" t="s">
        <v>324</v>
      </c>
      <c r="D12" s="22" t="s">
        <v>34</v>
      </c>
      <c r="E12" s="23"/>
      <c r="F12" s="54">
        <v>46308.0</v>
      </c>
      <c r="G12" s="29"/>
      <c r="H12" s="30">
        <v>100000.0</v>
      </c>
      <c r="I12" s="25" t="s">
        <v>27</v>
      </c>
      <c r="J12" s="17"/>
      <c r="K12" s="17"/>
      <c r="L12" s="25" t="s">
        <v>28</v>
      </c>
      <c r="M12" s="17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8" t="s">
        <v>325</v>
      </c>
      <c r="D13" s="22" t="s">
        <v>34</v>
      </c>
      <c r="E13" s="23"/>
      <c r="F13" s="54">
        <v>46307.0</v>
      </c>
      <c r="G13" s="29"/>
      <c r="H13" s="30">
        <v>500000.0</v>
      </c>
      <c r="I13" s="25" t="s">
        <v>30</v>
      </c>
      <c r="J13" s="25" t="s">
        <v>33</v>
      </c>
      <c r="K13" s="25" t="s">
        <v>33</v>
      </c>
      <c r="L13" s="25" t="s">
        <v>28</v>
      </c>
      <c r="M13" s="175" t="s">
        <v>43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8" t="s">
        <v>326</v>
      </c>
      <c r="D14" s="22" t="s">
        <v>34</v>
      </c>
      <c r="E14" s="59" t="s">
        <v>196</v>
      </c>
      <c r="F14" s="54">
        <v>46307.0</v>
      </c>
      <c r="G14" s="55">
        <v>225000.0</v>
      </c>
      <c r="H14" s="42"/>
      <c r="I14" s="25" t="s">
        <v>30</v>
      </c>
      <c r="J14" s="25" t="s">
        <v>33</v>
      </c>
      <c r="K14" s="25" t="s">
        <v>33</v>
      </c>
      <c r="L14" s="25" t="s">
        <v>28</v>
      </c>
      <c r="M14" s="175" t="s">
        <v>43</v>
      </c>
      <c r="N14" s="43"/>
      <c r="O14" s="43"/>
      <c r="P14" s="43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24">
        <f t="shared" ref="G15:H15" si="1">SUM(G4:G14)</f>
        <v>400000</v>
      </c>
      <c r="H15" s="78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1" t="s">
        <v>0</v>
      </c>
      <c r="C18" s="72" t="s">
        <v>6</v>
      </c>
      <c r="D18" s="72" t="s">
        <v>115</v>
      </c>
      <c r="E18" s="1"/>
      <c r="F18" s="1"/>
      <c r="G18" s="1"/>
      <c r="H18" s="1"/>
      <c r="I18" s="1"/>
      <c r="J18" s="1"/>
      <c r="K18" s="1"/>
      <c r="L18" s="1"/>
      <c r="M18" s="1"/>
      <c r="N18" s="72" t="s">
        <v>117</v>
      </c>
      <c r="O18" s="72" t="s">
        <v>1</v>
      </c>
      <c r="P18" s="1"/>
      <c r="Q18" s="1"/>
      <c r="R18" s="1"/>
    </row>
    <row r="19" ht="15.75" customHeight="1">
      <c r="A19" s="1"/>
      <c r="B19" s="73">
        <v>1.0</v>
      </c>
      <c r="C19" s="74" t="s">
        <v>119</v>
      </c>
      <c r="D19" s="76">
        <f>SUM(G15)</f>
        <v>400000</v>
      </c>
      <c r="E19" s="77"/>
      <c r="F19" s="1"/>
      <c r="G19" s="1"/>
      <c r="H19" s="1"/>
      <c r="I19" s="1"/>
      <c r="J19" s="1"/>
      <c r="K19" s="1"/>
      <c r="L19" s="1"/>
      <c r="M19" s="1"/>
      <c r="N19" s="79" t="s">
        <v>123</v>
      </c>
      <c r="O19" s="81" t="s">
        <v>38</v>
      </c>
      <c r="P19" s="1"/>
      <c r="Q19" s="1"/>
      <c r="R19" s="1"/>
    </row>
    <row r="20" ht="15.75" customHeight="1">
      <c r="A20" s="1"/>
      <c r="B20" s="82">
        <v>2.0</v>
      </c>
      <c r="C20" s="91"/>
      <c r="D20" s="92"/>
      <c r="E20" s="77"/>
      <c r="F20" s="1"/>
      <c r="G20" s="1"/>
      <c r="H20" s="1"/>
      <c r="I20" s="1"/>
      <c r="J20" s="1"/>
      <c r="K20" s="1"/>
      <c r="L20" s="1"/>
      <c r="M20" s="1"/>
      <c r="N20" s="85" t="s">
        <v>129</v>
      </c>
      <c r="O20" s="86" t="s">
        <v>28</v>
      </c>
      <c r="P20" s="1"/>
      <c r="Q20" s="1"/>
      <c r="R20" s="1"/>
    </row>
    <row r="21" ht="15.75" customHeight="1">
      <c r="A21" s="1"/>
      <c r="B21" s="73">
        <v>3.0</v>
      </c>
      <c r="C21" s="87"/>
      <c r="D21" s="88"/>
      <c r="E21" s="77"/>
      <c r="F21" s="1"/>
      <c r="G21" s="1"/>
      <c r="H21" s="1"/>
      <c r="I21" s="1"/>
      <c r="J21" s="1"/>
      <c r="K21" s="1"/>
      <c r="L21" s="1"/>
      <c r="M21" s="1"/>
      <c r="N21" s="89" t="s">
        <v>134</v>
      </c>
      <c r="O21" s="90" t="s">
        <v>60</v>
      </c>
      <c r="P21" s="1"/>
      <c r="Q21" s="1"/>
      <c r="R21" s="1"/>
    </row>
    <row r="22" ht="15.75" customHeight="1">
      <c r="A22" s="1"/>
      <c r="B22" s="82">
        <v>4.0</v>
      </c>
      <c r="C22" s="98"/>
      <c r="D22" s="99"/>
      <c r="E22" s="77"/>
      <c r="F22" s="1"/>
      <c r="G22" s="1"/>
      <c r="H22" s="1"/>
      <c r="I22" s="1"/>
      <c r="J22" s="1"/>
      <c r="K22" s="1"/>
      <c r="L22" s="1"/>
      <c r="M22" s="1"/>
      <c r="N22" s="93" t="s">
        <v>137</v>
      </c>
      <c r="O22" s="86" t="s">
        <v>43</v>
      </c>
      <c r="P22" s="1"/>
      <c r="Q22" s="1"/>
      <c r="R22" s="1"/>
    </row>
    <row r="23" ht="15.75" customHeight="1">
      <c r="A23" s="1"/>
      <c r="B23" s="73">
        <v>5.0</v>
      </c>
      <c r="C23" s="74"/>
      <c r="D23" s="76"/>
      <c r="E23" s="77"/>
      <c r="F23" s="1"/>
      <c r="G23" s="1"/>
      <c r="H23" s="1"/>
      <c r="I23" s="1"/>
      <c r="J23" s="1"/>
      <c r="K23" s="1"/>
      <c r="L23" s="1"/>
      <c r="M23" s="1"/>
      <c r="N23" s="95"/>
      <c r="O23" s="1"/>
      <c r="P23" s="1"/>
      <c r="Q23" s="1"/>
      <c r="R23" s="1"/>
    </row>
    <row r="24" ht="15.75" customHeight="1">
      <c r="A24" s="1"/>
      <c r="B24" s="82">
        <v>6.0</v>
      </c>
      <c r="C24" s="98"/>
      <c r="D24" s="99"/>
      <c r="E24" s="77"/>
      <c r="F24" s="1"/>
      <c r="G24" s="1"/>
      <c r="H24" s="1"/>
      <c r="I24" s="1"/>
      <c r="J24" s="1"/>
      <c r="K24" s="100" t="s">
        <v>142</v>
      </c>
      <c r="Q24" s="1"/>
      <c r="R24" s="1"/>
    </row>
    <row r="25" ht="15.75" customHeight="1">
      <c r="A25" s="1"/>
      <c r="B25" s="73">
        <v>7.0</v>
      </c>
      <c r="C25" s="74"/>
      <c r="D25" s="76"/>
      <c r="E25" s="77"/>
      <c r="F25" s="1"/>
      <c r="G25" s="1"/>
      <c r="H25" s="1"/>
      <c r="I25" s="1"/>
      <c r="J25" s="1"/>
      <c r="K25" s="101" t="s">
        <v>1</v>
      </c>
      <c r="L25" s="101" t="s">
        <v>145</v>
      </c>
      <c r="M25" s="101" t="s">
        <v>146</v>
      </c>
      <c r="N25" s="101" t="s">
        <v>147</v>
      </c>
      <c r="O25" s="101" t="s">
        <v>148</v>
      </c>
      <c r="P25" s="101" t="s">
        <v>149</v>
      </c>
      <c r="Q25" s="1"/>
      <c r="R25" s="1"/>
      <c r="AC25" s="102" t="s">
        <v>150</v>
      </c>
      <c r="AD25" s="102" t="s">
        <v>151</v>
      </c>
      <c r="AE25" s="102" t="s">
        <v>153</v>
      </c>
      <c r="AF25" s="102" t="s">
        <v>155</v>
      </c>
      <c r="AG25" s="102" t="s">
        <v>156</v>
      </c>
    </row>
    <row r="26" ht="15.75" customHeight="1">
      <c r="A26" s="1"/>
      <c r="B26" s="82">
        <v>8.0</v>
      </c>
      <c r="C26" s="98"/>
      <c r="D26" s="99"/>
      <c r="E26" s="77"/>
      <c r="F26" s="1"/>
      <c r="G26" s="1"/>
      <c r="H26" s="1"/>
      <c r="I26" s="1"/>
      <c r="J26" s="1"/>
      <c r="K26" s="105" t="str">
        <f t="shared" ref="K26:K29" si="2">IF(O19="","",O19)</f>
        <v>INDAH</v>
      </c>
      <c r="L26" s="144">
        <v>5.0</v>
      </c>
      <c r="M26" s="144">
        <v>5.0</v>
      </c>
      <c r="N26" s="144">
        <v>5.0</v>
      </c>
      <c r="O26" s="144">
        <v>5.0</v>
      </c>
      <c r="P26" s="144">
        <v>5.0</v>
      </c>
      <c r="Q26" s="1"/>
      <c r="R26" s="1"/>
      <c r="AC26" s="102">
        <f t="shared" ref="AC26:AC31" si="3">IF(AG26="","",IF(COUNT(L26:P26)&lt;5,"",L26/5*20+M26/5*25+N26/5*25+O26/5*15+P26/5*15))</f>
        <v>100</v>
      </c>
      <c r="AD26" s="102" t="str">
        <f t="shared" ref="AD26:AD31" si="4">IF(AC26="","",IF(AC26&gt;=90,"Sangat Baik",IF(AC26&gt;=80,"Baik",IF(AC26&gt;=70,"Coaching","Underperform"))))</f>
        <v>Sangat Baik</v>
      </c>
      <c r="AE26" s="102" t="str">
        <f t="shared" ref="AE26:AE31" si="5">IF(AG26="","",IF(OR(AG26="INDAH",AG26="ADDEL",AG26="AMEL",AG26="PENTIL",AG26="JIJANG"),"Admin/CS","Fotografer"))</f>
        <v>Admin/CS</v>
      </c>
      <c r="AF26" s="102">
        <f t="shared" ref="AF26:AF31" si="6">IF(OR(AG26="",COUNT(L26:P26)&lt;5),"",1)</f>
        <v>1</v>
      </c>
      <c r="AG26" s="102" t="str">
        <f t="shared" ref="AG26:AG31" si="7">IFERROR(K26,"")</f>
        <v>INDAH</v>
      </c>
    </row>
    <row r="27" ht="15.75" customHeight="1">
      <c r="A27" s="1"/>
      <c r="B27" s="73">
        <v>9.0</v>
      </c>
      <c r="C27" s="74"/>
      <c r="D27" s="76"/>
      <c r="E27" s="77"/>
      <c r="F27" s="1"/>
      <c r="G27" s="1"/>
      <c r="H27" s="1"/>
      <c r="I27" s="1"/>
      <c r="J27" s="1"/>
      <c r="K27" s="105" t="str">
        <f t="shared" si="2"/>
        <v>AMEL</v>
      </c>
      <c r="L27" s="106">
        <v>5.0</v>
      </c>
      <c r="M27" s="106">
        <v>5.0</v>
      </c>
      <c r="N27" s="106">
        <v>5.0</v>
      </c>
      <c r="O27" s="106">
        <v>5.0</v>
      </c>
      <c r="P27" s="106">
        <v>5.0</v>
      </c>
      <c r="Q27" s="1"/>
      <c r="R27" s="1"/>
      <c r="AC27" s="102">
        <f t="shared" si="3"/>
        <v>100</v>
      </c>
      <c r="AD27" s="102" t="str">
        <f t="shared" si="4"/>
        <v>Sangat Baik</v>
      </c>
      <c r="AE27" s="102" t="str">
        <f t="shared" si="5"/>
        <v>Admin/CS</v>
      </c>
      <c r="AF27" s="102">
        <f t="shared" si="6"/>
        <v>1</v>
      </c>
      <c r="AG27" s="102" t="str">
        <f t="shared" si="7"/>
        <v>AMEL</v>
      </c>
    </row>
    <row r="28" ht="15.75" customHeight="1">
      <c r="A28" s="1"/>
      <c r="B28" s="82">
        <v>10.0</v>
      </c>
      <c r="C28" s="98"/>
      <c r="D28" s="99"/>
      <c r="E28" s="77"/>
      <c r="F28" s="1"/>
      <c r="G28" s="1"/>
      <c r="H28" s="1"/>
      <c r="I28" s="1"/>
      <c r="J28" s="1"/>
      <c r="K28" s="105" t="str">
        <f t="shared" si="2"/>
        <v>SAKA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AC28" s="102">
        <f t="shared" si="3"/>
        <v>100</v>
      </c>
      <c r="AD28" s="102" t="str">
        <f t="shared" si="4"/>
        <v>Sangat Baik</v>
      </c>
      <c r="AE28" s="102" t="str">
        <f t="shared" si="5"/>
        <v>Fotografer</v>
      </c>
      <c r="AF28" s="102">
        <f t="shared" si="6"/>
        <v>1</v>
      </c>
      <c r="AG28" s="102" t="str">
        <f t="shared" si="7"/>
        <v>SAKA</v>
      </c>
    </row>
    <row r="29" ht="15.75" customHeight="1">
      <c r="A29" s="1"/>
      <c r="B29" s="112">
        <v>11.0</v>
      </c>
      <c r="C29" s="114"/>
      <c r="D29" s="115"/>
      <c r="E29" s="77"/>
      <c r="F29" s="1"/>
      <c r="G29" s="1"/>
      <c r="H29" s="1"/>
      <c r="I29" s="1"/>
      <c r="J29" s="1"/>
      <c r="K29" s="105" t="str">
        <f t="shared" si="2"/>
        <v>ADIF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AC29" s="102">
        <f t="shared" si="3"/>
        <v>100</v>
      </c>
      <c r="AD29" s="102" t="str">
        <f t="shared" si="4"/>
        <v>Sangat Baik</v>
      </c>
      <c r="AE29" s="102" t="str">
        <f t="shared" si="5"/>
        <v>Fotografer</v>
      </c>
      <c r="AF29" s="102">
        <f t="shared" si="6"/>
        <v>1</v>
      </c>
      <c r="AG29" s="102" t="str">
        <f t="shared" si="7"/>
        <v>ADIF</v>
      </c>
    </row>
    <row r="30" ht="15.75" customHeight="1">
      <c r="A30" s="1"/>
      <c r="B30" s="1"/>
      <c r="C30" s="2"/>
      <c r="D30" s="116">
        <f>SUM(D19:D29)</f>
        <v>400000</v>
      </c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/>
      <c r="L31" s="117"/>
      <c r="M31" s="117"/>
      <c r="N31" s="117"/>
      <c r="O31" s="117"/>
      <c r="P31" s="117"/>
      <c r="Q31" s="1"/>
      <c r="R31" s="1"/>
      <c r="AC31" s="102" t="str">
        <f t="shared" si="3"/>
        <v/>
      </c>
      <c r="AD31" s="102" t="str">
        <f t="shared" si="4"/>
        <v/>
      </c>
      <c r="AE31" s="102" t="str">
        <f t="shared" si="5"/>
        <v/>
      </c>
      <c r="AF31" s="102" t="str">
        <f t="shared" si="6"/>
        <v/>
      </c>
      <c r="AG31" s="102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9" t="s">
        <v>199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20" t="s">
        <v>200</v>
      </c>
      <c r="N34" s="1"/>
      <c r="O34" s="1"/>
      <c r="P34" s="1"/>
      <c r="Q34" s="1"/>
      <c r="R34" s="1"/>
    </row>
    <row r="35" ht="15.75" customHeight="1">
      <c r="K35" s="122" t="s">
        <v>7</v>
      </c>
      <c r="L35" s="122" t="s">
        <v>201</v>
      </c>
      <c r="M35" s="122" t="s">
        <v>202</v>
      </c>
    </row>
    <row r="36" ht="15.75" customHeight="1">
      <c r="K36" s="125" t="str">
        <f t="shared" ref="K36:K37" si="8">IF(O19="","",O19)</f>
        <v>INDAH</v>
      </c>
      <c r="L36" s="126">
        <v>2.0</v>
      </c>
      <c r="M36" s="126" t="s">
        <v>327</v>
      </c>
    </row>
    <row r="37" ht="15.75" customHeight="1">
      <c r="K37" s="125" t="str">
        <f t="shared" si="8"/>
        <v>AMEL</v>
      </c>
      <c r="L37" s="126">
        <v>2.0</v>
      </c>
      <c r="M37" s="128"/>
    </row>
    <row r="38" ht="15.75" customHeight="1"/>
    <row r="39" ht="19.5" customHeight="1">
      <c r="K39" s="130" t="s">
        <v>205</v>
      </c>
    </row>
    <row r="40" ht="19.5" customHeight="1">
      <c r="K40" s="131" t="s">
        <v>206</v>
      </c>
      <c r="M40" s="126">
        <v>20.0</v>
      </c>
    </row>
    <row r="41" ht="19.5" customHeight="1">
      <c r="K41" s="137" t="s">
        <v>209</v>
      </c>
      <c r="M41" s="139">
        <f>COUNTIF($I$4:$I$17,"DP")</f>
        <v>3</v>
      </c>
    </row>
    <row r="42" ht="19.5" customHeight="1">
      <c r="K42" s="137" t="s">
        <v>210</v>
      </c>
      <c r="M42" s="139">
        <f>COUNTIFS($I$4:$I$17,"&lt;&gt;DP",$I$4:$I$17,"&lt;&gt;")</f>
        <v>8</v>
      </c>
    </row>
    <row r="43" ht="19.5" customHeight="1">
      <c r="K43" s="140" t="s">
        <v>211</v>
      </c>
      <c r="M43" s="139">
        <f>M41+M42</f>
        <v>11</v>
      </c>
    </row>
    <row r="44" ht="19.5" customHeight="1">
      <c r="K44" s="131" t="s">
        <v>212</v>
      </c>
      <c r="M44" s="143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8" t="s">
        <v>339</v>
      </c>
      <c r="D4" s="22" t="s">
        <v>189</v>
      </c>
      <c r="E4" s="23"/>
      <c r="F4" s="163">
        <v>46313.0</v>
      </c>
      <c r="G4" s="29"/>
      <c r="H4" s="30">
        <v>100000.0</v>
      </c>
      <c r="I4" s="25" t="s">
        <v>27</v>
      </c>
      <c r="J4" s="17"/>
      <c r="K4" s="17"/>
      <c r="L4" s="25" t="s">
        <v>38</v>
      </c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20" t="s">
        <v>340</v>
      </c>
      <c r="D5" s="18" t="s">
        <v>277</v>
      </c>
      <c r="E5" s="25">
        <v>2.0</v>
      </c>
      <c r="F5" s="32">
        <v>46320.0</v>
      </c>
      <c r="G5" s="159"/>
      <c r="H5" s="36">
        <v>100000.0</v>
      </c>
      <c r="I5" s="31" t="s">
        <v>30</v>
      </c>
      <c r="J5" s="16"/>
      <c r="K5" s="16"/>
      <c r="L5" s="31" t="s">
        <v>38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341</v>
      </c>
      <c r="D6" s="18" t="s">
        <v>237</v>
      </c>
      <c r="E6" s="17"/>
      <c r="F6" s="157">
        <v>46273.0</v>
      </c>
      <c r="G6" s="159"/>
      <c r="H6" s="36">
        <v>20000.0</v>
      </c>
      <c r="I6" s="31" t="s">
        <v>30</v>
      </c>
      <c r="J6" s="16"/>
      <c r="K6" s="16"/>
      <c r="L6" s="31" t="s">
        <v>38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342</v>
      </c>
      <c r="D7" s="18" t="s">
        <v>34</v>
      </c>
      <c r="E7" s="17"/>
      <c r="F7" s="157">
        <v>46313.0</v>
      </c>
      <c r="G7" s="159"/>
      <c r="H7" s="36">
        <v>100000.0</v>
      </c>
      <c r="I7" s="31" t="s">
        <v>27</v>
      </c>
      <c r="J7" s="16"/>
      <c r="K7" s="16"/>
      <c r="L7" s="31" t="s">
        <v>38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343</v>
      </c>
      <c r="D8" s="18" t="s">
        <v>34</v>
      </c>
      <c r="E8" s="17"/>
      <c r="F8" s="157">
        <v>46315.0</v>
      </c>
      <c r="G8" s="159"/>
      <c r="H8" s="36">
        <v>100000.0</v>
      </c>
      <c r="I8" s="31" t="s">
        <v>27</v>
      </c>
      <c r="J8" s="16"/>
      <c r="K8" s="16"/>
      <c r="L8" s="31" t="s">
        <v>38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324</v>
      </c>
      <c r="D9" s="18" t="s">
        <v>34</v>
      </c>
      <c r="E9" s="17"/>
      <c r="F9" s="157">
        <v>46308.0</v>
      </c>
      <c r="G9" s="162">
        <v>75000.0</v>
      </c>
      <c r="H9" s="62"/>
      <c r="I9" s="31" t="s">
        <v>30</v>
      </c>
      <c r="J9" s="31" t="s">
        <v>33</v>
      </c>
      <c r="K9" s="31" t="s">
        <v>33</v>
      </c>
      <c r="L9" s="31" t="s">
        <v>28</v>
      </c>
      <c r="M9" s="31" t="s">
        <v>43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72</v>
      </c>
      <c r="D10" s="18" t="s">
        <v>73</v>
      </c>
      <c r="E10" s="17"/>
      <c r="F10" s="157">
        <v>46307.0</v>
      </c>
      <c r="G10" s="162">
        <v>450000.0</v>
      </c>
      <c r="H10" s="62"/>
      <c r="I10" s="31" t="s">
        <v>30</v>
      </c>
      <c r="J10" s="31" t="s">
        <v>44</v>
      </c>
      <c r="K10" s="31" t="s">
        <v>44</v>
      </c>
      <c r="L10" s="31" t="s">
        <v>28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344</v>
      </c>
      <c r="D11" s="18" t="s">
        <v>34</v>
      </c>
      <c r="E11" s="17"/>
      <c r="F11" s="31" t="s">
        <v>345</v>
      </c>
      <c r="G11" s="159"/>
      <c r="H11" s="36">
        <v>100000.0</v>
      </c>
      <c r="I11" s="31" t="s">
        <v>27</v>
      </c>
      <c r="J11" s="16"/>
      <c r="K11" s="16"/>
      <c r="L11" s="31" t="s">
        <v>28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0" t="s">
        <v>347</v>
      </c>
      <c r="D12" s="18" t="s">
        <v>277</v>
      </c>
      <c r="E12" s="17"/>
      <c r="F12" s="157">
        <v>46308.0</v>
      </c>
      <c r="G12" s="159"/>
      <c r="H12" s="36">
        <v>50000.0</v>
      </c>
      <c r="I12" s="31" t="s">
        <v>30</v>
      </c>
      <c r="J12" s="31" t="s">
        <v>33</v>
      </c>
      <c r="K12" s="31" t="s">
        <v>33</v>
      </c>
      <c r="L12" s="31" t="s">
        <v>28</v>
      </c>
      <c r="M12" s="31" t="s">
        <v>60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80"/>
      <c r="D13" s="68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4">
        <f t="shared" ref="G14:H14" si="1">SUM(G4:G13)</f>
        <v>525000</v>
      </c>
      <c r="H14" s="78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0</v>
      </c>
      <c r="C17" s="72" t="s">
        <v>6</v>
      </c>
      <c r="D17" s="72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117</v>
      </c>
      <c r="O17" s="72" t="s">
        <v>1</v>
      </c>
      <c r="P17" s="1"/>
      <c r="Q17" s="1"/>
      <c r="R17" s="1"/>
    </row>
    <row r="18" ht="15.75" customHeight="1">
      <c r="A18" s="1"/>
      <c r="B18" s="73">
        <v>1.0</v>
      </c>
      <c r="C18" s="74" t="s">
        <v>119</v>
      </c>
      <c r="D18" s="76">
        <f>SUM(G14)</f>
        <v>525000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81" t="s">
        <v>38</v>
      </c>
      <c r="P18" s="1"/>
      <c r="Q18" s="1"/>
      <c r="R18" s="1"/>
    </row>
    <row r="19" ht="15.75" customHeight="1">
      <c r="A19" s="1"/>
      <c r="B19" s="82">
        <v>2.0</v>
      </c>
      <c r="C19" s="98"/>
      <c r="D19" s="99"/>
      <c r="E19" s="77"/>
      <c r="F19" s="1"/>
      <c r="G19" s="1"/>
      <c r="H19" s="1"/>
      <c r="I19" s="1"/>
      <c r="J19" s="1"/>
      <c r="K19" s="1"/>
      <c r="L19" s="1"/>
      <c r="M19" s="1"/>
      <c r="N19" s="85" t="s">
        <v>129</v>
      </c>
      <c r="O19" s="86" t="s">
        <v>28</v>
      </c>
      <c r="P19" s="1"/>
      <c r="Q19" s="1"/>
      <c r="R19" s="1"/>
    </row>
    <row r="20" ht="15.75" customHeight="1">
      <c r="A20" s="1"/>
      <c r="B20" s="73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134</v>
      </c>
      <c r="O20" s="90" t="s">
        <v>43</v>
      </c>
      <c r="P20" s="1"/>
      <c r="Q20" s="1"/>
      <c r="R20" s="1"/>
    </row>
    <row r="21" ht="15.75" customHeight="1">
      <c r="A21" s="1"/>
      <c r="B21" s="82">
        <v>4.0</v>
      </c>
      <c r="C21" s="98"/>
      <c r="D21" s="99"/>
      <c r="E21" s="77"/>
      <c r="F21" s="1"/>
      <c r="G21" s="1"/>
      <c r="H21" s="1"/>
      <c r="I21" s="1"/>
      <c r="J21" s="1"/>
      <c r="K21" s="1"/>
      <c r="L21" s="1"/>
      <c r="M21" s="1"/>
      <c r="N21" s="93" t="s">
        <v>137</v>
      </c>
      <c r="O21" s="86" t="s">
        <v>60</v>
      </c>
      <c r="P21" s="1"/>
      <c r="Q21" s="1"/>
      <c r="R21" s="1"/>
    </row>
    <row r="22" ht="15.75" customHeight="1">
      <c r="A22" s="1"/>
      <c r="B22" s="73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99"/>
      <c r="E23" s="77"/>
      <c r="F23" s="1"/>
      <c r="G23" s="1"/>
      <c r="H23" s="1"/>
      <c r="I23" s="1"/>
      <c r="J23" s="1"/>
      <c r="K23" s="100" t="s">
        <v>142</v>
      </c>
      <c r="Q23" s="1"/>
      <c r="R23" s="1"/>
    </row>
    <row r="24" ht="15.75" customHeight="1">
      <c r="A24" s="1"/>
      <c r="B24" s="73">
        <v>7.0</v>
      </c>
      <c r="C24" s="74"/>
      <c r="D24" s="76"/>
      <c r="E24" s="77"/>
      <c r="F24" s="1"/>
      <c r="G24" s="1"/>
      <c r="H24" s="1"/>
      <c r="I24" s="1"/>
      <c r="J24" s="1"/>
      <c r="K24" s="101" t="s">
        <v>1</v>
      </c>
      <c r="L24" s="101" t="s">
        <v>145</v>
      </c>
      <c r="M24" s="101" t="s">
        <v>146</v>
      </c>
      <c r="N24" s="101" t="s">
        <v>147</v>
      </c>
      <c r="O24" s="101" t="s">
        <v>148</v>
      </c>
      <c r="P24" s="101" t="s">
        <v>149</v>
      </c>
      <c r="Q24" s="1"/>
      <c r="R24" s="1"/>
      <c r="AC24" s="102" t="s">
        <v>150</v>
      </c>
      <c r="AD24" s="102" t="s">
        <v>151</v>
      </c>
      <c r="AE24" s="102" t="s">
        <v>153</v>
      </c>
      <c r="AF24" s="102" t="s">
        <v>155</v>
      </c>
      <c r="AG24" s="102" t="s">
        <v>156</v>
      </c>
    </row>
    <row r="25" ht="15.75" customHeight="1">
      <c r="A25" s="1"/>
      <c r="B25" s="82">
        <v>8.0</v>
      </c>
      <c r="C25" s="98"/>
      <c r="D25" s="99"/>
      <c r="E25" s="77"/>
      <c r="F25" s="1"/>
      <c r="G25" s="1"/>
      <c r="H25" s="1"/>
      <c r="I25" s="1"/>
      <c r="J25" s="1"/>
      <c r="K25" s="105" t="str">
        <f t="shared" ref="K25:K28" si="2">IF(O18="","",O18)</f>
        <v>INDAH</v>
      </c>
      <c r="L25" s="144">
        <v>5.0</v>
      </c>
      <c r="M25" s="144">
        <v>5.0</v>
      </c>
      <c r="N25" s="144">
        <v>5.0</v>
      </c>
      <c r="O25" s="144">
        <v>5.0</v>
      </c>
      <c r="P25" s="144">
        <v>5.0</v>
      </c>
      <c r="Q25" s="1"/>
      <c r="R25" s="1"/>
      <c r="AC25" s="102">
        <f t="shared" ref="AC25:AC30" si="3">IF(AG25="","",IF(COUNT(L25:P25)&lt;5,"",L25/5*20+M25/5*25+N25/5*25+O25/5*15+P25/5*15))</f>
        <v>100</v>
      </c>
      <c r="AD25" s="102" t="str">
        <f t="shared" ref="AD25:AD30" si="4">IF(AC25="","",IF(AC25&gt;=90,"Sangat Baik",IF(AC25&gt;=80,"Baik",IF(AC25&gt;=70,"Coaching","Underperform"))))</f>
        <v>Sangat Baik</v>
      </c>
      <c r="AE25" s="102" t="str">
        <f t="shared" ref="AE25:AE30" si="5">IF(AG25="","",IF(OR(AG25="INDAH",AG25="ADDEL",AG25="AMEL",AG25="PENTIL",AG25="JIJANG"),"Admin/CS","Fotografer"))</f>
        <v>Admin/CS</v>
      </c>
      <c r="AF25" s="102">
        <f t="shared" ref="AF25:AF30" si="6">IF(OR(AG25="",COUNT(L25:P25)&lt;5),"",1)</f>
        <v>1</v>
      </c>
      <c r="AG25" s="102" t="str">
        <f t="shared" ref="AG25:AG30" si="7">IFERROR(K25,"")</f>
        <v>INDAH</v>
      </c>
    </row>
    <row r="26" ht="15.75" customHeight="1">
      <c r="A26" s="1"/>
      <c r="B26" s="73">
        <v>9.0</v>
      </c>
      <c r="C26" s="74"/>
      <c r="D26" s="76"/>
      <c r="E26" s="77"/>
      <c r="F26" s="1"/>
      <c r="G26" s="1"/>
      <c r="H26" s="1"/>
      <c r="I26" s="1"/>
      <c r="J26" s="1"/>
      <c r="K26" s="105" t="str">
        <f t="shared" si="2"/>
        <v>AMEL</v>
      </c>
      <c r="L26" s="106">
        <v>5.0</v>
      </c>
      <c r="M26" s="106">
        <v>5.0</v>
      </c>
      <c r="N26" s="106">
        <v>5.0</v>
      </c>
      <c r="O26" s="106">
        <v>5.0</v>
      </c>
      <c r="P26" s="106">
        <v>5.0</v>
      </c>
      <c r="Q26" s="1"/>
      <c r="R26" s="1"/>
      <c r="AC26" s="102">
        <f t="shared" si="3"/>
        <v>100</v>
      </c>
      <c r="AD26" s="102" t="str">
        <f t="shared" si="4"/>
        <v>Sangat Baik</v>
      </c>
      <c r="AE26" s="102" t="str">
        <f t="shared" si="5"/>
        <v>Admin/CS</v>
      </c>
      <c r="AF26" s="102">
        <f t="shared" si="6"/>
        <v>1</v>
      </c>
      <c r="AG26" s="102" t="str">
        <f t="shared" si="7"/>
        <v>AMEL</v>
      </c>
    </row>
    <row r="27" ht="15.75" customHeight="1">
      <c r="A27" s="1"/>
      <c r="B27" s="82">
        <v>10.0</v>
      </c>
      <c r="C27" s="98"/>
      <c r="D27" s="99"/>
      <c r="E27" s="77"/>
      <c r="F27" s="1"/>
      <c r="G27" s="1"/>
      <c r="H27" s="1"/>
      <c r="I27" s="1"/>
      <c r="J27" s="1"/>
      <c r="K27" s="105" t="str">
        <f t="shared" si="2"/>
        <v>ADIF</v>
      </c>
      <c r="L27" s="144">
        <v>5.0</v>
      </c>
      <c r="M27" s="144">
        <v>5.0</v>
      </c>
      <c r="N27" s="144">
        <v>5.0</v>
      </c>
      <c r="O27" s="144">
        <v>5.0</v>
      </c>
      <c r="P27" s="144">
        <v>5.0</v>
      </c>
      <c r="Q27" s="1"/>
      <c r="R27" s="1"/>
      <c r="AC27" s="102">
        <f t="shared" si="3"/>
        <v>100</v>
      </c>
      <c r="AD27" s="102" t="str">
        <f t="shared" si="4"/>
        <v>Sangat Baik</v>
      </c>
      <c r="AE27" s="102" t="str">
        <f t="shared" si="5"/>
        <v>Fotografer</v>
      </c>
      <c r="AF27" s="102">
        <f t="shared" si="6"/>
        <v>1</v>
      </c>
      <c r="AG27" s="102" t="str">
        <f t="shared" si="7"/>
        <v>ADIF</v>
      </c>
    </row>
    <row r="28" ht="15.75" customHeight="1">
      <c r="A28" s="1"/>
      <c r="B28" s="112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>SAKA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AC28" s="102">
        <f t="shared" si="3"/>
        <v>100</v>
      </c>
      <c r="AD28" s="102" t="str">
        <f t="shared" si="4"/>
        <v>Sangat Baik</v>
      </c>
      <c r="AE28" s="102" t="str">
        <f t="shared" si="5"/>
        <v>Fotografer</v>
      </c>
      <c r="AF28" s="102">
        <f t="shared" si="6"/>
        <v>1</v>
      </c>
      <c r="AG28" s="102" t="str">
        <f t="shared" si="7"/>
        <v>SAKA</v>
      </c>
    </row>
    <row r="29" ht="15.75" customHeight="1">
      <c r="A29" s="1"/>
      <c r="B29" s="1"/>
      <c r="C29" s="2"/>
      <c r="D29" s="116">
        <f>SUM(D18:D28)</f>
        <v>525000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200</v>
      </c>
      <c r="N33" s="121"/>
      <c r="O33" s="1"/>
      <c r="P33" s="1"/>
      <c r="Q33" s="1"/>
      <c r="R33" s="1"/>
    </row>
    <row r="34" ht="15.75" customHeight="1">
      <c r="K34" s="122" t="s">
        <v>7</v>
      </c>
      <c r="L34" s="122" t="s">
        <v>201</v>
      </c>
      <c r="M34" s="122" t="s">
        <v>202</v>
      </c>
      <c r="N34" s="123" t="s">
        <v>203</v>
      </c>
    </row>
    <row r="35" ht="15.75" customHeight="1">
      <c r="K35" s="125" t="str">
        <f t="shared" ref="K35:K36" si="8">IF(O18="","",O18)</f>
        <v>INDAH</v>
      </c>
      <c r="L35" s="126">
        <v>3.0</v>
      </c>
      <c r="M35" s="128"/>
      <c r="N35" s="127">
        <v>21.0</v>
      </c>
    </row>
    <row r="36" ht="15.75" customHeight="1">
      <c r="K36" s="125" t="str">
        <f t="shared" si="8"/>
        <v>AMEL</v>
      </c>
      <c r="L36" s="126">
        <v>2.0</v>
      </c>
      <c r="M36" s="128"/>
      <c r="N36" s="127">
        <v>44.0</v>
      </c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6">
        <v>20.0</v>
      </c>
    </row>
    <row r="40" ht="19.5" customHeight="1">
      <c r="K40" s="137" t="s">
        <v>209</v>
      </c>
      <c r="M40" s="139">
        <f>COUNTIF($I$4:$I$16,"DP")</f>
        <v>4</v>
      </c>
    </row>
    <row r="41" ht="19.5" customHeight="1">
      <c r="K41" s="137" t="s">
        <v>210</v>
      </c>
      <c r="M41" s="139">
        <f>COUNTIFS($I$4:$I$16,"&lt;&gt;DP",$I$4:$I$16,"&lt;&gt;")</f>
        <v>5</v>
      </c>
    </row>
    <row r="42" ht="19.5" customHeight="1">
      <c r="K42" s="140" t="s">
        <v>211</v>
      </c>
      <c r="M42" s="139">
        <f>M40+M41</f>
        <v>9</v>
      </c>
    </row>
    <row r="43" ht="19.5" customHeight="1">
      <c r="K43" s="131" t="s">
        <v>212</v>
      </c>
      <c r="M43" s="143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0" t="s">
        <v>346</v>
      </c>
      <c r="D4" s="18" t="s">
        <v>23</v>
      </c>
      <c r="E4" s="17"/>
      <c r="F4" s="157">
        <v>46312.0</v>
      </c>
      <c r="G4" s="159"/>
      <c r="H4" s="36">
        <v>100000.0</v>
      </c>
      <c r="I4" s="31" t="s">
        <v>27</v>
      </c>
      <c r="J4" s="16"/>
      <c r="K4" s="16"/>
      <c r="L4" s="31" t="s">
        <v>28</v>
      </c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20" t="s">
        <v>348</v>
      </c>
      <c r="D5" s="18" t="s">
        <v>34</v>
      </c>
      <c r="E5" s="17"/>
      <c r="F5" s="157">
        <v>46313.0</v>
      </c>
      <c r="G5" s="159"/>
      <c r="H5" s="36">
        <v>100000.0</v>
      </c>
      <c r="I5" s="31" t="s">
        <v>27</v>
      </c>
      <c r="J5" s="16"/>
      <c r="K5" s="16"/>
      <c r="L5" s="31" t="s">
        <v>28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349</v>
      </c>
      <c r="D6" s="18" t="s">
        <v>34</v>
      </c>
      <c r="E6" s="17"/>
      <c r="F6" s="157">
        <v>46314.0</v>
      </c>
      <c r="G6" s="159"/>
      <c r="H6" s="36">
        <v>100000.0</v>
      </c>
      <c r="I6" s="31" t="s">
        <v>27</v>
      </c>
      <c r="J6" s="16"/>
      <c r="K6" s="16"/>
      <c r="L6" s="31" t="s">
        <v>28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350</v>
      </c>
      <c r="D7" s="18" t="s">
        <v>49</v>
      </c>
      <c r="E7" s="17"/>
      <c r="F7" s="157">
        <v>46298.0</v>
      </c>
      <c r="G7" s="159"/>
      <c r="H7" s="36">
        <v>10000.0</v>
      </c>
      <c r="I7" s="31" t="s">
        <v>30</v>
      </c>
      <c r="J7" s="31" t="s">
        <v>33</v>
      </c>
      <c r="K7" s="31" t="s">
        <v>33</v>
      </c>
      <c r="L7" s="31" t="s">
        <v>28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51" t="s">
        <v>351</v>
      </c>
      <c r="D8" s="18" t="s">
        <v>34</v>
      </c>
      <c r="E8" s="17"/>
      <c r="F8" s="157">
        <v>46310.0</v>
      </c>
      <c r="G8" s="159"/>
      <c r="H8" s="36">
        <v>100000.0</v>
      </c>
      <c r="I8" s="31" t="s">
        <v>27</v>
      </c>
      <c r="J8" s="16"/>
      <c r="K8" s="16"/>
      <c r="L8" s="31" t="s">
        <v>28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352</v>
      </c>
      <c r="D9" s="18" t="s">
        <v>58</v>
      </c>
      <c r="E9" s="17"/>
      <c r="F9" s="157">
        <v>46310.0</v>
      </c>
      <c r="G9" s="159"/>
      <c r="H9" s="36">
        <v>100000.0</v>
      </c>
      <c r="I9" s="31" t="s">
        <v>30</v>
      </c>
      <c r="J9" s="16"/>
      <c r="K9" s="16"/>
      <c r="L9" s="31" t="s">
        <v>28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5" t="s">
        <v>353</v>
      </c>
      <c r="D10" s="18" t="s">
        <v>277</v>
      </c>
      <c r="E10" s="25" t="s">
        <v>196</v>
      </c>
      <c r="F10" s="157">
        <v>46309.0</v>
      </c>
      <c r="G10" s="159"/>
      <c r="H10" s="36">
        <v>50000.0</v>
      </c>
      <c r="I10" s="31" t="s">
        <v>30</v>
      </c>
      <c r="J10" s="31" t="s">
        <v>33</v>
      </c>
      <c r="K10" s="31" t="s">
        <v>33</v>
      </c>
      <c r="L10" s="31" t="s">
        <v>28</v>
      </c>
      <c r="M10" s="31" t="s">
        <v>43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354</v>
      </c>
      <c r="D11" s="18" t="s">
        <v>23</v>
      </c>
      <c r="E11" s="17"/>
      <c r="F11" s="57">
        <v>46312.0</v>
      </c>
      <c r="G11" s="159"/>
      <c r="H11" s="36">
        <v>100000.0</v>
      </c>
      <c r="I11" s="31" t="s">
        <v>27</v>
      </c>
      <c r="J11" s="16"/>
      <c r="K11" s="16"/>
      <c r="L11" s="31" t="s">
        <v>28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50" t="s">
        <v>355</v>
      </c>
      <c r="D12" s="18" t="s">
        <v>277</v>
      </c>
      <c r="E12" s="25" t="s">
        <v>196</v>
      </c>
      <c r="F12" s="157">
        <v>46309.0</v>
      </c>
      <c r="G12" s="162">
        <v>50000.0</v>
      </c>
      <c r="H12" s="36"/>
      <c r="I12" s="31" t="s">
        <v>30</v>
      </c>
      <c r="J12" s="31" t="s">
        <v>33</v>
      </c>
      <c r="K12" s="31" t="s">
        <v>33</v>
      </c>
      <c r="L12" s="31" t="s">
        <v>28</v>
      </c>
      <c r="M12" s="31" t="s">
        <v>43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0" t="s">
        <v>356</v>
      </c>
      <c r="D13" s="18" t="s">
        <v>58</v>
      </c>
      <c r="E13" s="25" t="s">
        <v>196</v>
      </c>
      <c r="F13" s="157">
        <v>46309.0</v>
      </c>
      <c r="G13" s="162">
        <v>100000.0</v>
      </c>
      <c r="H13" s="36"/>
      <c r="I13" s="31" t="s">
        <v>30</v>
      </c>
      <c r="J13" s="31" t="s">
        <v>33</v>
      </c>
      <c r="K13" s="31" t="s">
        <v>33</v>
      </c>
      <c r="L13" s="31" t="s">
        <v>28</v>
      </c>
      <c r="M13" s="31" t="s">
        <v>43</v>
      </c>
      <c r="N13" s="43"/>
      <c r="O13" s="43"/>
      <c r="P13" s="43"/>
      <c r="Q13" s="1"/>
      <c r="R13" s="1"/>
    </row>
    <row r="14" ht="18.75" customHeight="1">
      <c r="A14" s="1"/>
      <c r="B14" s="1"/>
      <c r="D14" s="2"/>
      <c r="E14" s="1"/>
      <c r="F14" s="1"/>
      <c r="G14" s="124">
        <f t="shared" ref="G14:H14" si="1">SUM(G4:G13)</f>
        <v>150000</v>
      </c>
      <c r="H14" s="78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0</v>
      </c>
      <c r="C17" s="72" t="s">
        <v>6</v>
      </c>
      <c r="D17" s="72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117</v>
      </c>
      <c r="O17" s="72" t="s">
        <v>1</v>
      </c>
      <c r="P17" s="1"/>
      <c r="Q17" s="1"/>
      <c r="R17" s="1"/>
    </row>
    <row r="18" ht="15.75" customHeight="1">
      <c r="A18" s="1"/>
      <c r="B18" s="73">
        <v>1.0</v>
      </c>
      <c r="C18" s="74" t="s">
        <v>119</v>
      </c>
      <c r="D18" s="76">
        <f>SUM(G14)</f>
        <v>150000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81" t="s">
        <v>28</v>
      </c>
      <c r="P18" s="1"/>
      <c r="Q18" s="1"/>
      <c r="R18" s="1"/>
    </row>
    <row r="19" ht="15.75" customHeight="1">
      <c r="A19" s="1"/>
      <c r="B19" s="82">
        <v>2.0</v>
      </c>
      <c r="C19" s="98"/>
      <c r="D19" s="99"/>
      <c r="E19" s="77"/>
      <c r="F19" s="1"/>
      <c r="G19" s="1"/>
      <c r="H19" s="1"/>
      <c r="I19" s="1"/>
      <c r="J19" s="1"/>
      <c r="K19" s="1"/>
      <c r="L19" s="1"/>
      <c r="M19" s="1"/>
      <c r="N19" s="85" t="s">
        <v>129</v>
      </c>
      <c r="O19" s="86" t="s">
        <v>28</v>
      </c>
      <c r="P19" s="1"/>
      <c r="Q19" s="1"/>
      <c r="R19" s="1"/>
    </row>
    <row r="20" ht="15.75" customHeight="1">
      <c r="A20" s="1"/>
      <c r="B20" s="73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134</v>
      </c>
      <c r="O20" s="90" t="s">
        <v>60</v>
      </c>
      <c r="P20" s="1"/>
      <c r="Q20" s="1"/>
      <c r="R20" s="1"/>
    </row>
    <row r="21" ht="15.75" customHeight="1">
      <c r="A21" s="1"/>
      <c r="B21" s="82">
        <v>4.0</v>
      </c>
      <c r="C21" s="98"/>
      <c r="D21" s="99"/>
      <c r="E21" s="77"/>
      <c r="F21" s="1"/>
      <c r="G21" s="1"/>
      <c r="H21" s="1"/>
      <c r="I21" s="1"/>
      <c r="J21" s="1"/>
      <c r="K21" s="1"/>
      <c r="L21" s="1"/>
      <c r="M21" s="1"/>
      <c r="N21" s="93" t="s">
        <v>137</v>
      </c>
      <c r="O21" s="86" t="s">
        <v>43</v>
      </c>
      <c r="P21" s="1"/>
      <c r="Q21" s="1"/>
      <c r="R21" s="1"/>
    </row>
    <row r="22" ht="15.75" customHeight="1">
      <c r="A22" s="1"/>
      <c r="B22" s="73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99"/>
      <c r="E23" s="77"/>
      <c r="F23" s="1"/>
      <c r="G23" s="1"/>
      <c r="H23" s="1"/>
      <c r="I23" s="1"/>
      <c r="J23" s="1"/>
      <c r="K23" s="100" t="s">
        <v>142</v>
      </c>
      <c r="Q23" s="1"/>
      <c r="R23" s="1"/>
    </row>
    <row r="24" ht="15.75" customHeight="1">
      <c r="A24" s="1"/>
      <c r="B24" s="73">
        <v>7.0</v>
      </c>
      <c r="C24" s="74"/>
      <c r="D24" s="76"/>
      <c r="E24" s="77"/>
      <c r="F24" s="1"/>
      <c r="G24" s="1"/>
      <c r="H24" s="1"/>
      <c r="I24" s="1"/>
      <c r="J24" s="1"/>
      <c r="K24" s="101" t="s">
        <v>1</v>
      </c>
      <c r="L24" s="101" t="s">
        <v>145</v>
      </c>
      <c r="M24" s="101" t="s">
        <v>146</v>
      </c>
      <c r="N24" s="101" t="s">
        <v>147</v>
      </c>
      <c r="O24" s="101" t="s">
        <v>148</v>
      </c>
      <c r="P24" s="101" t="s">
        <v>149</v>
      </c>
      <c r="Q24" s="1"/>
      <c r="R24" s="1"/>
      <c r="AC24" s="102" t="s">
        <v>150</v>
      </c>
      <c r="AD24" s="102" t="s">
        <v>151</v>
      </c>
      <c r="AE24" s="102" t="s">
        <v>153</v>
      </c>
      <c r="AF24" s="102" t="s">
        <v>155</v>
      </c>
      <c r="AG24" s="102" t="s">
        <v>156</v>
      </c>
    </row>
    <row r="25" ht="15.75" customHeight="1">
      <c r="A25" s="1"/>
      <c r="B25" s="82">
        <v>8.0</v>
      </c>
      <c r="C25" s="98"/>
      <c r="D25" s="99"/>
      <c r="E25" s="77"/>
      <c r="F25" s="1"/>
      <c r="G25" s="1"/>
      <c r="H25" s="1"/>
      <c r="I25" s="1"/>
      <c r="J25" s="1"/>
      <c r="K25" s="105" t="str">
        <f t="shared" ref="K25:K28" si="2">IF(O18="","",O18)</f>
        <v>AMEL</v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>Admin/CS</v>
      </c>
      <c r="AF25" s="102" t="str">
        <f t="shared" ref="AF25:AF30" si="6">IF(OR(AG25="",COUNT(L25:P25)&lt;5),"",1)</f>
        <v/>
      </c>
      <c r="AG25" s="102" t="str">
        <f t="shared" ref="AG25:AG30" si="7">IFERROR(K25,"")</f>
        <v>AMEL</v>
      </c>
    </row>
    <row r="26" ht="15.75" customHeight="1">
      <c r="A26" s="1"/>
      <c r="B26" s="73">
        <v>9.0</v>
      </c>
      <c r="C26" s="74"/>
      <c r="D26" s="76"/>
      <c r="E26" s="77"/>
      <c r="F26" s="1"/>
      <c r="G26" s="1"/>
      <c r="H26" s="1"/>
      <c r="I26" s="1"/>
      <c r="J26" s="1"/>
      <c r="K26" s="105" t="str">
        <f t="shared" si="2"/>
        <v>AMEL</v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>Admin/CS</v>
      </c>
      <c r="AF26" s="102" t="str">
        <f t="shared" si="6"/>
        <v/>
      </c>
      <c r="AG26" s="102" t="str">
        <f t="shared" si="7"/>
        <v>AMEL</v>
      </c>
    </row>
    <row r="27" ht="15.75" customHeight="1">
      <c r="A27" s="1"/>
      <c r="B27" s="82">
        <v>10.0</v>
      </c>
      <c r="C27" s="98"/>
      <c r="D27" s="99"/>
      <c r="E27" s="77"/>
      <c r="F27" s="1"/>
      <c r="G27" s="1"/>
      <c r="H27" s="1"/>
      <c r="I27" s="1"/>
      <c r="J27" s="1"/>
      <c r="K27" s="105" t="str">
        <f t="shared" si="2"/>
        <v>SAKA</v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>Fotografer</v>
      </c>
      <c r="AF27" s="102" t="str">
        <f t="shared" si="6"/>
        <v/>
      </c>
      <c r="AG27" s="102" t="str">
        <f t="shared" si="7"/>
        <v>SAKA</v>
      </c>
    </row>
    <row r="28" ht="15.75" customHeight="1">
      <c r="A28" s="1"/>
      <c r="B28" s="112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>ADIF</v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>Fotografer</v>
      </c>
      <c r="AF28" s="102" t="str">
        <f t="shared" si="6"/>
        <v/>
      </c>
      <c r="AG28" s="102" t="str">
        <f t="shared" si="7"/>
        <v>ADIF</v>
      </c>
    </row>
    <row r="29" ht="15.75" customHeight="1">
      <c r="A29" s="1"/>
      <c r="B29" s="1"/>
      <c r="C29" s="2"/>
      <c r="D29" s="116">
        <f>SUM(D18:D28)</f>
        <v>150000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7</v>
      </c>
      <c r="L34" s="122" t="s">
        <v>201</v>
      </c>
      <c r="M34" s="122" t="s">
        <v>202</v>
      </c>
    </row>
    <row r="35" ht="15.75" customHeight="1">
      <c r="K35" s="125" t="str">
        <f t="shared" ref="K35:K36" si="8">IF(O18="","",O18)</f>
        <v>AMEL</v>
      </c>
      <c r="L35" s="126">
        <v>9.0</v>
      </c>
      <c r="M35" s="128"/>
    </row>
    <row r="36" ht="15.75" customHeight="1">
      <c r="K36" s="125" t="str">
        <f t="shared" si="8"/>
        <v>AMEL</v>
      </c>
      <c r="L36" s="128"/>
      <c r="M36" s="128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6">
        <v>29.0</v>
      </c>
    </row>
    <row r="40" ht="19.5" customHeight="1">
      <c r="K40" s="137" t="s">
        <v>209</v>
      </c>
      <c r="M40" s="150">
        <v>5.0</v>
      </c>
    </row>
    <row r="41" ht="19.5" customHeight="1">
      <c r="K41" s="137" t="s">
        <v>210</v>
      </c>
      <c r="M41" s="150">
        <v>3.0</v>
      </c>
    </row>
    <row r="42" ht="19.5" customHeight="1">
      <c r="K42" s="140" t="s">
        <v>211</v>
      </c>
      <c r="M42" s="150">
        <v>8.0</v>
      </c>
    </row>
    <row r="43" ht="19.5" customHeight="1">
      <c r="K43" s="131" t="s">
        <v>212</v>
      </c>
      <c r="M43" s="143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0" t="s">
        <v>357</v>
      </c>
      <c r="D4" s="18" t="s">
        <v>34</v>
      </c>
      <c r="E4" s="17"/>
      <c r="F4" s="32">
        <v>46313.0</v>
      </c>
      <c r="G4" s="159"/>
      <c r="H4" s="36">
        <v>100000.0</v>
      </c>
      <c r="I4" s="31" t="s">
        <v>27</v>
      </c>
      <c r="J4" s="16"/>
      <c r="K4" s="16"/>
      <c r="L4" s="31" t="s">
        <v>28</v>
      </c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20" t="s">
        <v>358</v>
      </c>
      <c r="D5" s="18" t="s">
        <v>58</v>
      </c>
      <c r="E5" s="17"/>
      <c r="F5" s="157">
        <v>46310.0</v>
      </c>
      <c r="G5" s="162" t="s">
        <v>44</v>
      </c>
      <c r="H5" s="36" t="s">
        <v>44</v>
      </c>
      <c r="I5" s="31" t="s">
        <v>30</v>
      </c>
      <c r="J5" s="31" t="s">
        <v>33</v>
      </c>
      <c r="K5" s="31" t="s">
        <v>33</v>
      </c>
      <c r="L5" s="31" t="s">
        <v>28</v>
      </c>
      <c r="M5" s="31" t="s">
        <v>60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50" t="s">
        <v>359</v>
      </c>
      <c r="D6" s="18" t="s">
        <v>39</v>
      </c>
      <c r="E6" s="17"/>
      <c r="F6" s="57">
        <v>46310.0</v>
      </c>
      <c r="G6" s="159"/>
      <c r="H6" s="36">
        <v>100000.0</v>
      </c>
      <c r="I6" s="31" t="s">
        <v>27</v>
      </c>
      <c r="J6" s="16"/>
      <c r="K6" s="16"/>
      <c r="L6" s="31" t="s">
        <v>28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360</v>
      </c>
      <c r="D7" s="18" t="s">
        <v>23</v>
      </c>
      <c r="E7" s="17"/>
      <c r="F7" s="57">
        <v>46312.0</v>
      </c>
      <c r="G7" s="159"/>
      <c r="H7" s="36">
        <v>100000.0</v>
      </c>
      <c r="I7" s="31" t="s">
        <v>27</v>
      </c>
      <c r="J7" s="16"/>
      <c r="K7" s="16"/>
      <c r="L7" s="31" t="s">
        <v>28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79" t="s">
        <v>361</v>
      </c>
      <c r="D8" s="18" t="s">
        <v>23</v>
      </c>
      <c r="E8" s="17"/>
      <c r="F8" s="57">
        <v>46312.0</v>
      </c>
      <c r="G8" s="159"/>
      <c r="H8" s="36">
        <v>150000.0</v>
      </c>
      <c r="I8" s="31" t="s">
        <v>27</v>
      </c>
      <c r="J8" s="16"/>
      <c r="K8" s="16"/>
      <c r="L8" s="31" t="s">
        <v>28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362</v>
      </c>
      <c r="D9" s="18" t="s">
        <v>230</v>
      </c>
      <c r="E9" s="17"/>
      <c r="F9" s="57">
        <v>46311.0</v>
      </c>
      <c r="G9" s="159"/>
      <c r="H9" s="36">
        <v>100000.0</v>
      </c>
      <c r="I9" s="31" t="s">
        <v>27</v>
      </c>
      <c r="J9" s="16"/>
      <c r="K9" s="16"/>
      <c r="L9" s="31" t="s">
        <v>28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363</v>
      </c>
      <c r="D10" s="18" t="s">
        <v>23</v>
      </c>
      <c r="E10" s="17"/>
      <c r="F10" s="157">
        <v>46312.0</v>
      </c>
      <c r="G10" s="159"/>
      <c r="H10" s="36">
        <v>100000.0</v>
      </c>
      <c r="I10" s="31" t="s">
        <v>27</v>
      </c>
      <c r="J10" s="16"/>
      <c r="K10" s="16"/>
      <c r="L10" s="31" t="s">
        <v>38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351</v>
      </c>
      <c r="D11" s="18" t="s">
        <v>34</v>
      </c>
      <c r="E11" s="17"/>
      <c r="F11" s="157">
        <v>46310.0</v>
      </c>
      <c r="G11" s="162">
        <v>1075000.0</v>
      </c>
      <c r="H11" s="62"/>
      <c r="I11" s="31" t="s">
        <v>30</v>
      </c>
      <c r="J11" s="31" t="s">
        <v>33</v>
      </c>
      <c r="K11" s="31" t="s">
        <v>36</v>
      </c>
      <c r="L11" s="31" t="s">
        <v>38</v>
      </c>
      <c r="M11" s="31" t="s">
        <v>60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50" t="s">
        <v>364</v>
      </c>
      <c r="D12" s="18" t="s">
        <v>73</v>
      </c>
      <c r="E12" s="17"/>
      <c r="F12" s="157">
        <v>46312.0</v>
      </c>
      <c r="G12" s="159"/>
      <c r="H12" s="36">
        <v>250000.0</v>
      </c>
      <c r="I12" s="31" t="s">
        <v>27</v>
      </c>
      <c r="J12" s="16"/>
      <c r="K12" s="16"/>
      <c r="L12" s="31" t="s">
        <v>38</v>
      </c>
      <c r="M12" s="16"/>
      <c r="N12" s="43"/>
      <c r="O12" s="43"/>
      <c r="P12" s="43"/>
      <c r="Q12" s="1"/>
      <c r="R12" s="1"/>
    </row>
    <row r="13" ht="15.75" customHeight="1">
      <c r="A13" s="1"/>
      <c r="B13" s="16"/>
      <c r="C13" s="180" t="s">
        <v>359</v>
      </c>
      <c r="D13" s="18" t="s">
        <v>39</v>
      </c>
      <c r="E13" s="17"/>
      <c r="F13" s="157">
        <v>46310.0</v>
      </c>
      <c r="G13" s="159"/>
      <c r="H13" s="36">
        <v>125000.0</v>
      </c>
      <c r="I13" s="31" t="s">
        <v>30</v>
      </c>
      <c r="J13" s="31" t="s">
        <v>33</v>
      </c>
      <c r="K13" s="31" t="s">
        <v>33</v>
      </c>
      <c r="L13" s="31" t="s">
        <v>38</v>
      </c>
      <c r="M13" s="31" t="s">
        <v>60</v>
      </c>
      <c r="N13" s="43"/>
      <c r="O13" s="43"/>
      <c r="P13" s="43"/>
      <c r="Q13" s="1"/>
      <c r="R13" s="1"/>
    </row>
    <row r="14" ht="15.75" customHeight="1">
      <c r="A14" s="1"/>
      <c r="B14" s="16"/>
      <c r="C14" s="180" t="s">
        <v>365</v>
      </c>
      <c r="D14" s="18" t="s">
        <v>34</v>
      </c>
      <c r="E14" s="17"/>
      <c r="F14" s="157">
        <v>46315.0</v>
      </c>
      <c r="G14" s="159"/>
      <c r="H14" s="36">
        <v>100000.0</v>
      </c>
      <c r="I14" s="31" t="s">
        <v>27</v>
      </c>
      <c r="J14" s="16"/>
      <c r="K14" s="16"/>
      <c r="L14" s="31" t="s">
        <v>38</v>
      </c>
      <c r="M14" s="16"/>
      <c r="N14" s="43"/>
      <c r="O14" s="43"/>
      <c r="P14" s="43"/>
      <c r="Q14" s="1"/>
      <c r="R14" s="1"/>
    </row>
    <row r="15" ht="15.75" customHeight="1">
      <c r="A15" s="1"/>
      <c r="B15" s="16"/>
      <c r="C15" s="180" t="s">
        <v>366</v>
      </c>
      <c r="D15" s="18" t="s">
        <v>23</v>
      </c>
      <c r="E15" s="17"/>
      <c r="F15" s="157">
        <v>46312.0</v>
      </c>
      <c r="G15" s="159"/>
      <c r="H15" s="36">
        <v>100000.0</v>
      </c>
      <c r="I15" s="31" t="s">
        <v>27</v>
      </c>
      <c r="J15" s="16"/>
      <c r="K15" s="16"/>
      <c r="L15" s="31" t="s">
        <v>38</v>
      </c>
      <c r="M15" s="16"/>
      <c r="N15" s="43"/>
      <c r="O15" s="43"/>
      <c r="P15" s="43"/>
      <c r="Q15" s="1"/>
      <c r="R15" s="1"/>
    </row>
    <row r="16" ht="15.75" customHeight="1">
      <c r="A16" s="1"/>
      <c r="B16" s="16"/>
      <c r="C16" s="180" t="s">
        <v>367</v>
      </c>
      <c r="D16" s="18" t="s">
        <v>34</v>
      </c>
      <c r="E16" s="17"/>
      <c r="F16" s="157">
        <v>46311.0</v>
      </c>
      <c r="G16" s="159"/>
      <c r="H16" s="36">
        <v>100000.0</v>
      </c>
      <c r="I16" s="31" t="s">
        <v>27</v>
      </c>
      <c r="J16" s="16"/>
      <c r="K16" s="16"/>
      <c r="L16" s="31" t="s">
        <v>38</v>
      </c>
      <c r="M16" s="16"/>
      <c r="N16" s="43"/>
      <c r="O16" s="43"/>
      <c r="P16" s="43"/>
      <c r="Q16" s="1"/>
      <c r="R16" s="1"/>
    </row>
    <row r="17" ht="15.75" customHeight="1">
      <c r="A17" s="1"/>
      <c r="B17" s="16">
        <v>10.0</v>
      </c>
      <c r="C17" s="80"/>
      <c r="D17" s="68"/>
      <c r="E17" s="17"/>
      <c r="F17" s="178"/>
      <c r="G17" s="159"/>
      <c r="H17" s="62"/>
      <c r="I17" s="16"/>
      <c r="J17" s="16"/>
      <c r="K17" s="16"/>
      <c r="L17" s="16"/>
      <c r="M17" s="16"/>
      <c r="N17" s="43"/>
      <c r="O17" s="43"/>
      <c r="P17" s="43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24">
        <f t="shared" ref="G18:H18" si="1">SUM(G4:G17)</f>
        <v>1075000</v>
      </c>
      <c r="H18" s="78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1" t="s">
        <v>0</v>
      </c>
      <c r="C21" s="72" t="s">
        <v>6</v>
      </c>
      <c r="D21" s="72" t="s">
        <v>115</v>
      </c>
      <c r="E21" s="1"/>
      <c r="F21" s="1"/>
      <c r="G21" s="1"/>
      <c r="H21" s="1"/>
      <c r="I21" s="1"/>
      <c r="J21" s="1"/>
      <c r="K21" s="1"/>
      <c r="L21" s="1"/>
      <c r="M21" s="1"/>
      <c r="N21" s="72" t="s">
        <v>117</v>
      </c>
      <c r="O21" s="72" t="s">
        <v>1</v>
      </c>
      <c r="P21" s="1"/>
      <c r="Q21" s="1"/>
      <c r="R21" s="1"/>
    </row>
    <row r="22" ht="15.75" customHeight="1">
      <c r="A22" s="1"/>
      <c r="B22" s="73">
        <v>1.0</v>
      </c>
      <c r="C22" s="74" t="s">
        <v>119</v>
      </c>
      <c r="D22" s="76">
        <f>SUM(G18)</f>
        <v>1075000</v>
      </c>
      <c r="E22" s="77"/>
      <c r="F22" s="1"/>
      <c r="G22" s="1"/>
      <c r="H22" s="1"/>
      <c r="I22" s="1"/>
      <c r="J22" s="1"/>
      <c r="K22" s="1"/>
      <c r="L22" s="1"/>
      <c r="M22" s="1"/>
      <c r="N22" s="79" t="s">
        <v>123</v>
      </c>
      <c r="O22" s="81" t="s">
        <v>28</v>
      </c>
      <c r="P22" s="1"/>
      <c r="Q22" s="1"/>
      <c r="R22" s="1"/>
    </row>
    <row r="23" ht="15.75" customHeight="1">
      <c r="A23" s="1"/>
      <c r="B23" s="82">
        <v>2.0</v>
      </c>
      <c r="C23" s="173" t="s">
        <v>337</v>
      </c>
      <c r="D23" s="142">
        <v>-8000.0</v>
      </c>
      <c r="E23" s="77"/>
      <c r="F23" s="1"/>
      <c r="G23" s="1"/>
      <c r="H23" s="1"/>
      <c r="I23" s="1"/>
      <c r="J23" s="1"/>
      <c r="K23" s="1"/>
      <c r="L23" s="1"/>
      <c r="M23" s="1"/>
      <c r="N23" s="85" t="s">
        <v>129</v>
      </c>
      <c r="O23" s="86" t="s">
        <v>38</v>
      </c>
      <c r="P23" s="1"/>
      <c r="Q23" s="1"/>
      <c r="R23" s="1"/>
    </row>
    <row r="24" ht="15.75" customHeight="1">
      <c r="A24" s="1"/>
      <c r="B24" s="73">
        <v>3.0</v>
      </c>
      <c r="C24" s="141" t="s">
        <v>368</v>
      </c>
      <c r="D24" s="181">
        <v>-100000.0</v>
      </c>
      <c r="E24" s="77"/>
      <c r="F24" s="1"/>
      <c r="G24" s="1"/>
      <c r="H24" s="1"/>
      <c r="I24" s="1"/>
      <c r="J24" s="1"/>
      <c r="K24" s="1"/>
      <c r="L24" s="1"/>
      <c r="M24" s="1"/>
      <c r="N24" s="89" t="s">
        <v>134</v>
      </c>
      <c r="O24" s="90" t="s">
        <v>60</v>
      </c>
      <c r="P24" s="1"/>
      <c r="Q24" s="1"/>
      <c r="R24" s="1"/>
    </row>
    <row r="25" ht="15.75" customHeight="1">
      <c r="A25" s="1"/>
      <c r="B25" s="82">
        <v>4.0</v>
      </c>
      <c r="C25" s="98"/>
      <c r="D25" s="99"/>
      <c r="E25" s="77"/>
      <c r="F25" s="1"/>
      <c r="G25" s="1"/>
      <c r="H25" s="1"/>
      <c r="I25" s="1"/>
      <c r="J25" s="1"/>
      <c r="K25" s="1"/>
      <c r="L25" s="1"/>
      <c r="M25" s="1"/>
      <c r="N25" s="93" t="s">
        <v>137</v>
      </c>
      <c r="O25" s="86" t="s">
        <v>60</v>
      </c>
      <c r="P25" s="1"/>
      <c r="Q25" s="1"/>
      <c r="R25" s="1"/>
    </row>
    <row r="26" ht="15.75" customHeight="1">
      <c r="A26" s="1"/>
      <c r="B26" s="73">
        <v>5.0</v>
      </c>
      <c r="C26" s="74"/>
      <c r="D26" s="76"/>
      <c r="E26" s="77"/>
      <c r="F26" s="1"/>
      <c r="G26" s="1"/>
      <c r="H26" s="1"/>
      <c r="I26" s="1"/>
      <c r="J26" s="1"/>
      <c r="K26" s="1"/>
      <c r="L26" s="1"/>
      <c r="M26" s="1"/>
      <c r="N26" s="95"/>
      <c r="O26" s="1"/>
      <c r="P26" s="1"/>
      <c r="Q26" s="1"/>
      <c r="R26" s="1"/>
    </row>
    <row r="27" ht="15.75" customHeight="1">
      <c r="A27" s="1"/>
      <c r="B27" s="82">
        <v>6.0</v>
      </c>
      <c r="C27" s="98"/>
      <c r="D27" s="99"/>
      <c r="E27" s="77"/>
      <c r="F27" s="1"/>
      <c r="G27" s="1"/>
      <c r="H27" s="1"/>
      <c r="I27" s="1"/>
      <c r="J27" s="1"/>
      <c r="K27" s="100" t="s">
        <v>142</v>
      </c>
      <c r="Q27" s="1"/>
      <c r="R27" s="1"/>
    </row>
    <row r="28" ht="15.75" customHeight="1">
      <c r="A28" s="1"/>
      <c r="B28" s="73">
        <v>7.0</v>
      </c>
      <c r="C28" s="74"/>
      <c r="D28" s="76"/>
      <c r="E28" s="77"/>
      <c r="F28" s="1"/>
      <c r="G28" s="1"/>
      <c r="H28" s="1"/>
      <c r="I28" s="1"/>
      <c r="J28" s="1"/>
      <c r="K28" s="101" t="s">
        <v>1</v>
      </c>
      <c r="L28" s="101" t="s">
        <v>145</v>
      </c>
      <c r="M28" s="101" t="s">
        <v>146</v>
      </c>
      <c r="N28" s="101" t="s">
        <v>147</v>
      </c>
      <c r="O28" s="101" t="s">
        <v>148</v>
      </c>
      <c r="P28" s="101" t="s">
        <v>149</v>
      </c>
      <c r="Q28" s="1"/>
      <c r="R28" s="1"/>
      <c r="AC28" s="102" t="s">
        <v>150</v>
      </c>
      <c r="AD28" s="102" t="s">
        <v>151</v>
      </c>
      <c r="AE28" s="102" t="s">
        <v>153</v>
      </c>
      <c r="AF28" s="102" t="s">
        <v>155</v>
      </c>
      <c r="AG28" s="102" t="s">
        <v>156</v>
      </c>
    </row>
    <row r="29" ht="15.75" customHeight="1">
      <c r="A29" s="1"/>
      <c r="B29" s="82">
        <v>8.0</v>
      </c>
      <c r="C29" s="98"/>
      <c r="D29" s="99"/>
      <c r="E29" s="77"/>
      <c r="F29" s="1"/>
      <c r="G29" s="1"/>
      <c r="H29" s="1"/>
      <c r="I29" s="1"/>
      <c r="J29" s="1"/>
      <c r="K29" s="105" t="str">
        <f t="shared" ref="K29:K32" si="2">IF(O22="","",O22)</f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2">
        <f t="shared" ref="AC29:AC34" si="3">IF(AG29="","",IF(COUNT(L29:P29)&lt;5,"",L29/5*20+M29/5*25+N29/5*25+O29/5*15+P29/5*15))</f>
        <v>100</v>
      </c>
      <c r="AD29" s="102" t="str">
        <f t="shared" ref="AD29:AD34" si="4">IF(AC29="","",IF(AC29&gt;=90,"Sangat Baik",IF(AC29&gt;=80,"Baik",IF(AC29&gt;=70,"Coaching","Underperform"))))</f>
        <v>Sangat Baik</v>
      </c>
      <c r="AE29" s="102" t="str">
        <f t="shared" ref="AE29:AE34" si="5">IF(AG29="","",IF(OR(AG29="INDAH",AG29="ADDEL",AG29="AMEL",AG29="PENTIL",AG29="JIJANG"),"Admin/CS","Fotografer"))</f>
        <v>Admin/CS</v>
      </c>
      <c r="AF29" s="102">
        <f t="shared" ref="AF29:AF34" si="6">IF(OR(AG29="",COUNT(L29:P29)&lt;5),"",1)</f>
        <v>1</v>
      </c>
      <c r="AG29" s="102" t="str">
        <f t="shared" ref="AG29:AG34" si="7">IFERROR(K29,"")</f>
        <v>AMEL</v>
      </c>
    </row>
    <row r="30" ht="15.75" customHeight="1">
      <c r="A30" s="1"/>
      <c r="B30" s="73">
        <v>9.0</v>
      </c>
      <c r="C30" s="74"/>
      <c r="D30" s="76"/>
      <c r="E30" s="77"/>
      <c r="F30" s="1"/>
      <c r="G30" s="1"/>
      <c r="H30" s="1"/>
      <c r="I30" s="1"/>
      <c r="J30" s="1"/>
      <c r="K30" s="105" t="str">
        <f t="shared" si="2"/>
        <v>INDAH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2">
        <f t="shared" si="3"/>
        <v>100</v>
      </c>
      <c r="AD30" s="102" t="str">
        <f t="shared" si="4"/>
        <v>Sangat Baik</v>
      </c>
      <c r="AE30" s="102" t="str">
        <f t="shared" si="5"/>
        <v>Admin/CS</v>
      </c>
      <c r="AF30" s="102">
        <f t="shared" si="6"/>
        <v>1</v>
      </c>
      <c r="AG30" s="102" t="str">
        <f t="shared" si="7"/>
        <v>INDAH</v>
      </c>
    </row>
    <row r="31" ht="15.75" customHeight="1">
      <c r="A31" s="1"/>
      <c r="B31" s="82">
        <v>10.0</v>
      </c>
      <c r="C31" s="98"/>
      <c r="D31" s="99"/>
      <c r="E31" s="77"/>
      <c r="F31" s="1"/>
      <c r="G31" s="1"/>
      <c r="H31" s="1"/>
      <c r="I31" s="1"/>
      <c r="J31" s="1"/>
      <c r="K31" s="105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2">
        <f t="shared" si="3"/>
        <v>100</v>
      </c>
      <c r="AD31" s="102" t="str">
        <f t="shared" si="4"/>
        <v>Sangat Baik</v>
      </c>
      <c r="AE31" s="102" t="str">
        <f t="shared" si="5"/>
        <v>Fotografer</v>
      </c>
      <c r="AF31" s="102">
        <f t="shared" si="6"/>
        <v>1</v>
      </c>
      <c r="AG31" s="102" t="str">
        <f t="shared" si="7"/>
        <v>SAKA</v>
      </c>
    </row>
    <row r="32" ht="15.75" customHeight="1">
      <c r="A32" s="1"/>
      <c r="B32" s="112">
        <v>11.0</v>
      </c>
      <c r="C32" s="114"/>
      <c r="D32" s="115"/>
      <c r="E32" s="77"/>
      <c r="F32" s="1"/>
      <c r="G32" s="1"/>
      <c r="H32" s="1"/>
      <c r="I32" s="1"/>
      <c r="J32" s="1"/>
      <c r="K32" s="105" t="str">
        <f t="shared" si="2"/>
        <v>SAKA</v>
      </c>
      <c r="L32" s="144">
        <v>5.0</v>
      </c>
      <c r="M32" s="144">
        <v>5.0</v>
      </c>
      <c r="N32" s="144">
        <v>5.0</v>
      </c>
      <c r="O32" s="144">
        <v>5.0</v>
      </c>
      <c r="P32" s="144">
        <v>5.0</v>
      </c>
      <c r="Q32" s="1"/>
      <c r="R32" s="1"/>
      <c r="AC32" s="102">
        <f t="shared" si="3"/>
        <v>100</v>
      </c>
      <c r="AD32" s="102" t="str">
        <f t="shared" si="4"/>
        <v>Sangat Baik</v>
      </c>
      <c r="AE32" s="102" t="str">
        <f t="shared" si="5"/>
        <v>Fotografer</v>
      </c>
      <c r="AF32" s="102">
        <f t="shared" si="6"/>
        <v>1</v>
      </c>
      <c r="AG32" s="102" t="str">
        <f t="shared" si="7"/>
        <v>SAKA</v>
      </c>
    </row>
    <row r="33" ht="15.75" customHeight="1">
      <c r="A33" s="1"/>
      <c r="B33" s="1"/>
      <c r="C33" s="2"/>
      <c r="D33" s="116">
        <f>SUM(D22:D32)</f>
        <v>967000</v>
      </c>
      <c r="E33" s="1"/>
      <c r="F33" s="1"/>
      <c r="G33" s="1"/>
      <c r="H33" s="1"/>
      <c r="I33" s="1"/>
      <c r="J33" s="1"/>
      <c r="K33" s="105"/>
      <c r="L33" s="117"/>
      <c r="M33" s="117"/>
      <c r="N33" s="117"/>
      <c r="O33" s="117"/>
      <c r="P33" s="117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/>
      </c>
      <c r="AF33" s="102" t="str">
        <f t="shared" si="6"/>
        <v/>
      </c>
      <c r="AG33" s="10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5"/>
      <c r="L34" s="117"/>
      <c r="M34" s="117"/>
      <c r="N34" s="117"/>
      <c r="O34" s="117"/>
      <c r="P34" s="117"/>
      <c r="Q34" s="1"/>
      <c r="R34" s="1"/>
      <c r="AC34" s="102" t="str">
        <f t="shared" si="3"/>
        <v/>
      </c>
      <c r="AD34" s="102" t="str">
        <f t="shared" si="4"/>
        <v/>
      </c>
      <c r="AE34" s="102" t="str">
        <f t="shared" si="5"/>
        <v/>
      </c>
      <c r="AF34" s="102" t="str">
        <f t="shared" si="6"/>
        <v/>
      </c>
      <c r="AG34" s="10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0" t="s">
        <v>200</v>
      </c>
      <c r="N37" s="182"/>
      <c r="O37" s="1"/>
      <c r="P37" s="1"/>
      <c r="Q37" s="1"/>
      <c r="R37" s="1"/>
    </row>
    <row r="38" ht="15.75" customHeight="1">
      <c r="K38" s="122" t="s">
        <v>7</v>
      </c>
      <c r="L38" s="122" t="s">
        <v>201</v>
      </c>
      <c r="M38" s="122" t="s">
        <v>202</v>
      </c>
      <c r="N38" s="184" t="s">
        <v>203</v>
      </c>
    </row>
    <row r="39" ht="15.75" customHeight="1">
      <c r="K39" s="125" t="str">
        <f t="shared" ref="K39:K40" si="8">IF(O22="","",O22)</f>
        <v>AMEL</v>
      </c>
      <c r="L39" s="126">
        <v>5.0</v>
      </c>
      <c r="M39" s="126" t="s">
        <v>338</v>
      </c>
      <c r="N39" s="186"/>
    </row>
    <row r="40" ht="15.75" customHeight="1">
      <c r="K40" s="125" t="str">
        <f t="shared" si="8"/>
        <v>INDAH</v>
      </c>
      <c r="L40" s="126">
        <v>5.0</v>
      </c>
      <c r="M40" s="126" t="s">
        <v>338</v>
      </c>
      <c r="N40" s="186"/>
    </row>
    <row r="41" ht="15.75" customHeight="1"/>
    <row r="42" ht="19.5" customHeight="1">
      <c r="K42" s="130" t="s">
        <v>205</v>
      </c>
    </row>
    <row r="43" ht="19.5" customHeight="1">
      <c r="K43" s="131" t="s">
        <v>206</v>
      </c>
      <c r="M43" s="126">
        <v>30.0</v>
      </c>
    </row>
    <row r="44" ht="19.5" customHeight="1">
      <c r="K44" s="137" t="s">
        <v>209</v>
      </c>
      <c r="M44" s="139">
        <f>COUNTIF($I$4:$I$20,"DP")</f>
        <v>10</v>
      </c>
    </row>
    <row r="45" ht="19.5" customHeight="1">
      <c r="K45" s="137" t="s">
        <v>210</v>
      </c>
      <c r="M45" s="139">
        <f>COUNTIFS($I$4:$I$20,"&lt;&gt;DP",$I$4:$I$20,"&lt;&gt;")</f>
        <v>3</v>
      </c>
    </row>
    <row r="46" ht="19.5" customHeight="1">
      <c r="K46" s="140" t="s">
        <v>211</v>
      </c>
      <c r="M46" s="139">
        <f>M44+M45</f>
        <v>13</v>
      </c>
    </row>
    <row r="47" ht="19.5" customHeight="1">
      <c r="K47" s="131" t="s">
        <v>212</v>
      </c>
      <c r="M47" s="143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0" t="s">
        <v>369</v>
      </c>
      <c r="D4" s="18" t="s">
        <v>34</v>
      </c>
      <c r="E4" s="17"/>
      <c r="F4" s="157">
        <v>46313.0</v>
      </c>
      <c r="G4" s="159"/>
      <c r="H4" s="36">
        <v>100000.0</v>
      </c>
      <c r="I4" s="31" t="s">
        <v>27</v>
      </c>
      <c r="J4" s="16"/>
      <c r="K4" s="16"/>
      <c r="L4" s="31" t="s">
        <v>38</v>
      </c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20" t="s">
        <v>370</v>
      </c>
      <c r="D5" s="18" t="s">
        <v>34</v>
      </c>
      <c r="E5" s="17"/>
      <c r="F5" s="157">
        <v>46313.0</v>
      </c>
      <c r="G5" s="159"/>
      <c r="H5" s="36">
        <v>100000.0</v>
      </c>
      <c r="I5" s="31" t="s">
        <v>27</v>
      </c>
      <c r="J5" s="16"/>
      <c r="K5" s="16"/>
      <c r="L5" s="31" t="s">
        <v>38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372</v>
      </c>
      <c r="D6" s="18" t="s">
        <v>34</v>
      </c>
      <c r="E6" s="17"/>
      <c r="F6" s="157">
        <v>46313.0</v>
      </c>
      <c r="G6" s="159"/>
      <c r="H6" s="36">
        <v>100000.0</v>
      </c>
      <c r="I6" s="31" t="s">
        <v>27</v>
      </c>
      <c r="J6" s="16"/>
      <c r="K6" s="16"/>
      <c r="L6" s="31" t="s">
        <v>38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373</v>
      </c>
      <c r="D7" s="18" t="s">
        <v>34</v>
      </c>
      <c r="E7" s="25" t="s">
        <v>196</v>
      </c>
      <c r="F7" s="157">
        <v>46311.0</v>
      </c>
      <c r="G7" s="159"/>
      <c r="H7" s="36">
        <v>375000.0</v>
      </c>
      <c r="I7" s="31" t="s">
        <v>30</v>
      </c>
      <c r="J7" s="31" t="s">
        <v>33</v>
      </c>
      <c r="K7" s="31" t="s">
        <v>33</v>
      </c>
      <c r="L7" s="31" t="s">
        <v>38</v>
      </c>
      <c r="M7" s="31" t="s">
        <v>43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374</v>
      </c>
      <c r="D8" s="18" t="s">
        <v>34</v>
      </c>
      <c r="E8" s="17"/>
      <c r="F8" s="157">
        <v>46311.0</v>
      </c>
      <c r="G8" s="159"/>
      <c r="H8" s="36">
        <v>425000.0</v>
      </c>
      <c r="I8" s="31" t="s">
        <v>30</v>
      </c>
      <c r="J8" s="31" t="s">
        <v>33</v>
      </c>
      <c r="K8" s="31" t="s">
        <v>36</v>
      </c>
      <c r="L8" s="31" t="s">
        <v>38</v>
      </c>
      <c r="M8" s="31" t="s">
        <v>43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375</v>
      </c>
      <c r="D9" s="18" t="s">
        <v>23</v>
      </c>
      <c r="E9" s="17"/>
      <c r="F9" s="157">
        <v>46311.0</v>
      </c>
      <c r="G9" s="159"/>
      <c r="H9" s="36">
        <v>100000.0</v>
      </c>
      <c r="I9" s="31" t="s">
        <v>27</v>
      </c>
      <c r="J9" s="16"/>
      <c r="K9" s="16"/>
      <c r="L9" s="31" t="s">
        <v>38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376</v>
      </c>
      <c r="D10" s="18" t="s">
        <v>34</v>
      </c>
      <c r="E10" s="17"/>
      <c r="F10" s="57">
        <v>46311.0</v>
      </c>
      <c r="G10" s="162">
        <v>600000.0</v>
      </c>
      <c r="H10" s="62"/>
      <c r="I10" s="31" t="s">
        <v>30</v>
      </c>
      <c r="J10" s="31" t="s">
        <v>33</v>
      </c>
      <c r="K10" s="31" t="s">
        <v>36</v>
      </c>
      <c r="L10" s="31" t="s">
        <v>38</v>
      </c>
      <c r="M10" s="31" t="s">
        <v>43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362</v>
      </c>
      <c r="D11" s="18" t="s">
        <v>230</v>
      </c>
      <c r="E11" s="17"/>
      <c r="F11" s="57">
        <v>46311.0</v>
      </c>
      <c r="G11" s="159"/>
      <c r="H11" s="36">
        <v>250000.0</v>
      </c>
      <c r="I11" s="31" t="s">
        <v>30</v>
      </c>
      <c r="J11" s="31" t="s">
        <v>33</v>
      </c>
      <c r="K11" s="31" t="s">
        <v>36</v>
      </c>
      <c r="L11" s="31" t="s">
        <v>38</v>
      </c>
      <c r="M11" s="31" t="s">
        <v>43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0" t="s">
        <v>377</v>
      </c>
      <c r="D12" s="18" t="s">
        <v>34</v>
      </c>
      <c r="E12" s="17"/>
      <c r="F12" s="57">
        <v>46312.0</v>
      </c>
      <c r="G12" s="159"/>
      <c r="H12" s="36">
        <v>100000.0</v>
      </c>
      <c r="I12" s="31" t="s">
        <v>27</v>
      </c>
      <c r="J12" s="16"/>
      <c r="K12" s="16"/>
      <c r="L12" s="31" t="s">
        <v>38</v>
      </c>
      <c r="M12" s="16"/>
      <c r="N12" s="43"/>
      <c r="O12" s="43"/>
      <c r="P12" s="43"/>
      <c r="Q12" s="1"/>
      <c r="R12" s="1"/>
    </row>
    <row r="13" ht="15.75" customHeight="1">
      <c r="A13" s="1"/>
      <c r="B13" s="16"/>
      <c r="C13" s="20" t="s">
        <v>378</v>
      </c>
      <c r="D13" s="18" t="s">
        <v>23</v>
      </c>
      <c r="E13" s="17"/>
      <c r="F13" s="57">
        <v>46312.0</v>
      </c>
      <c r="G13" s="159"/>
      <c r="H13" s="36">
        <v>100000.0</v>
      </c>
      <c r="I13" s="31" t="s">
        <v>27</v>
      </c>
      <c r="J13" s="16"/>
      <c r="K13" s="16"/>
      <c r="L13" s="31" t="s">
        <v>38</v>
      </c>
      <c r="M13" s="16"/>
      <c r="N13" s="43"/>
      <c r="O13" s="43"/>
      <c r="P13" s="43"/>
      <c r="Q13" s="1"/>
      <c r="R13" s="1"/>
    </row>
    <row r="14" ht="15.75" customHeight="1">
      <c r="A14" s="1"/>
      <c r="B14" s="16"/>
      <c r="C14" s="20" t="s">
        <v>328</v>
      </c>
      <c r="D14" s="18" t="s">
        <v>34</v>
      </c>
      <c r="E14" s="17"/>
      <c r="F14" s="57">
        <v>46311.0</v>
      </c>
      <c r="G14" s="162">
        <v>200000.0</v>
      </c>
      <c r="H14" s="62"/>
      <c r="I14" s="31" t="s">
        <v>30</v>
      </c>
      <c r="J14" s="31" t="s">
        <v>33</v>
      </c>
      <c r="K14" s="31" t="s">
        <v>33</v>
      </c>
      <c r="L14" s="31" t="s">
        <v>38</v>
      </c>
      <c r="M14" s="31" t="s">
        <v>43</v>
      </c>
      <c r="N14" s="43"/>
      <c r="O14" s="43"/>
      <c r="P14" s="43"/>
      <c r="Q14" s="1"/>
      <c r="R14" s="1"/>
    </row>
    <row r="15" ht="15.75" customHeight="1">
      <c r="A15" s="1"/>
      <c r="B15" s="16"/>
      <c r="C15" s="20" t="s">
        <v>379</v>
      </c>
      <c r="D15" s="18" t="s">
        <v>23</v>
      </c>
      <c r="E15" s="17"/>
      <c r="F15" s="57">
        <v>46312.0</v>
      </c>
      <c r="G15" s="159"/>
      <c r="H15" s="36">
        <v>100000.0</v>
      </c>
      <c r="I15" s="31" t="s">
        <v>27</v>
      </c>
      <c r="J15" s="16"/>
      <c r="K15" s="16"/>
      <c r="L15" s="31" t="s">
        <v>38</v>
      </c>
      <c r="M15" s="16"/>
      <c r="N15" s="43"/>
      <c r="O15" s="43"/>
      <c r="P15" s="43"/>
      <c r="Q15" s="1"/>
      <c r="R15" s="1"/>
    </row>
    <row r="16" ht="15.75" customHeight="1">
      <c r="A16" s="1"/>
      <c r="B16" s="16">
        <v>10.0</v>
      </c>
      <c r="C16" s="80"/>
      <c r="D16" s="68"/>
      <c r="E16" s="17"/>
      <c r="F16" s="103"/>
      <c r="G16" s="159"/>
      <c r="H16" s="62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24">
        <f t="shared" ref="G17:H17" si="1">SUM(G4:G16)</f>
        <v>800000</v>
      </c>
      <c r="H17" s="78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1" t="s">
        <v>0</v>
      </c>
      <c r="C20" s="72" t="s">
        <v>6</v>
      </c>
      <c r="D20" s="72" t="s">
        <v>115</v>
      </c>
      <c r="E20" s="1"/>
      <c r="F20" s="1"/>
      <c r="G20" s="1"/>
      <c r="H20" s="1"/>
      <c r="I20" s="1"/>
      <c r="J20" s="1"/>
      <c r="K20" s="1"/>
      <c r="L20" s="1"/>
      <c r="M20" s="1"/>
      <c r="N20" s="72" t="s">
        <v>117</v>
      </c>
      <c r="O20" s="72" t="s">
        <v>1</v>
      </c>
      <c r="P20" s="1"/>
      <c r="Q20" s="1"/>
      <c r="R20" s="1"/>
    </row>
    <row r="21" ht="15.75" customHeight="1">
      <c r="A21" s="1"/>
      <c r="B21" s="73">
        <v>1.0</v>
      </c>
      <c r="C21" s="74" t="s">
        <v>119</v>
      </c>
      <c r="D21" s="76">
        <f>SUM(G17)</f>
        <v>800000</v>
      </c>
      <c r="E21" s="77"/>
      <c r="F21" s="1"/>
      <c r="G21" s="1"/>
      <c r="H21" s="1"/>
      <c r="I21" s="1"/>
      <c r="J21" s="1"/>
      <c r="K21" s="1"/>
      <c r="L21" s="1"/>
      <c r="M21" s="1"/>
      <c r="N21" s="79" t="s">
        <v>123</v>
      </c>
      <c r="O21" s="81" t="s">
        <v>38</v>
      </c>
      <c r="P21" s="1"/>
      <c r="Q21" s="1"/>
      <c r="R21" s="1"/>
    </row>
    <row r="22" ht="15.75" customHeight="1">
      <c r="A22" s="1"/>
      <c r="B22" s="82">
        <v>2.0</v>
      </c>
      <c r="C22" s="98"/>
      <c r="D22" s="99"/>
      <c r="E22" s="77"/>
      <c r="F22" s="1"/>
      <c r="G22" s="1"/>
      <c r="H22" s="1"/>
      <c r="I22" s="1"/>
      <c r="J22" s="1"/>
      <c r="K22" s="1"/>
      <c r="L22" s="1"/>
      <c r="M22" s="1"/>
      <c r="N22" s="85" t="s">
        <v>129</v>
      </c>
      <c r="O22" s="86" t="s">
        <v>38</v>
      </c>
      <c r="P22" s="1"/>
      <c r="Q22" s="1"/>
      <c r="R22" s="1"/>
    </row>
    <row r="23" ht="15.75" customHeight="1">
      <c r="A23" s="1"/>
      <c r="B23" s="73">
        <v>3.0</v>
      </c>
      <c r="C23" s="74"/>
      <c r="D23" s="76"/>
      <c r="E23" s="77"/>
      <c r="F23" s="1"/>
      <c r="G23" s="1"/>
      <c r="H23" s="1"/>
      <c r="I23" s="1"/>
      <c r="J23" s="1"/>
      <c r="K23" s="1"/>
      <c r="L23" s="1"/>
      <c r="M23" s="1"/>
      <c r="N23" s="89" t="s">
        <v>134</v>
      </c>
      <c r="O23" s="90" t="s">
        <v>43</v>
      </c>
      <c r="P23" s="1"/>
      <c r="Q23" s="1"/>
      <c r="R23" s="1"/>
    </row>
    <row r="24" ht="15.75" customHeight="1">
      <c r="A24" s="1"/>
      <c r="B24" s="82">
        <v>4.0</v>
      </c>
      <c r="C24" s="98"/>
      <c r="D24" s="99"/>
      <c r="E24" s="77"/>
      <c r="F24" s="1"/>
      <c r="G24" s="1"/>
      <c r="H24" s="1"/>
      <c r="I24" s="1"/>
      <c r="J24" s="1"/>
      <c r="K24" s="1"/>
      <c r="L24" s="1"/>
      <c r="M24" s="1"/>
      <c r="N24" s="93" t="s">
        <v>137</v>
      </c>
      <c r="O24" s="86" t="s">
        <v>43</v>
      </c>
      <c r="P24" s="1"/>
      <c r="Q24" s="1"/>
      <c r="R24" s="1"/>
    </row>
    <row r="25" ht="15.75" customHeight="1">
      <c r="A25" s="1"/>
      <c r="B25" s="73">
        <v>5.0</v>
      </c>
      <c r="C25" s="74"/>
      <c r="D25" s="76"/>
      <c r="E25" s="77"/>
      <c r="F25" s="1"/>
      <c r="G25" s="1"/>
      <c r="H25" s="1"/>
      <c r="I25" s="1"/>
      <c r="J25" s="1"/>
      <c r="K25" s="1"/>
      <c r="L25" s="1"/>
      <c r="M25" s="1"/>
      <c r="N25" s="95"/>
      <c r="O25" s="1"/>
      <c r="P25" s="1"/>
      <c r="Q25" s="1"/>
      <c r="R25" s="1"/>
    </row>
    <row r="26" ht="15.75" customHeight="1">
      <c r="A26" s="1"/>
      <c r="B26" s="82">
        <v>6.0</v>
      </c>
      <c r="C26" s="98"/>
      <c r="D26" s="99"/>
      <c r="E26" s="77"/>
      <c r="F26" s="1"/>
      <c r="G26" s="1"/>
      <c r="H26" s="1"/>
      <c r="I26" s="1"/>
      <c r="J26" s="1"/>
      <c r="K26" s="100" t="s">
        <v>142</v>
      </c>
      <c r="Q26" s="1"/>
      <c r="R26" s="1"/>
    </row>
    <row r="27" ht="15.75" customHeight="1">
      <c r="A27" s="1"/>
      <c r="B27" s="73">
        <v>7.0</v>
      </c>
      <c r="C27" s="74"/>
      <c r="D27" s="76"/>
      <c r="E27" s="77"/>
      <c r="F27" s="1"/>
      <c r="G27" s="1"/>
      <c r="H27" s="1"/>
      <c r="I27" s="1"/>
      <c r="J27" s="1"/>
      <c r="K27" s="101" t="s">
        <v>1</v>
      </c>
      <c r="L27" s="101" t="s">
        <v>145</v>
      </c>
      <c r="M27" s="101" t="s">
        <v>146</v>
      </c>
      <c r="N27" s="101" t="s">
        <v>147</v>
      </c>
      <c r="O27" s="101" t="s">
        <v>148</v>
      </c>
      <c r="P27" s="101" t="s">
        <v>149</v>
      </c>
      <c r="Q27" s="1"/>
      <c r="R27" s="1"/>
      <c r="AC27" s="102" t="s">
        <v>150</v>
      </c>
      <c r="AD27" s="102" t="s">
        <v>151</v>
      </c>
      <c r="AE27" s="102" t="s">
        <v>153</v>
      </c>
      <c r="AF27" s="102" t="s">
        <v>155</v>
      </c>
      <c r="AG27" s="102" t="s">
        <v>156</v>
      </c>
    </row>
    <row r="28" ht="15.75" customHeight="1">
      <c r="A28" s="1"/>
      <c r="B28" s="82">
        <v>8.0</v>
      </c>
      <c r="C28" s="98"/>
      <c r="D28" s="99"/>
      <c r="E28" s="77"/>
      <c r="F28" s="1"/>
      <c r="G28" s="1"/>
      <c r="H28" s="1"/>
      <c r="I28" s="1"/>
      <c r="J28" s="1"/>
      <c r="K28" s="105" t="str">
        <f t="shared" ref="K28:K31" si="2">IF(O21="","",O21)</f>
        <v>INDAH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102">
        <f t="shared" ref="AC28:AC33" si="3">IF(AG28="","",IF(COUNT(L28:P28)&lt;5,"",L28/5*20+M28/5*25+N28/5*25+O28/5*15+P28/5*15))</f>
        <v>100</v>
      </c>
      <c r="AD28" s="102" t="str">
        <f t="shared" ref="AD28:AD33" si="4">IF(AC28="","",IF(AC28&gt;=90,"Sangat Baik",IF(AC28&gt;=80,"Baik",IF(AC28&gt;=70,"Coaching","Underperform"))))</f>
        <v>Sangat Baik</v>
      </c>
      <c r="AE28" s="102" t="str">
        <f t="shared" ref="AE28:AE33" si="5">IF(AG28="","",IF(OR(AG28="INDAH",AG28="ADDEL",AG28="AMEL",AG28="PENTIL",AG28="JIJANG"),"Admin/CS","Fotografer"))</f>
        <v>Admin/CS</v>
      </c>
      <c r="AF28" s="102">
        <f t="shared" ref="AF28:AF33" si="6">IF(OR(AG28="",COUNT(L28:P28)&lt;5),"",1)</f>
        <v>1</v>
      </c>
      <c r="AG28" s="102" t="str">
        <f t="shared" ref="AG28:AG33" si="7">IFERROR(K28,"")</f>
        <v>INDAH</v>
      </c>
    </row>
    <row r="29" ht="15.75" customHeight="1">
      <c r="A29" s="1"/>
      <c r="B29" s="73">
        <v>9.0</v>
      </c>
      <c r="C29" s="74"/>
      <c r="D29" s="76"/>
      <c r="E29" s="77"/>
      <c r="F29" s="1"/>
      <c r="G29" s="1"/>
      <c r="H29" s="1"/>
      <c r="I29" s="1"/>
      <c r="J29" s="1"/>
      <c r="K29" s="105" t="str">
        <f t="shared" si="2"/>
        <v>INDAH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2">
        <f t="shared" si="3"/>
        <v>100</v>
      </c>
      <c r="AD29" s="102" t="str">
        <f t="shared" si="4"/>
        <v>Sangat Baik</v>
      </c>
      <c r="AE29" s="102" t="str">
        <f t="shared" si="5"/>
        <v>Admin/CS</v>
      </c>
      <c r="AF29" s="102">
        <f t="shared" si="6"/>
        <v>1</v>
      </c>
      <c r="AG29" s="102" t="str">
        <f t="shared" si="7"/>
        <v>INDAH</v>
      </c>
    </row>
    <row r="30" ht="15.75" customHeight="1">
      <c r="A30" s="1"/>
      <c r="B30" s="82">
        <v>10.0</v>
      </c>
      <c r="C30" s="98"/>
      <c r="D30" s="99"/>
      <c r="E30" s="77"/>
      <c r="F30" s="1"/>
      <c r="G30" s="1"/>
      <c r="H30" s="1"/>
      <c r="I30" s="1"/>
      <c r="J30" s="1"/>
      <c r="K30" s="105" t="str">
        <f t="shared" si="2"/>
        <v>ADIF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2">
        <f t="shared" si="3"/>
        <v>100</v>
      </c>
      <c r="AD30" s="102" t="str">
        <f t="shared" si="4"/>
        <v>Sangat Baik</v>
      </c>
      <c r="AE30" s="102" t="str">
        <f t="shared" si="5"/>
        <v>Fotografer</v>
      </c>
      <c r="AF30" s="102">
        <f t="shared" si="6"/>
        <v>1</v>
      </c>
      <c r="AG30" s="102" t="str">
        <f t="shared" si="7"/>
        <v>ADIF</v>
      </c>
    </row>
    <row r="31" ht="15.75" customHeight="1">
      <c r="A31" s="1"/>
      <c r="B31" s="112">
        <v>11.0</v>
      </c>
      <c r="C31" s="114"/>
      <c r="D31" s="115"/>
      <c r="E31" s="77"/>
      <c r="F31" s="1"/>
      <c r="G31" s="1"/>
      <c r="H31" s="1"/>
      <c r="I31" s="1"/>
      <c r="J31" s="1"/>
      <c r="K31" s="105" t="str">
        <f t="shared" si="2"/>
        <v>ADIF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2">
        <f t="shared" si="3"/>
        <v>100</v>
      </c>
      <c r="AD31" s="102" t="str">
        <f t="shared" si="4"/>
        <v>Sangat Baik</v>
      </c>
      <c r="AE31" s="102" t="str">
        <f t="shared" si="5"/>
        <v>Fotografer</v>
      </c>
      <c r="AF31" s="102">
        <f t="shared" si="6"/>
        <v>1</v>
      </c>
      <c r="AG31" s="102" t="str">
        <f t="shared" si="7"/>
        <v>ADIF</v>
      </c>
    </row>
    <row r="32" ht="15.75" customHeight="1">
      <c r="A32" s="1"/>
      <c r="B32" s="1"/>
      <c r="C32" s="2"/>
      <c r="D32" s="116">
        <f>SUM(D21:D31)</f>
        <v>800000</v>
      </c>
      <c r="E32" s="1"/>
      <c r="F32" s="1"/>
      <c r="G32" s="1"/>
      <c r="H32" s="1"/>
      <c r="I32" s="1"/>
      <c r="J32" s="1"/>
      <c r="K32" s="105"/>
      <c r="L32" s="117"/>
      <c r="M32" s="117"/>
      <c r="N32" s="117"/>
      <c r="O32" s="117"/>
      <c r="P32" s="117"/>
      <c r="Q32" s="1"/>
      <c r="R32" s="1"/>
      <c r="AC32" s="102" t="str">
        <f t="shared" si="3"/>
        <v/>
      </c>
      <c r="AD32" s="102" t="str">
        <f t="shared" si="4"/>
        <v/>
      </c>
      <c r="AE32" s="102" t="str">
        <f t="shared" si="5"/>
        <v/>
      </c>
      <c r="AF32" s="102" t="str">
        <f t="shared" si="6"/>
        <v/>
      </c>
      <c r="AG32" s="10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5"/>
      <c r="L33" s="117"/>
      <c r="M33" s="117"/>
      <c r="N33" s="117"/>
      <c r="O33" s="117"/>
      <c r="P33" s="117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/>
      </c>
      <c r="AF33" s="102" t="str">
        <f t="shared" si="6"/>
        <v/>
      </c>
      <c r="AG33" s="10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20" t="s">
        <v>200</v>
      </c>
      <c r="N36" s="182"/>
      <c r="O36" s="1"/>
      <c r="P36" s="1"/>
      <c r="Q36" s="1"/>
      <c r="R36" s="1"/>
    </row>
    <row r="37" ht="15.75" customHeight="1">
      <c r="K37" s="122" t="s">
        <v>7</v>
      </c>
      <c r="L37" s="122" t="s">
        <v>201</v>
      </c>
      <c r="M37" s="122" t="s">
        <v>202</v>
      </c>
      <c r="N37" s="184" t="s">
        <v>203</v>
      </c>
    </row>
    <row r="38" ht="15.75" customHeight="1">
      <c r="K38" s="125" t="s">
        <v>38</v>
      </c>
      <c r="L38" s="126">
        <v>9.0</v>
      </c>
      <c r="M38" s="126" t="s">
        <v>402</v>
      </c>
      <c r="N38" s="190">
        <v>12.0</v>
      </c>
    </row>
    <row r="39" ht="15.75" customHeight="1">
      <c r="K39" s="125" t="s">
        <v>38</v>
      </c>
      <c r="L39" s="126" t="s">
        <v>403</v>
      </c>
      <c r="M39" s="128"/>
      <c r="N39" s="186"/>
    </row>
    <row r="40" ht="15.75" customHeight="1"/>
    <row r="41" ht="19.5" customHeight="1">
      <c r="K41" s="130" t="s">
        <v>205</v>
      </c>
    </row>
    <row r="42" ht="19.5" customHeight="1">
      <c r="K42" s="131" t="s">
        <v>206</v>
      </c>
      <c r="M42" s="126">
        <v>23.0</v>
      </c>
    </row>
    <row r="43" ht="19.5" customHeight="1">
      <c r="K43" s="137" t="s">
        <v>209</v>
      </c>
      <c r="M43" s="139">
        <f>COUNTIF($I$4:$I$19,"DP")</f>
        <v>7</v>
      </c>
    </row>
    <row r="44" ht="19.5" customHeight="1">
      <c r="K44" s="137" t="s">
        <v>210</v>
      </c>
      <c r="M44" s="139">
        <f>COUNTIFS($I$4:$I$19,"&lt;&gt;DP",$I$4:$I$19,"&lt;&gt;")</f>
        <v>5</v>
      </c>
    </row>
    <row r="45" ht="19.5" customHeight="1">
      <c r="K45" s="140" t="s">
        <v>211</v>
      </c>
      <c r="M45" s="139">
        <f>M43+M44</f>
        <v>12</v>
      </c>
    </row>
    <row r="46" ht="19.5" customHeight="1">
      <c r="K46" s="131" t="s">
        <v>212</v>
      </c>
      <c r="M46" s="143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31">
        <v>1.0</v>
      </c>
      <c r="C4" s="20" t="s">
        <v>371</v>
      </c>
      <c r="D4" s="18" t="s">
        <v>23</v>
      </c>
      <c r="E4" s="17"/>
      <c r="F4" s="157">
        <v>46312.0</v>
      </c>
      <c r="G4" s="183"/>
      <c r="H4" s="185">
        <v>100000.0</v>
      </c>
      <c r="I4" s="31" t="s">
        <v>27</v>
      </c>
      <c r="J4" s="16"/>
      <c r="K4" s="16"/>
      <c r="L4" s="31" t="s">
        <v>28</v>
      </c>
      <c r="M4" s="16"/>
      <c r="N4" s="33"/>
      <c r="O4" s="33"/>
      <c r="P4" s="35"/>
      <c r="Q4" s="1"/>
      <c r="R4" s="1"/>
    </row>
    <row r="5" ht="15.75" customHeight="1">
      <c r="A5" s="1"/>
      <c r="B5" s="31">
        <v>2.0</v>
      </c>
      <c r="C5" s="63" t="s">
        <v>380</v>
      </c>
      <c r="D5" s="18" t="s">
        <v>23</v>
      </c>
      <c r="E5" s="17"/>
      <c r="F5" s="157">
        <v>46312.0</v>
      </c>
      <c r="G5" s="183"/>
      <c r="H5" s="185">
        <v>100000.0</v>
      </c>
      <c r="I5" s="31" t="s">
        <v>27</v>
      </c>
      <c r="J5" s="16"/>
      <c r="K5" s="16"/>
      <c r="L5" s="31" t="s">
        <v>28</v>
      </c>
      <c r="M5" s="16"/>
      <c r="N5" s="33"/>
      <c r="O5" s="33"/>
      <c r="P5" s="35"/>
      <c r="Q5" s="1"/>
      <c r="R5" s="1"/>
    </row>
    <row r="6" ht="15.75" customHeight="1">
      <c r="A6" s="1"/>
      <c r="B6" s="31">
        <v>3.0</v>
      </c>
      <c r="C6" s="20" t="s">
        <v>324</v>
      </c>
      <c r="D6" s="18" t="s">
        <v>34</v>
      </c>
      <c r="E6" s="17"/>
      <c r="F6" s="157">
        <v>46312.0</v>
      </c>
      <c r="G6" s="183"/>
      <c r="H6" s="185">
        <v>375000.0</v>
      </c>
      <c r="I6" s="31" t="s">
        <v>30</v>
      </c>
      <c r="J6" s="31" t="s">
        <v>33</v>
      </c>
      <c r="K6" s="31" t="s">
        <v>36</v>
      </c>
      <c r="L6" s="31" t="s">
        <v>28</v>
      </c>
      <c r="M6" s="31" t="s">
        <v>43</v>
      </c>
      <c r="N6" s="33"/>
      <c r="O6" s="33"/>
      <c r="P6" s="35"/>
      <c r="Q6" s="1"/>
      <c r="R6" s="1"/>
    </row>
    <row r="7" ht="15.75" customHeight="1">
      <c r="A7" s="1"/>
      <c r="B7" s="31">
        <v>4.0</v>
      </c>
      <c r="C7" s="20" t="s">
        <v>381</v>
      </c>
      <c r="D7" s="18" t="s">
        <v>23</v>
      </c>
      <c r="E7" s="17"/>
      <c r="F7" s="157">
        <v>46312.0</v>
      </c>
      <c r="G7" s="183"/>
      <c r="H7" s="185">
        <v>100000.0</v>
      </c>
      <c r="I7" s="31" t="s">
        <v>27</v>
      </c>
      <c r="J7" s="16"/>
      <c r="K7" s="16"/>
      <c r="L7" s="31" t="s">
        <v>28</v>
      </c>
      <c r="M7" s="16"/>
      <c r="N7" s="33"/>
      <c r="O7" s="33"/>
      <c r="P7" s="35"/>
      <c r="Q7" s="1"/>
      <c r="R7" s="1"/>
    </row>
    <row r="8" ht="15.75" customHeight="1">
      <c r="A8" s="1"/>
      <c r="B8" s="31">
        <v>5.0</v>
      </c>
      <c r="C8" s="63" t="s">
        <v>382</v>
      </c>
      <c r="D8" s="18" t="s">
        <v>58</v>
      </c>
      <c r="E8" s="17"/>
      <c r="F8" s="157">
        <v>46314.0</v>
      </c>
      <c r="G8" s="183"/>
      <c r="H8" s="185">
        <v>100000.0</v>
      </c>
      <c r="I8" s="31" t="s">
        <v>30</v>
      </c>
      <c r="J8" s="16"/>
      <c r="K8" s="16"/>
      <c r="L8" s="31" t="s">
        <v>28</v>
      </c>
      <c r="M8" s="16"/>
      <c r="N8" s="33"/>
      <c r="O8" s="33"/>
      <c r="P8" s="35"/>
      <c r="Q8" s="1"/>
      <c r="R8" s="1"/>
    </row>
    <row r="9" ht="15.75" customHeight="1">
      <c r="A9" s="1"/>
      <c r="B9" s="31">
        <v>6.0</v>
      </c>
      <c r="C9" s="20" t="s">
        <v>383</v>
      </c>
      <c r="D9" s="18" t="s">
        <v>23</v>
      </c>
      <c r="E9" s="17"/>
      <c r="F9" s="157">
        <v>46312.0</v>
      </c>
      <c r="G9" s="187">
        <v>310000.0</v>
      </c>
      <c r="H9" s="188"/>
      <c r="I9" s="31" t="s">
        <v>30</v>
      </c>
      <c r="J9" s="31" t="s">
        <v>33</v>
      </c>
      <c r="K9" s="31" t="s">
        <v>36</v>
      </c>
      <c r="L9" s="31" t="s">
        <v>28</v>
      </c>
      <c r="M9" s="31" t="s">
        <v>60</v>
      </c>
      <c r="N9" s="33"/>
      <c r="O9" s="33"/>
      <c r="P9" s="35"/>
      <c r="Q9" s="1"/>
      <c r="R9" s="1"/>
    </row>
    <row r="10" ht="15.75" customHeight="1">
      <c r="A10" s="1"/>
      <c r="B10" s="31">
        <v>7.0</v>
      </c>
      <c r="C10" s="20" t="s">
        <v>385</v>
      </c>
      <c r="D10" s="18" t="s">
        <v>23</v>
      </c>
      <c r="E10" s="17"/>
      <c r="F10" s="157">
        <v>46312.0</v>
      </c>
      <c r="G10" s="187">
        <v>270000.0</v>
      </c>
      <c r="H10" s="188"/>
      <c r="I10" s="31" t="s">
        <v>30</v>
      </c>
      <c r="J10" s="31" t="s">
        <v>33</v>
      </c>
      <c r="K10" s="31" t="s">
        <v>36</v>
      </c>
      <c r="L10" s="31" t="s">
        <v>28</v>
      </c>
      <c r="M10" s="31" t="s">
        <v>43</v>
      </c>
      <c r="N10" s="33"/>
      <c r="O10" s="33"/>
      <c r="P10" s="35"/>
      <c r="Q10" s="1"/>
      <c r="R10" s="1"/>
    </row>
    <row r="11" ht="15.75" customHeight="1">
      <c r="A11" s="1"/>
      <c r="B11" s="31">
        <v>8.0</v>
      </c>
      <c r="C11" s="20" t="s">
        <v>386</v>
      </c>
      <c r="D11" s="18" t="s">
        <v>23</v>
      </c>
      <c r="E11" s="17"/>
      <c r="F11" s="157">
        <v>46312.0</v>
      </c>
      <c r="G11" s="183"/>
      <c r="H11" s="185">
        <v>330000.0</v>
      </c>
      <c r="I11" s="31" t="s">
        <v>30</v>
      </c>
      <c r="J11" s="31" t="s">
        <v>33</v>
      </c>
      <c r="K11" s="31" t="s">
        <v>36</v>
      </c>
      <c r="L11" s="31" t="s">
        <v>28</v>
      </c>
      <c r="M11" s="31" t="s">
        <v>60</v>
      </c>
      <c r="N11" s="33"/>
      <c r="O11" s="33"/>
      <c r="P11" s="35"/>
      <c r="Q11" s="1"/>
      <c r="R11" s="1"/>
    </row>
    <row r="12" ht="15.75" customHeight="1">
      <c r="A12" s="1"/>
      <c r="B12" s="31">
        <v>9.0</v>
      </c>
      <c r="C12" s="20" t="s">
        <v>387</v>
      </c>
      <c r="D12" s="18" t="s">
        <v>22</v>
      </c>
      <c r="E12" s="17"/>
      <c r="F12" s="157">
        <v>46312.0</v>
      </c>
      <c r="G12" s="187">
        <v>360000.0</v>
      </c>
      <c r="H12" s="188"/>
      <c r="I12" s="16"/>
      <c r="J12" s="16"/>
      <c r="K12" s="16"/>
      <c r="L12" s="31" t="s">
        <v>28</v>
      </c>
      <c r="M12" s="16"/>
      <c r="N12" s="33"/>
      <c r="O12" s="33"/>
      <c r="P12" s="35"/>
      <c r="Q12" s="1"/>
      <c r="R12" s="1"/>
    </row>
    <row r="13" ht="15.75" customHeight="1">
      <c r="A13" s="1"/>
      <c r="B13" s="31">
        <v>10.0</v>
      </c>
      <c r="C13" s="20" t="s">
        <v>361</v>
      </c>
      <c r="D13" s="18" t="s">
        <v>23</v>
      </c>
      <c r="E13" s="17"/>
      <c r="F13" s="157">
        <v>46312.0</v>
      </c>
      <c r="G13" s="183"/>
      <c r="H13" s="185">
        <v>220000.0</v>
      </c>
      <c r="I13" s="31" t="s">
        <v>30</v>
      </c>
      <c r="J13" s="31" t="s">
        <v>33</v>
      </c>
      <c r="K13" s="31" t="s">
        <v>36</v>
      </c>
      <c r="L13" s="31" t="s">
        <v>28</v>
      </c>
      <c r="M13" s="31" t="s">
        <v>43</v>
      </c>
      <c r="N13" s="33"/>
      <c r="O13" s="33"/>
      <c r="P13" s="35"/>
      <c r="Q13" s="1"/>
      <c r="R13" s="1"/>
    </row>
    <row r="14" ht="15.75" customHeight="1">
      <c r="A14" s="1"/>
      <c r="B14" s="31">
        <v>11.0</v>
      </c>
      <c r="C14" s="20" t="s">
        <v>389</v>
      </c>
      <c r="D14" s="18" t="s">
        <v>23</v>
      </c>
      <c r="E14" s="17"/>
      <c r="F14" s="157">
        <v>46312.0</v>
      </c>
      <c r="G14" s="159"/>
      <c r="H14" s="36">
        <v>270000.0</v>
      </c>
      <c r="I14" s="31" t="s">
        <v>30</v>
      </c>
      <c r="J14" s="31" t="s">
        <v>33</v>
      </c>
      <c r="K14" s="31" t="s">
        <v>36</v>
      </c>
      <c r="L14" s="31" t="s">
        <v>28</v>
      </c>
      <c r="M14" s="31" t="s">
        <v>60</v>
      </c>
      <c r="N14" s="33"/>
      <c r="O14" s="33"/>
      <c r="P14" s="35"/>
      <c r="Q14" s="1"/>
      <c r="R14" s="1"/>
    </row>
    <row r="15" ht="15.75" customHeight="1">
      <c r="A15" s="1"/>
      <c r="B15" s="31">
        <v>12.0</v>
      </c>
      <c r="C15" s="20" t="s">
        <v>377</v>
      </c>
      <c r="D15" s="18" t="s">
        <v>23</v>
      </c>
      <c r="E15" s="17"/>
      <c r="F15" s="157">
        <v>46312.0</v>
      </c>
      <c r="G15" s="162">
        <v>270000.0</v>
      </c>
      <c r="H15" s="62"/>
      <c r="I15" s="31" t="s">
        <v>30</v>
      </c>
      <c r="J15" s="31" t="s">
        <v>33</v>
      </c>
      <c r="K15" s="31" t="s">
        <v>36</v>
      </c>
      <c r="L15" s="31" t="s">
        <v>28</v>
      </c>
      <c r="M15" s="31" t="s">
        <v>43</v>
      </c>
      <c r="N15" s="43"/>
      <c r="O15" s="43"/>
      <c r="P15" s="43"/>
      <c r="Q15" s="1"/>
      <c r="R15" s="1"/>
    </row>
    <row r="16" ht="15.75" customHeight="1">
      <c r="A16" s="1"/>
      <c r="B16" s="31">
        <v>13.0</v>
      </c>
      <c r="C16" s="20" t="s">
        <v>370</v>
      </c>
      <c r="D16" s="18" t="s">
        <v>34</v>
      </c>
      <c r="E16" s="17"/>
      <c r="F16" s="157">
        <v>46312.0</v>
      </c>
      <c r="G16" s="162">
        <v>150000.0</v>
      </c>
      <c r="H16" s="62"/>
      <c r="I16" s="31" t="s">
        <v>30</v>
      </c>
      <c r="J16" s="31" t="s">
        <v>33</v>
      </c>
      <c r="K16" s="31" t="s">
        <v>36</v>
      </c>
      <c r="L16" s="31" t="s">
        <v>28</v>
      </c>
      <c r="M16" s="31" t="s">
        <v>60</v>
      </c>
      <c r="N16" s="43"/>
      <c r="O16" s="43"/>
      <c r="P16" s="43"/>
      <c r="Q16" s="1"/>
      <c r="R16" s="1"/>
    </row>
    <row r="17" ht="15.75" customHeight="1">
      <c r="A17" s="1"/>
      <c r="B17" s="31">
        <v>14.0</v>
      </c>
      <c r="C17" s="189" t="s">
        <v>392</v>
      </c>
      <c r="D17" s="18" t="s">
        <v>23</v>
      </c>
      <c r="E17" s="17"/>
      <c r="F17" s="157">
        <v>46312.0</v>
      </c>
      <c r="G17" s="159"/>
      <c r="H17" s="36">
        <v>270000.0</v>
      </c>
      <c r="I17" s="31" t="s">
        <v>30</v>
      </c>
      <c r="J17" s="31" t="s">
        <v>33</v>
      </c>
      <c r="K17" s="31" t="s">
        <v>36</v>
      </c>
      <c r="L17" s="31" t="s">
        <v>38</v>
      </c>
      <c r="M17" s="31" t="s">
        <v>43</v>
      </c>
      <c r="N17" s="43"/>
      <c r="O17" s="43"/>
      <c r="P17" s="43"/>
      <c r="Q17" s="1"/>
      <c r="R17" s="1"/>
    </row>
    <row r="18" ht="15.75" customHeight="1">
      <c r="A18" s="1"/>
      <c r="B18" s="31">
        <v>15.0</v>
      </c>
      <c r="C18" s="20" t="s">
        <v>394</v>
      </c>
      <c r="D18" s="18" t="s">
        <v>23</v>
      </c>
      <c r="E18" s="17"/>
      <c r="F18" s="157">
        <v>46312.0</v>
      </c>
      <c r="G18" s="162">
        <v>270000.0</v>
      </c>
      <c r="H18" s="62"/>
      <c r="I18" s="31" t="s">
        <v>30</v>
      </c>
      <c r="J18" s="31" t="s">
        <v>33</v>
      </c>
      <c r="K18" s="31" t="s">
        <v>36</v>
      </c>
      <c r="L18" s="31" t="s">
        <v>38</v>
      </c>
      <c r="M18" s="31" t="s">
        <v>60</v>
      </c>
      <c r="N18" s="43"/>
      <c r="O18" s="43"/>
      <c r="P18" s="43"/>
      <c r="Q18" s="1"/>
      <c r="R18" s="1"/>
    </row>
    <row r="19" ht="15.75" customHeight="1">
      <c r="A19" s="1"/>
      <c r="B19" s="31">
        <v>16.0</v>
      </c>
      <c r="C19" s="20" t="s">
        <v>396</v>
      </c>
      <c r="D19" s="18" t="s">
        <v>23</v>
      </c>
      <c r="E19" s="17"/>
      <c r="F19" s="157">
        <v>46312.0</v>
      </c>
      <c r="G19" s="162">
        <v>20000.0</v>
      </c>
      <c r="H19" s="36">
        <v>250000.0</v>
      </c>
      <c r="I19" s="31" t="s">
        <v>30</v>
      </c>
      <c r="J19" s="31" t="s">
        <v>33</v>
      </c>
      <c r="K19" s="31" t="s">
        <v>36</v>
      </c>
      <c r="L19" s="31" t="s">
        <v>38</v>
      </c>
      <c r="M19" s="31" t="s">
        <v>43</v>
      </c>
      <c r="N19" s="43"/>
      <c r="O19" s="43"/>
      <c r="P19" s="43"/>
      <c r="Q19" s="1"/>
      <c r="R19" s="1"/>
    </row>
    <row r="20" ht="15.75" customHeight="1">
      <c r="A20" s="1"/>
      <c r="B20" s="31">
        <v>17.0</v>
      </c>
      <c r="C20" s="20" t="s">
        <v>399</v>
      </c>
      <c r="D20" s="18" t="s">
        <v>23</v>
      </c>
      <c r="E20" s="17"/>
      <c r="F20" s="157">
        <v>46312.0</v>
      </c>
      <c r="G20" s="162">
        <v>420000.0</v>
      </c>
      <c r="H20" s="62"/>
      <c r="I20" s="31" t="s">
        <v>30</v>
      </c>
      <c r="J20" s="31" t="s">
        <v>33</v>
      </c>
      <c r="K20" s="31" t="s">
        <v>36</v>
      </c>
      <c r="L20" s="31" t="s">
        <v>38</v>
      </c>
      <c r="M20" s="31" t="s">
        <v>43</v>
      </c>
      <c r="N20" s="43"/>
      <c r="O20" s="43"/>
      <c r="P20" s="43"/>
      <c r="Q20" s="1"/>
      <c r="R20" s="1"/>
    </row>
    <row r="21" ht="15.75" customHeight="1">
      <c r="A21" s="1"/>
      <c r="B21" s="31">
        <v>18.0</v>
      </c>
      <c r="C21" s="19" t="s">
        <v>366</v>
      </c>
      <c r="D21" s="18" t="s">
        <v>23</v>
      </c>
      <c r="E21" s="17"/>
      <c r="F21" s="157">
        <v>46312.0</v>
      </c>
      <c r="G21" s="36">
        <v>250000.0</v>
      </c>
      <c r="H21" s="62"/>
      <c r="I21" s="31" t="s">
        <v>30</v>
      </c>
      <c r="J21" s="31" t="s">
        <v>33</v>
      </c>
      <c r="K21" s="31" t="s">
        <v>36</v>
      </c>
      <c r="L21" s="31" t="s">
        <v>28</v>
      </c>
      <c r="M21" s="31" t="s">
        <v>60</v>
      </c>
      <c r="N21" s="43"/>
      <c r="O21" s="43"/>
      <c r="P21" s="43"/>
      <c r="Q21" s="1"/>
      <c r="R21" s="1"/>
    </row>
    <row r="22" ht="15.75" customHeight="1">
      <c r="A22" s="1"/>
      <c r="B22" s="31">
        <v>19.0</v>
      </c>
      <c r="C22" s="20" t="s">
        <v>405</v>
      </c>
      <c r="D22" s="18" t="s">
        <v>23</v>
      </c>
      <c r="E22" s="17"/>
      <c r="F22" s="157">
        <v>46312.0</v>
      </c>
      <c r="G22" s="162">
        <v>370000.0</v>
      </c>
      <c r="H22" s="62"/>
      <c r="I22" s="31" t="s">
        <v>30</v>
      </c>
      <c r="J22" s="31" t="s">
        <v>33</v>
      </c>
      <c r="K22" s="31" t="s">
        <v>36</v>
      </c>
      <c r="L22" s="31" t="s">
        <v>38</v>
      </c>
      <c r="M22" s="31" t="s">
        <v>43</v>
      </c>
      <c r="N22" s="43"/>
      <c r="O22" s="43"/>
      <c r="P22" s="43"/>
      <c r="Q22" s="1"/>
      <c r="R22" s="1"/>
    </row>
    <row r="23" ht="15.75" customHeight="1">
      <c r="A23" s="1"/>
      <c r="B23" s="31">
        <v>20.0</v>
      </c>
      <c r="C23" s="20" t="s">
        <v>406</v>
      </c>
      <c r="D23" s="18" t="s">
        <v>23</v>
      </c>
      <c r="E23" s="17"/>
      <c r="F23" s="157">
        <v>46312.0</v>
      </c>
      <c r="G23" s="159"/>
      <c r="H23" s="36">
        <v>250000.0</v>
      </c>
      <c r="I23" s="31" t="s">
        <v>30</v>
      </c>
      <c r="J23" s="31" t="s">
        <v>33</v>
      </c>
      <c r="K23" s="31" t="s">
        <v>36</v>
      </c>
      <c r="L23" s="31" t="s">
        <v>38</v>
      </c>
      <c r="M23" s="31" t="s">
        <v>43</v>
      </c>
      <c r="N23" s="43"/>
      <c r="O23" s="43"/>
      <c r="P23" s="43"/>
      <c r="Q23" s="1"/>
      <c r="R23" s="1"/>
    </row>
    <row r="24" ht="15.75" customHeight="1">
      <c r="A24" s="1"/>
      <c r="B24" s="31">
        <v>21.0</v>
      </c>
      <c r="C24" s="20" t="s">
        <v>408</v>
      </c>
      <c r="D24" s="18" t="s">
        <v>34</v>
      </c>
      <c r="E24" s="17"/>
      <c r="F24" s="157">
        <v>46316.0</v>
      </c>
      <c r="G24" s="159"/>
      <c r="H24" s="36">
        <v>100000.0</v>
      </c>
      <c r="I24" s="31" t="s">
        <v>27</v>
      </c>
      <c r="J24" s="16"/>
      <c r="K24" s="16"/>
      <c r="L24" s="31" t="s">
        <v>38</v>
      </c>
      <c r="M24" s="16"/>
      <c r="N24" s="43"/>
      <c r="O24" s="43"/>
      <c r="P24" s="43"/>
      <c r="Q24" s="1"/>
      <c r="R24" s="1"/>
    </row>
    <row r="25" ht="15.75" customHeight="1">
      <c r="A25" s="1"/>
      <c r="B25" s="31">
        <v>22.0</v>
      </c>
      <c r="C25" s="20" t="s">
        <v>409</v>
      </c>
      <c r="D25" s="18" t="s">
        <v>23</v>
      </c>
      <c r="E25" s="17"/>
      <c r="F25" s="157">
        <v>46312.0</v>
      </c>
      <c r="G25" s="159"/>
      <c r="H25" s="36">
        <v>250000.0</v>
      </c>
      <c r="I25" s="31" t="s">
        <v>30</v>
      </c>
      <c r="J25" s="31" t="s">
        <v>33</v>
      </c>
      <c r="K25" s="31" t="s">
        <v>36</v>
      </c>
      <c r="L25" s="31" t="s">
        <v>28</v>
      </c>
      <c r="M25" s="31" t="s">
        <v>60</v>
      </c>
      <c r="N25" s="43"/>
      <c r="O25" s="43"/>
      <c r="P25" s="43"/>
      <c r="Q25" s="1"/>
      <c r="R25" s="1"/>
    </row>
    <row r="26" ht="15.75" customHeight="1">
      <c r="A26" s="1"/>
      <c r="B26" s="31">
        <v>23.0</v>
      </c>
      <c r="C26" s="20" t="s">
        <v>360</v>
      </c>
      <c r="D26" s="18" t="s">
        <v>23</v>
      </c>
      <c r="E26" s="17"/>
      <c r="F26" s="157">
        <v>46312.0</v>
      </c>
      <c r="G26" s="159"/>
      <c r="H26" s="36">
        <v>250000.0</v>
      </c>
      <c r="I26" s="31" t="s">
        <v>30</v>
      </c>
      <c r="J26" s="31" t="s">
        <v>33</v>
      </c>
      <c r="K26" s="31" t="s">
        <v>36</v>
      </c>
      <c r="L26" s="31" t="s">
        <v>38</v>
      </c>
      <c r="M26" s="31" t="s">
        <v>60</v>
      </c>
      <c r="N26" s="43"/>
      <c r="O26" s="43"/>
      <c r="P26" s="43"/>
      <c r="Q26" s="1"/>
      <c r="R26" s="1"/>
    </row>
    <row r="27" ht="15.75" customHeight="1">
      <c r="A27" s="1"/>
      <c r="B27" s="31">
        <v>24.0</v>
      </c>
      <c r="C27" s="20" t="s">
        <v>363</v>
      </c>
      <c r="D27" s="18" t="s">
        <v>23</v>
      </c>
      <c r="E27" s="17"/>
      <c r="F27" s="157">
        <v>46312.0</v>
      </c>
      <c r="G27" s="162">
        <v>250000.0</v>
      </c>
      <c r="H27" s="62"/>
      <c r="I27" s="31" t="s">
        <v>30</v>
      </c>
      <c r="J27" s="31" t="s">
        <v>33</v>
      </c>
      <c r="K27" s="31" t="s">
        <v>36</v>
      </c>
      <c r="L27" s="31" t="s">
        <v>38</v>
      </c>
      <c r="M27" s="31" t="s">
        <v>43</v>
      </c>
      <c r="N27" s="43"/>
      <c r="O27" s="43"/>
      <c r="P27" s="43"/>
      <c r="Q27" s="1"/>
      <c r="R27" s="1"/>
    </row>
    <row r="28" ht="15.75" customHeight="1">
      <c r="A28" s="1"/>
      <c r="B28" s="31">
        <v>25.0</v>
      </c>
      <c r="C28" s="20" t="s">
        <v>410</v>
      </c>
      <c r="D28" s="18" t="s">
        <v>23</v>
      </c>
      <c r="E28" s="17"/>
      <c r="F28" s="157">
        <v>46312.0</v>
      </c>
      <c r="G28" s="159"/>
      <c r="H28" s="36">
        <v>250000.0</v>
      </c>
      <c r="I28" s="31" t="s">
        <v>30</v>
      </c>
      <c r="J28" s="31" t="s">
        <v>33</v>
      </c>
      <c r="K28" s="31" t="s">
        <v>36</v>
      </c>
      <c r="L28" s="31" t="s">
        <v>38</v>
      </c>
      <c r="M28" s="31" t="s">
        <v>43</v>
      </c>
      <c r="N28" s="43"/>
      <c r="O28" s="43"/>
      <c r="P28" s="43"/>
      <c r="Q28" s="1"/>
      <c r="R28" s="1"/>
    </row>
    <row r="29" ht="15.75" customHeight="1">
      <c r="A29" s="1"/>
      <c r="B29" s="31">
        <v>26.0</v>
      </c>
      <c r="C29" s="20" t="s">
        <v>364</v>
      </c>
      <c r="D29" s="18" t="s">
        <v>73</v>
      </c>
      <c r="E29" s="17"/>
      <c r="F29" s="157">
        <v>46312.0</v>
      </c>
      <c r="G29" s="159"/>
      <c r="H29" s="36">
        <v>200000.0</v>
      </c>
      <c r="I29" s="31" t="s">
        <v>30</v>
      </c>
      <c r="J29" s="31" t="s">
        <v>44</v>
      </c>
      <c r="K29" s="16"/>
      <c r="L29" s="31" t="s">
        <v>38</v>
      </c>
      <c r="M29" s="16"/>
      <c r="N29" s="43"/>
      <c r="O29" s="43"/>
      <c r="P29" s="43"/>
      <c r="Q29" s="1"/>
      <c r="R29" s="1"/>
    </row>
    <row r="30" ht="15.75" customHeight="1">
      <c r="A30" s="1"/>
      <c r="B30" s="31">
        <v>27.0</v>
      </c>
      <c r="C30" s="20" t="s">
        <v>411</v>
      </c>
      <c r="D30" s="18" t="s">
        <v>23</v>
      </c>
      <c r="E30" s="17"/>
      <c r="F30" s="157">
        <v>46312.0</v>
      </c>
      <c r="G30" s="159"/>
      <c r="H30" s="36">
        <v>290000.0</v>
      </c>
      <c r="I30" s="31" t="s">
        <v>30</v>
      </c>
      <c r="J30" s="31" t="s">
        <v>33</v>
      </c>
      <c r="K30" s="31" t="s">
        <v>36</v>
      </c>
      <c r="L30" s="31" t="s">
        <v>38</v>
      </c>
      <c r="M30" s="31" t="s">
        <v>43</v>
      </c>
      <c r="N30" s="43"/>
      <c r="O30" s="43"/>
      <c r="P30" s="43"/>
      <c r="Q30" s="1"/>
      <c r="R30" s="1"/>
    </row>
    <row r="31" ht="15.75" customHeight="1">
      <c r="A31" s="1"/>
      <c r="B31" s="31">
        <v>28.0</v>
      </c>
      <c r="C31" s="80"/>
      <c r="D31" s="68"/>
      <c r="E31" s="17"/>
      <c r="F31" s="16"/>
      <c r="G31" s="159"/>
      <c r="H31" s="62"/>
      <c r="I31" s="16"/>
      <c r="J31" s="16"/>
      <c r="K31" s="16"/>
      <c r="L31" s="16"/>
      <c r="M31" s="16"/>
      <c r="N31" s="43"/>
      <c r="O31" s="43"/>
      <c r="P31" s="43"/>
      <c r="Q31" s="1"/>
      <c r="R31" s="1"/>
    </row>
    <row r="32" ht="15.75" customHeight="1">
      <c r="A32" s="1"/>
      <c r="B32" s="31">
        <v>29.0</v>
      </c>
      <c r="C32" s="80"/>
      <c r="D32" s="68"/>
      <c r="E32" s="17"/>
      <c r="F32" s="16"/>
      <c r="G32" s="159"/>
      <c r="H32" s="62"/>
      <c r="I32" s="16"/>
      <c r="J32" s="16"/>
      <c r="K32" s="16"/>
      <c r="L32" s="16"/>
      <c r="M32" s="16"/>
      <c r="N32" s="43"/>
      <c r="O32" s="43"/>
      <c r="P32" s="43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24">
        <f t="shared" ref="G33:H33" si="1">SUM(G4:G32)</f>
        <v>2940000</v>
      </c>
      <c r="H33" s="78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1" t="s">
        <v>0</v>
      </c>
      <c r="C36" s="72" t="s">
        <v>6</v>
      </c>
      <c r="D36" s="72" t="s">
        <v>115</v>
      </c>
      <c r="E36" s="1"/>
      <c r="F36" s="1"/>
      <c r="G36" s="1"/>
      <c r="H36" s="1"/>
      <c r="I36" s="1"/>
      <c r="J36" s="1"/>
      <c r="K36" s="1"/>
      <c r="L36" s="1"/>
      <c r="M36" s="1"/>
      <c r="N36" s="72" t="s">
        <v>117</v>
      </c>
      <c r="O36" s="72" t="s">
        <v>1</v>
      </c>
      <c r="P36" s="1"/>
      <c r="Q36" s="1"/>
      <c r="R36" s="1"/>
    </row>
    <row r="37" ht="15.75" customHeight="1">
      <c r="A37" s="1"/>
      <c r="B37" s="73">
        <v>1.0</v>
      </c>
      <c r="C37" s="74" t="s">
        <v>119</v>
      </c>
      <c r="D37" s="76">
        <f>SUM(G33)</f>
        <v>2940000</v>
      </c>
      <c r="E37" s="77"/>
      <c r="F37" s="1"/>
      <c r="G37" s="1"/>
      <c r="H37" s="1"/>
      <c r="I37" s="1"/>
      <c r="J37" s="1"/>
      <c r="K37" s="1"/>
      <c r="L37" s="1"/>
      <c r="M37" s="9" t="s">
        <v>414</v>
      </c>
      <c r="N37" s="79" t="s">
        <v>123</v>
      </c>
      <c r="O37" s="81" t="s">
        <v>28</v>
      </c>
      <c r="P37" s="1"/>
      <c r="Q37" s="1"/>
      <c r="R37" s="1"/>
    </row>
    <row r="38" ht="15.75" customHeight="1">
      <c r="A38" s="1"/>
      <c r="B38" s="82">
        <v>2.0</v>
      </c>
      <c r="C38" s="173" t="s">
        <v>415</v>
      </c>
      <c r="D38" s="142">
        <v>-50000.0</v>
      </c>
      <c r="E38" s="77"/>
      <c r="F38" s="1"/>
      <c r="G38" s="1"/>
      <c r="H38" s="1"/>
      <c r="I38" s="1"/>
      <c r="J38" s="1"/>
      <c r="K38" s="1"/>
      <c r="L38" s="1"/>
      <c r="M38" s="1"/>
      <c r="N38" s="85" t="s">
        <v>129</v>
      </c>
      <c r="O38" s="86" t="s">
        <v>38</v>
      </c>
      <c r="P38" s="1"/>
      <c r="Q38" s="1"/>
      <c r="R38" s="1"/>
    </row>
    <row r="39" ht="15.75" customHeight="1">
      <c r="A39" s="1"/>
      <c r="B39" s="73">
        <v>3.0</v>
      </c>
      <c r="C39" s="141" t="s">
        <v>416</v>
      </c>
      <c r="D39" s="181">
        <v>-40000.0</v>
      </c>
      <c r="E39" s="77"/>
      <c r="F39" s="1"/>
      <c r="G39" s="1"/>
      <c r="H39" s="1"/>
      <c r="I39" s="1"/>
      <c r="J39" s="1"/>
      <c r="K39" s="1"/>
      <c r="L39" s="1"/>
      <c r="M39" s="9" t="s">
        <v>417</v>
      </c>
      <c r="N39" s="89" t="s">
        <v>134</v>
      </c>
      <c r="O39" s="90" t="s">
        <v>43</v>
      </c>
      <c r="P39" s="1"/>
      <c r="Q39" s="1"/>
      <c r="R39" s="1"/>
    </row>
    <row r="40" ht="15.75" customHeight="1">
      <c r="A40" s="1"/>
      <c r="B40" s="82">
        <v>4.0</v>
      </c>
      <c r="C40" s="173" t="s">
        <v>297</v>
      </c>
      <c r="D40" s="142">
        <v>-250000.0</v>
      </c>
      <c r="E40" s="77"/>
      <c r="F40" s="1"/>
      <c r="G40" s="1"/>
      <c r="H40" s="1"/>
      <c r="I40" s="1"/>
      <c r="J40" s="1"/>
      <c r="K40" s="1"/>
      <c r="L40" s="1"/>
      <c r="M40" s="1"/>
      <c r="N40" s="93" t="s">
        <v>137</v>
      </c>
      <c r="O40" s="86" t="s">
        <v>60</v>
      </c>
      <c r="P40" s="1"/>
      <c r="Q40" s="1"/>
      <c r="R40" s="1"/>
    </row>
    <row r="41" ht="15.75" customHeight="1">
      <c r="A41" s="1"/>
      <c r="B41" s="73">
        <v>5.0</v>
      </c>
      <c r="C41" s="74"/>
      <c r="D41" s="76"/>
      <c r="E41" s="77"/>
      <c r="F41" s="97"/>
      <c r="G41" s="1"/>
      <c r="H41" s="1"/>
      <c r="I41" s="1"/>
      <c r="J41" s="1"/>
      <c r="K41" s="1"/>
      <c r="L41" s="1"/>
      <c r="M41" s="1"/>
      <c r="N41" s="95"/>
      <c r="O41" s="1"/>
      <c r="P41" s="1"/>
      <c r="Q41" s="1"/>
      <c r="R41" s="1"/>
    </row>
    <row r="42" ht="15.75" customHeight="1">
      <c r="A42" s="1"/>
      <c r="B42" s="82">
        <v>6.0</v>
      </c>
      <c r="C42" s="98"/>
      <c r="D42" s="99"/>
      <c r="E42" s="77"/>
      <c r="F42" s="97"/>
      <c r="G42" s="1"/>
      <c r="H42" s="1"/>
      <c r="I42" s="1"/>
      <c r="J42" s="1"/>
      <c r="K42" s="100" t="s">
        <v>142</v>
      </c>
      <c r="Q42" s="1"/>
      <c r="R42" s="1"/>
    </row>
    <row r="43" ht="15.75" customHeight="1">
      <c r="A43" s="1"/>
      <c r="B43" s="73">
        <v>7.0</v>
      </c>
      <c r="C43" s="74"/>
      <c r="D43" s="76"/>
      <c r="E43" s="77"/>
      <c r="F43" s="1"/>
      <c r="G43" s="1"/>
      <c r="H43" s="1"/>
      <c r="I43" s="1"/>
      <c r="J43" s="1"/>
      <c r="K43" s="101" t="s">
        <v>1</v>
      </c>
      <c r="L43" s="101" t="s">
        <v>145</v>
      </c>
      <c r="M43" s="101" t="s">
        <v>146</v>
      </c>
      <c r="N43" s="101" t="s">
        <v>147</v>
      </c>
      <c r="O43" s="101" t="s">
        <v>148</v>
      </c>
      <c r="P43" s="101" t="s">
        <v>149</v>
      </c>
      <c r="Q43" s="1"/>
      <c r="R43" s="1"/>
      <c r="AC43" s="102" t="s">
        <v>150</v>
      </c>
      <c r="AD43" s="102" t="s">
        <v>151</v>
      </c>
      <c r="AE43" s="102" t="s">
        <v>153</v>
      </c>
      <c r="AF43" s="102" t="s">
        <v>155</v>
      </c>
      <c r="AG43" s="102" t="s">
        <v>156</v>
      </c>
    </row>
    <row r="44" ht="15.75" customHeight="1">
      <c r="A44" s="1"/>
      <c r="B44" s="82">
        <v>8.0</v>
      </c>
      <c r="C44" s="98"/>
      <c r="D44" s="99"/>
      <c r="E44" s="77"/>
      <c r="F44" s="1"/>
      <c r="G44" s="1"/>
      <c r="H44" s="1"/>
      <c r="I44" s="1"/>
      <c r="J44" s="1"/>
      <c r="K44" s="105" t="str">
        <f t="shared" ref="K44:K47" si="2">IF(O37="","",O37)</f>
        <v>AMEL</v>
      </c>
      <c r="L44" s="144">
        <v>5.0</v>
      </c>
      <c r="M44" s="144">
        <v>5.0</v>
      </c>
      <c r="N44" s="144">
        <v>5.0</v>
      </c>
      <c r="O44" s="144">
        <v>5.0</v>
      </c>
      <c r="P44" s="144">
        <v>5.0</v>
      </c>
      <c r="Q44" s="1"/>
      <c r="R44" s="1"/>
      <c r="AC44" s="102">
        <f t="shared" ref="AC44:AC49" si="3">IF(AG44="","",IF(COUNT(L44:P44)&lt;5,"",L44/5*20+M44/5*25+N44/5*25+O44/5*15+P44/5*15))</f>
        <v>100</v>
      </c>
      <c r="AD44" s="102" t="str">
        <f t="shared" ref="AD44:AD49" si="4">IF(AC44="","",IF(AC44&gt;=90,"Sangat Baik",IF(AC44&gt;=80,"Baik",IF(AC44&gt;=70,"Coaching","Underperform"))))</f>
        <v>Sangat Baik</v>
      </c>
      <c r="AE44" s="102" t="str">
        <f t="shared" ref="AE44:AE49" si="5">IF(AG44="","",IF(OR(AG44="INDAH",AG44="ADDEL",AG44="AMEL",AG44="PENTIL",AG44="JIJANG"),"Admin/CS","Fotografer"))</f>
        <v>Admin/CS</v>
      </c>
      <c r="AF44" s="102">
        <f t="shared" ref="AF44:AF49" si="6">IF(OR(AG44="",COUNT(L44:P44)&lt;5),"",1)</f>
        <v>1</v>
      </c>
      <c r="AG44" s="102" t="str">
        <f t="shared" ref="AG44:AG49" si="7">IFERROR(K44,"")</f>
        <v>AMEL</v>
      </c>
    </row>
    <row r="45" ht="15.75" customHeight="1">
      <c r="A45" s="1"/>
      <c r="B45" s="73">
        <v>9.0</v>
      </c>
      <c r="C45" s="74"/>
      <c r="D45" s="76"/>
      <c r="E45" s="77"/>
      <c r="F45" s="1"/>
      <c r="G45" s="1"/>
      <c r="H45" s="1"/>
      <c r="I45" s="1"/>
      <c r="J45" s="1"/>
      <c r="K45" s="105" t="str">
        <f t="shared" si="2"/>
        <v>INDAH</v>
      </c>
      <c r="L45" s="144">
        <v>5.0</v>
      </c>
      <c r="M45" s="144">
        <v>5.0</v>
      </c>
      <c r="N45" s="144">
        <v>5.0</v>
      </c>
      <c r="O45" s="144">
        <v>5.0</v>
      </c>
      <c r="P45" s="144">
        <v>5.0</v>
      </c>
      <c r="Q45" s="1"/>
      <c r="R45" s="1"/>
      <c r="AC45" s="102">
        <f t="shared" si="3"/>
        <v>100</v>
      </c>
      <c r="AD45" s="102" t="str">
        <f t="shared" si="4"/>
        <v>Sangat Baik</v>
      </c>
      <c r="AE45" s="102" t="str">
        <f t="shared" si="5"/>
        <v>Admin/CS</v>
      </c>
      <c r="AF45" s="102">
        <f t="shared" si="6"/>
        <v>1</v>
      </c>
      <c r="AG45" s="102" t="str">
        <f t="shared" si="7"/>
        <v>INDAH</v>
      </c>
    </row>
    <row r="46" ht="15.75" customHeight="1">
      <c r="A46" s="1"/>
      <c r="B46" s="82">
        <v>10.0</v>
      </c>
      <c r="C46" s="98"/>
      <c r="D46" s="99"/>
      <c r="E46" s="77"/>
      <c r="F46" s="1"/>
      <c r="G46" s="1"/>
      <c r="H46" s="1"/>
      <c r="I46" s="1"/>
      <c r="J46" s="1"/>
      <c r="K46" s="105" t="str">
        <f t="shared" si="2"/>
        <v>ADIF</v>
      </c>
      <c r="L46" s="144">
        <v>5.0</v>
      </c>
      <c r="M46" s="144">
        <v>5.0</v>
      </c>
      <c r="N46" s="144">
        <v>5.0</v>
      </c>
      <c r="O46" s="144">
        <v>5.0</v>
      </c>
      <c r="P46" s="144">
        <v>5.0</v>
      </c>
      <c r="Q46" s="1"/>
      <c r="R46" s="1"/>
      <c r="AC46" s="102">
        <f t="shared" si="3"/>
        <v>100</v>
      </c>
      <c r="AD46" s="102" t="str">
        <f t="shared" si="4"/>
        <v>Sangat Baik</v>
      </c>
      <c r="AE46" s="102" t="str">
        <f t="shared" si="5"/>
        <v>Fotografer</v>
      </c>
      <c r="AF46" s="102">
        <f t="shared" si="6"/>
        <v>1</v>
      </c>
      <c r="AG46" s="102" t="str">
        <f t="shared" si="7"/>
        <v>ADIF</v>
      </c>
    </row>
    <row r="47" ht="15.75" customHeight="1">
      <c r="A47" s="1"/>
      <c r="B47" s="112">
        <v>11.0</v>
      </c>
      <c r="C47" s="114"/>
      <c r="D47" s="115"/>
      <c r="E47" s="77"/>
      <c r="F47" s="1"/>
      <c r="G47" s="1"/>
      <c r="H47" s="1"/>
      <c r="I47" s="1"/>
      <c r="J47" s="1"/>
      <c r="K47" s="105" t="str">
        <f t="shared" si="2"/>
        <v>SAKA</v>
      </c>
      <c r="L47" s="144">
        <v>5.0</v>
      </c>
      <c r="M47" s="144">
        <v>5.0</v>
      </c>
      <c r="N47" s="144">
        <v>5.0</v>
      </c>
      <c r="O47" s="144">
        <v>5.0</v>
      </c>
      <c r="P47" s="144">
        <v>5.0</v>
      </c>
      <c r="Q47" s="1"/>
      <c r="R47" s="1"/>
      <c r="AC47" s="102">
        <f t="shared" si="3"/>
        <v>100</v>
      </c>
      <c r="AD47" s="102" t="str">
        <f t="shared" si="4"/>
        <v>Sangat Baik</v>
      </c>
      <c r="AE47" s="102" t="str">
        <f t="shared" si="5"/>
        <v>Fotografer</v>
      </c>
      <c r="AF47" s="102">
        <f t="shared" si="6"/>
        <v>1</v>
      </c>
      <c r="AG47" s="102" t="str">
        <f t="shared" si="7"/>
        <v>SAKA</v>
      </c>
    </row>
    <row r="48" ht="15.75" customHeight="1">
      <c r="A48" s="1"/>
      <c r="B48" s="1"/>
      <c r="C48" s="2"/>
      <c r="D48" s="116">
        <f>SUM(D37:D47)</f>
        <v>2600000</v>
      </c>
      <c r="E48" s="1"/>
      <c r="F48" s="1"/>
      <c r="G48" s="1"/>
      <c r="H48" s="1"/>
      <c r="I48" s="1"/>
      <c r="J48" s="1"/>
      <c r="K48" s="105"/>
      <c r="L48" s="117"/>
      <c r="M48" s="117"/>
      <c r="N48" s="117"/>
      <c r="O48" s="117"/>
      <c r="P48" s="117"/>
      <c r="Q48" s="1"/>
      <c r="R48" s="1"/>
      <c r="AC48" s="102" t="str">
        <f t="shared" si="3"/>
        <v/>
      </c>
      <c r="AD48" s="102" t="str">
        <f t="shared" si="4"/>
        <v/>
      </c>
      <c r="AE48" s="102" t="str">
        <f t="shared" si="5"/>
        <v/>
      </c>
      <c r="AF48" s="102" t="str">
        <f t="shared" si="6"/>
        <v/>
      </c>
      <c r="AG48" s="102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5"/>
      <c r="L49" s="117"/>
      <c r="M49" s="117"/>
      <c r="N49" s="117"/>
      <c r="O49" s="117"/>
      <c r="P49" s="117"/>
      <c r="Q49" s="1"/>
      <c r="R49" s="1"/>
      <c r="AC49" s="102" t="str">
        <f t="shared" si="3"/>
        <v/>
      </c>
      <c r="AD49" s="102" t="str">
        <f t="shared" si="4"/>
        <v/>
      </c>
      <c r="AE49" s="102" t="str">
        <f t="shared" si="5"/>
        <v/>
      </c>
      <c r="AF49" s="102" t="str">
        <f t="shared" si="6"/>
        <v/>
      </c>
      <c r="AG49" s="102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9" t="s">
        <v>199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20" t="s">
        <v>200</v>
      </c>
      <c r="N52" s="182"/>
      <c r="O52" s="1"/>
      <c r="P52" s="1"/>
      <c r="Q52" s="1"/>
      <c r="R52" s="1"/>
    </row>
    <row r="53" ht="15.75" customHeight="1">
      <c r="K53" s="122" t="s">
        <v>7</v>
      </c>
      <c r="L53" s="122" t="s">
        <v>201</v>
      </c>
      <c r="M53" s="122" t="s">
        <v>202</v>
      </c>
      <c r="N53" s="184" t="s">
        <v>203</v>
      </c>
    </row>
    <row r="54" ht="15.75" customHeight="1">
      <c r="K54" s="125" t="str">
        <f t="shared" ref="K54:K55" si="8">IF(O37="","",O37)</f>
        <v>AMEL</v>
      </c>
      <c r="L54" s="126">
        <v>4.0</v>
      </c>
      <c r="M54" s="128"/>
      <c r="N54" s="186"/>
    </row>
    <row r="55" ht="15.75" customHeight="1">
      <c r="K55" s="125" t="str">
        <f t="shared" si="8"/>
        <v>INDAH</v>
      </c>
      <c r="L55" s="126">
        <v>1.0</v>
      </c>
      <c r="M55" s="128"/>
      <c r="N55" s="186"/>
    </row>
    <row r="56" ht="15.75" customHeight="1"/>
    <row r="57" ht="19.5" customHeight="1">
      <c r="K57" s="130" t="s">
        <v>205</v>
      </c>
    </row>
    <row r="58" ht="19.5" customHeight="1">
      <c r="K58" s="131" t="s">
        <v>206</v>
      </c>
      <c r="M58" s="126">
        <v>21.0</v>
      </c>
    </row>
    <row r="59" ht="19.5" customHeight="1">
      <c r="K59" s="137" t="s">
        <v>209</v>
      </c>
      <c r="M59" s="150">
        <v>4.0</v>
      </c>
    </row>
    <row r="60" ht="19.5" customHeight="1">
      <c r="K60" s="137" t="s">
        <v>210</v>
      </c>
      <c r="M60" s="150">
        <v>21.0</v>
      </c>
    </row>
    <row r="61" ht="19.5" customHeight="1">
      <c r="K61" s="140" t="s">
        <v>211</v>
      </c>
      <c r="M61" s="139">
        <f>M59+M60</f>
        <v>25</v>
      </c>
    </row>
    <row r="62" ht="19.5" customHeight="1">
      <c r="K62" s="131" t="s">
        <v>212</v>
      </c>
      <c r="M62" s="143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0" t="s">
        <v>384</v>
      </c>
      <c r="D4" s="18" t="s">
        <v>34</v>
      </c>
      <c r="E4" s="17"/>
      <c r="F4" s="157">
        <v>46314.0</v>
      </c>
      <c r="G4" s="159"/>
      <c r="H4" s="36">
        <v>100000.0</v>
      </c>
      <c r="I4" s="31" t="s">
        <v>27</v>
      </c>
      <c r="J4" s="16"/>
      <c r="K4" s="16"/>
      <c r="L4" s="31" t="s">
        <v>28</v>
      </c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20" t="s">
        <v>388</v>
      </c>
      <c r="D5" s="18" t="s">
        <v>189</v>
      </c>
      <c r="E5" s="17"/>
      <c r="F5" s="157">
        <v>46313.0</v>
      </c>
      <c r="G5" s="162" t="s">
        <v>44</v>
      </c>
      <c r="H5" s="36" t="s">
        <v>44</v>
      </c>
      <c r="I5" s="31" t="s">
        <v>30</v>
      </c>
      <c r="J5" s="31" t="s">
        <v>33</v>
      </c>
      <c r="K5" s="31" t="s">
        <v>33</v>
      </c>
      <c r="L5" s="31" t="s">
        <v>28</v>
      </c>
      <c r="M5" s="31" t="s">
        <v>43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390</v>
      </c>
      <c r="D6" s="18" t="s">
        <v>34</v>
      </c>
      <c r="E6" s="17"/>
      <c r="F6" s="157">
        <v>46313.0</v>
      </c>
      <c r="G6" s="159"/>
      <c r="H6" s="36">
        <v>100000.0</v>
      </c>
      <c r="I6" s="31" t="s">
        <v>30</v>
      </c>
      <c r="J6" s="31" t="s">
        <v>33</v>
      </c>
      <c r="K6" s="31" t="s">
        <v>33</v>
      </c>
      <c r="L6" s="31" t="s">
        <v>28</v>
      </c>
      <c r="M6" s="31" t="s">
        <v>43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391</v>
      </c>
      <c r="D7" s="18" t="s">
        <v>34</v>
      </c>
      <c r="E7" s="17"/>
      <c r="F7" s="157">
        <v>46316.0</v>
      </c>
      <c r="G7" s="159"/>
      <c r="H7" s="36">
        <v>100000.0</v>
      </c>
      <c r="I7" s="31" t="s">
        <v>27</v>
      </c>
      <c r="J7" s="16"/>
      <c r="K7" s="16"/>
      <c r="L7" s="31" t="s">
        <v>28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25" t="s">
        <v>321</v>
      </c>
      <c r="D8" s="18" t="s">
        <v>34</v>
      </c>
      <c r="E8" s="17"/>
      <c r="F8" s="157">
        <v>46313.0</v>
      </c>
      <c r="G8" s="162">
        <v>1125000.0</v>
      </c>
      <c r="H8" s="62"/>
      <c r="I8" s="31" t="s">
        <v>30</v>
      </c>
      <c r="J8" s="31" t="s">
        <v>33</v>
      </c>
      <c r="K8" s="31" t="s">
        <v>36</v>
      </c>
      <c r="L8" s="31" t="s">
        <v>28</v>
      </c>
      <c r="M8" s="31" t="s">
        <v>43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393</v>
      </c>
      <c r="D9" s="18" t="s">
        <v>34</v>
      </c>
      <c r="E9" s="17"/>
      <c r="F9" s="157">
        <v>46313.0</v>
      </c>
      <c r="G9" s="162">
        <v>100000.0</v>
      </c>
      <c r="H9" s="62"/>
      <c r="I9" s="31" t="s">
        <v>30</v>
      </c>
      <c r="J9" s="31" t="s">
        <v>33</v>
      </c>
      <c r="K9" s="31" t="s">
        <v>33</v>
      </c>
      <c r="L9" s="31" t="s">
        <v>38</v>
      </c>
      <c r="M9" s="31" t="s">
        <v>60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395</v>
      </c>
      <c r="D10" s="18" t="s">
        <v>34</v>
      </c>
      <c r="E10" s="17"/>
      <c r="F10" s="57">
        <v>46313.0</v>
      </c>
      <c r="G10" s="162">
        <v>350000.0</v>
      </c>
      <c r="H10" s="62"/>
      <c r="I10" s="31" t="s">
        <v>30</v>
      </c>
      <c r="J10" s="31" t="s">
        <v>33</v>
      </c>
      <c r="K10" s="31" t="s">
        <v>33</v>
      </c>
      <c r="L10" s="31" t="s">
        <v>38</v>
      </c>
      <c r="M10" s="31" t="s">
        <v>60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397</v>
      </c>
      <c r="D11" s="18" t="s">
        <v>398</v>
      </c>
      <c r="E11" s="17"/>
      <c r="F11" s="57">
        <v>46313.0</v>
      </c>
      <c r="G11" s="162">
        <v>25000.0</v>
      </c>
      <c r="H11" s="62"/>
      <c r="I11" s="31" t="s">
        <v>30</v>
      </c>
      <c r="J11" s="16"/>
      <c r="K11" s="16"/>
      <c r="L11" s="31" t="s">
        <v>38</v>
      </c>
      <c r="M11" s="16"/>
      <c r="N11" s="43"/>
      <c r="O11" s="43"/>
      <c r="P11" s="43"/>
      <c r="Q11" s="1"/>
      <c r="R11" s="1"/>
    </row>
    <row r="12" ht="15.75" customHeight="1">
      <c r="A12" s="1"/>
      <c r="B12" s="16"/>
      <c r="C12" s="20" t="s">
        <v>400</v>
      </c>
      <c r="D12" s="18" t="s">
        <v>34</v>
      </c>
      <c r="E12" s="17"/>
      <c r="F12" s="57">
        <v>46313.0</v>
      </c>
      <c r="G12" s="162">
        <v>325000.0</v>
      </c>
      <c r="H12" s="62"/>
      <c r="I12" s="31" t="s">
        <v>30</v>
      </c>
      <c r="J12" s="31" t="s">
        <v>33</v>
      </c>
      <c r="K12" s="31" t="s">
        <v>36</v>
      </c>
      <c r="L12" s="31" t="s">
        <v>38</v>
      </c>
      <c r="M12" s="31" t="s">
        <v>60</v>
      </c>
      <c r="N12" s="43"/>
      <c r="O12" s="43"/>
      <c r="P12" s="43"/>
      <c r="Q12" s="1"/>
      <c r="R12" s="1"/>
    </row>
    <row r="13" ht="15.75" customHeight="1">
      <c r="A13" s="1"/>
      <c r="B13" s="16"/>
      <c r="C13" s="20" t="s">
        <v>401</v>
      </c>
      <c r="D13" s="18" t="s">
        <v>23</v>
      </c>
      <c r="E13" s="17"/>
      <c r="F13" s="157">
        <v>46314.0</v>
      </c>
      <c r="G13" s="159"/>
      <c r="H13" s="36">
        <v>100000.0</v>
      </c>
      <c r="I13" s="31" t="s">
        <v>27</v>
      </c>
      <c r="J13" s="16"/>
      <c r="K13" s="16"/>
      <c r="L13" s="31" t="s">
        <v>38</v>
      </c>
      <c r="M13" s="16"/>
      <c r="N13" s="43"/>
      <c r="O13" s="43"/>
      <c r="P13" s="43"/>
      <c r="Q13" s="1"/>
      <c r="R13" s="1"/>
    </row>
    <row r="14" ht="15.75" customHeight="1">
      <c r="A14" s="1"/>
      <c r="B14" s="16"/>
      <c r="C14" s="20" t="s">
        <v>404</v>
      </c>
      <c r="D14" s="18" t="s">
        <v>23</v>
      </c>
      <c r="E14" s="17"/>
      <c r="F14" s="57">
        <v>46314.0</v>
      </c>
      <c r="G14" s="159"/>
      <c r="H14" s="36">
        <v>100000.0</v>
      </c>
      <c r="I14" s="31" t="s">
        <v>27</v>
      </c>
      <c r="J14" s="16"/>
      <c r="K14" s="16"/>
      <c r="L14" s="31" t="s">
        <v>38</v>
      </c>
      <c r="M14" s="16"/>
      <c r="N14" s="43"/>
      <c r="O14" s="43"/>
      <c r="P14" s="43"/>
      <c r="Q14" s="1"/>
      <c r="R14" s="1"/>
    </row>
    <row r="15" ht="15.75" customHeight="1">
      <c r="A15" s="1"/>
      <c r="B15" s="16">
        <v>9.0</v>
      </c>
      <c r="C15" s="20" t="s">
        <v>369</v>
      </c>
      <c r="D15" s="18" t="s">
        <v>34</v>
      </c>
      <c r="E15" s="17"/>
      <c r="F15" s="31" t="s">
        <v>407</v>
      </c>
      <c r="G15" s="159"/>
      <c r="H15" s="36">
        <v>275000.0</v>
      </c>
      <c r="I15" s="31" t="s">
        <v>30</v>
      </c>
      <c r="J15" s="31" t="s">
        <v>33</v>
      </c>
      <c r="K15" s="31" t="s">
        <v>36</v>
      </c>
      <c r="L15" s="31" t="s">
        <v>38</v>
      </c>
      <c r="M15" s="31" t="s">
        <v>60</v>
      </c>
      <c r="N15" s="43"/>
      <c r="O15" s="43"/>
      <c r="P15" s="43"/>
      <c r="Q15" s="1"/>
      <c r="R15" s="1"/>
    </row>
    <row r="16" ht="15.75" customHeight="1">
      <c r="A16" s="1"/>
      <c r="B16" s="16">
        <v>10.0</v>
      </c>
      <c r="C16" s="80"/>
      <c r="D16" s="68"/>
      <c r="E16" s="17"/>
      <c r="F16" s="103"/>
      <c r="G16" s="159"/>
      <c r="H16" s="62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24">
        <f t="shared" ref="G17:H17" si="1">SUM(G4:G16)</f>
        <v>1925000</v>
      </c>
      <c r="H17" s="78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1" t="s">
        <v>0</v>
      </c>
      <c r="C20" s="72" t="s">
        <v>6</v>
      </c>
      <c r="D20" s="72" t="s">
        <v>115</v>
      </c>
      <c r="E20" s="1"/>
      <c r="F20" s="1"/>
      <c r="G20" s="1"/>
      <c r="H20" s="1"/>
      <c r="I20" s="1"/>
      <c r="J20" s="1"/>
      <c r="K20" s="1"/>
      <c r="L20" s="1"/>
      <c r="M20" s="1"/>
      <c r="N20" s="72" t="s">
        <v>117</v>
      </c>
      <c r="O20" s="72" t="s">
        <v>1</v>
      </c>
      <c r="P20" s="1"/>
      <c r="Q20" s="1"/>
      <c r="R20" s="1"/>
    </row>
    <row r="21" ht="15.75" customHeight="1">
      <c r="A21" s="1"/>
      <c r="B21" s="73">
        <v>1.0</v>
      </c>
      <c r="C21" s="74" t="s">
        <v>119</v>
      </c>
      <c r="D21" s="76">
        <f>SUM(G17)</f>
        <v>1925000</v>
      </c>
      <c r="E21" s="77"/>
      <c r="F21" s="1"/>
      <c r="G21" s="1"/>
      <c r="H21" s="1"/>
      <c r="I21" s="1"/>
      <c r="J21" s="1"/>
      <c r="K21" s="1"/>
      <c r="L21" s="1"/>
      <c r="M21" s="1"/>
      <c r="N21" s="79" t="s">
        <v>123</v>
      </c>
      <c r="O21" s="81" t="s">
        <v>28</v>
      </c>
      <c r="P21" s="1"/>
      <c r="Q21" s="1"/>
      <c r="R21" s="1"/>
    </row>
    <row r="22" ht="15.75" customHeight="1">
      <c r="A22" s="1"/>
      <c r="B22" s="82">
        <v>2.0</v>
      </c>
      <c r="C22" s="173" t="s">
        <v>412</v>
      </c>
      <c r="D22" s="142">
        <v>-50000.0</v>
      </c>
      <c r="E22" s="77"/>
      <c r="F22" s="1"/>
      <c r="G22" s="1"/>
      <c r="H22" s="1"/>
      <c r="I22" s="1"/>
      <c r="J22" s="1"/>
      <c r="K22" s="1"/>
      <c r="L22" s="1"/>
      <c r="M22" s="1"/>
      <c r="N22" s="85" t="s">
        <v>129</v>
      </c>
      <c r="O22" s="86" t="s">
        <v>38</v>
      </c>
      <c r="P22" s="1"/>
      <c r="Q22" s="1"/>
      <c r="R22" s="1"/>
    </row>
    <row r="23" ht="15.75" customHeight="1">
      <c r="A23" s="1"/>
      <c r="B23" s="73">
        <v>3.0</v>
      </c>
      <c r="C23" s="141" t="s">
        <v>413</v>
      </c>
      <c r="D23" s="181">
        <v>-100000.0</v>
      </c>
      <c r="E23" s="77"/>
      <c r="F23" s="1"/>
      <c r="G23" s="1"/>
      <c r="H23" s="1"/>
      <c r="I23" s="1"/>
      <c r="J23" s="1"/>
      <c r="K23" s="1"/>
      <c r="L23" s="1"/>
      <c r="M23" s="1"/>
      <c r="N23" s="89" t="s">
        <v>134</v>
      </c>
      <c r="O23" s="90" t="s">
        <v>43</v>
      </c>
      <c r="P23" s="1"/>
      <c r="Q23" s="1"/>
      <c r="R23" s="1"/>
    </row>
    <row r="24" ht="15.75" customHeight="1">
      <c r="A24" s="1"/>
      <c r="B24" s="82">
        <v>4.0</v>
      </c>
      <c r="C24" s="98"/>
      <c r="D24" s="99"/>
      <c r="E24" s="77"/>
      <c r="F24" s="1"/>
      <c r="G24" s="1"/>
      <c r="H24" s="1"/>
      <c r="I24" s="1"/>
      <c r="J24" s="1"/>
      <c r="K24" s="1"/>
      <c r="L24" s="1"/>
      <c r="M24" s="1"/>
      <c r="N24" s="93" t="s">
        <v>137</v>
      </c>
      <c r="O24" s="86" t="s">
        <v>60</v>
      </c>
      <c r="P24" s="1"/>
      <c r="Q24" s="1"/>
      <c r="R24" s="1"/>
    </row>
    <row r="25" ht="15.75" customHeight="1">
      <c r="A25" s="1"/>
      <c r="B25" s="73">
        <v>5.0</v>
      </c>
      <c r="C25" s="74"/>
      <c r="D25" s="76"/>
      <c r="E25" s="77"/>
      <c r="F25" s="1"/>
      <c r="G25" s="1"/>
      <c r="H25" s="1"/>
      <c r="I25" s="1"/>
      <c r="J25" s="1"/>
      <c r="K25" s="1"/>
      <c r="L25" s="1"/>
      <c r="M25" s="1"/>
      <c r="N25" s="95"/>
      <c r="O25" s="1"/>
      <c r="P25" s="1"/>
      <c r="Q25" s="1"/>
      <c r="R25" s="1"/>
    </row>
    <row r="26" ht="15.75" customHeight="1">
      <c r="A26" s="1"/>
      <c r="B26" s="82">
        <v>6.0</v>
      </c>
      <c r="C26" s="98"/>
      <c r="D26" s="99"/>
      <c r="E26" s="77"/>
      <c r="F26" s="1"/>
      <c r="G26" s="1"/>
      <c r="H26" s="1"/>
      <c r="I26" s="1"/>
      <c r="J26" s="1"/>
      <c r="K26" s="100" t="s">
        <v>142</v>
      </c>
      <c r="Q26" s="1"/>
      <c r="R26" s="1"/>
    </row>
    <row r="27" ht="15.75" customHeight="1">
      <c r="A27" s="1"/>
      <c r="B27" s="73">
        <v>7.0</v>
      </c>
      <c r="C27" s="74"/>
      <c r="D27" s="76"/>
      <c r="E27" s="77"/>
      <c r="F27" s="1"/>
      <c r="G27" s="1"/>
      <c r="H27" s="1"/>
      <c r="I27" s="1"/>
      <c r="J27" s="1"/>
      <c r="K27" s="101" t="s">
        <v>1</v>
      </c>
      <c r="L27" s="101" t="s">
        <v>145</v>
      </c>
      <c r="M27" s="101" t="s">
        <v>146</v>
      </c>
      <c r="N27" s="101" t="s">
        <v>147</v>
      </c>
      <c r="O27" s="101" t="s">
        <v>148</v>
      </c>
      <c r="P27" s="101" t="s">
        <v>149</v>
      </c>
      <c r="Q27" s="1"/>
      <c r="R27" s="1"/>
      <c r="AC27" s="102" t="s">
        <v>150</v>
      </c>
      <c r="AD27" s="102" t="s">
        <v>151</v>
      </c>
      <c r="AE27" s="102" t="s">
        <v>153</v>
      </c>
      <c r="AF27" s="102" t="s">
        <v>155</v>
      </c>
      <c r="AG27" s="102" t="s">
        <v>156</v>
      </c>
    </row>
    <row r="28" ht="15.75" customHeight="1">
      <c r="A28" s="1"/>
      <c r="B28" s="82">
        <v>8.0</v>
      </c>
      <c r="C28" s="98"/>
      <c r="D28" s="99"/>
      <c r="E28" s="77"/>
      <c r="F28" s="1"/>
      <c r="G28" s="1"/>
      <c r="H28" s="1"/>
      <c r="I28" s="1"/>
      <c r="J28" s="1"/>
      <c r="K28" s="105" t="str">
        <f t="shared" ref="K28:K31" si="2">IF(O21="","",O21)</f>
        <v>AMEL</v>
      </c>
      <c r="L28" s="117"/>
      <c r="M28" s="117"/>
      <c r="N28" s="117"/>
      <c r="O28" s="117"/>
      <c r="P28" s="117"/>
      <c r="Q28" s="1"/>
      <c r="R28" s="1"/>
      <c r="AC28" s="102" t="str">
        <f t="shared" ref="AC28:AC33" si="3">IF(AG28="","",IF(COUNT(L28:P28)&lt;5,"",L28/5*20+M28/5*25+N28/5*25+O28/5*15+P28/5*15))</f>
        <v/>
      </c>
      <c r="AD28" s="102" t="str">
        <f t="shared" ref="AD28:AD33" si="4">IF(AC28="","",IF(AC28&gt;=90,"Sangat Baik",IF(AC28&gt;=80,"Baik",IF(AC28&gt;=70,"Coaching","Underperform"))))</f>
        <v/>
      </c>
      <c r="AE28" s="102" t="str">
        <f t="shared" ref="AE28:AE33" si="5">IF(AG28="","",IF(OR(AG28="INDAH",AG28="ADDEL",AG28="AMEL",AG28="PENTIL",AG28="JIJANG"),"Admin/CS","Fotografer"))</f>
        <v>Admin/CS</v>
      </c>
      <c r="AF28" s="102" t="str">
        <f t="shared" ref="AF28:AF33" si="6">IF(OR(AG28="",COUNT(L28:P28)&lt;5),"",1)</f>
        <v/>
      </c>
      <c r="AG28" s="102" t="str">
        <f t="shared" ref="AG28:AG33" si="7">IFERROR(K28,"")</f>
        <v>AMEL</v>
      </c>
    </row>
    <row r="29" ht="15.75" customHeight="1">
      <c r="A29" s="1"/>
      <c r="B29" s="73">
        <v>9.0</v>
      </c>
      <c r="C29" s="74"/>
      <c r="D29" s="76"/>
      <c r="E29" s="77"/>
      <c r="F29" s="1"/>
      <c r="G29" s="1"/>
      <c r="H29" s="1"/>
      <c r="I29" s="1"/>
      <c r="J29" s="1"/>
      <c r="K29" s="105" t="str">
        <f t="shared" si="2"/>
        <v>INDAH</v>
      </c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>Admin/CS</v>
      </c>
      <c r="AF29" s="102" t="str">
        <f t="shared" si="6"/>
        <v/>
      </c>
      <c r="AG29" s="102" t="str">
        <f t="shared" si="7"/>
        <v>INDAH</v>
      </c>
    </row>
    <row r="30" ht="15.75" customHeight="1">
      <c r="A30" s="1"/>
      <c r="B30" s="82">
        <v>10.0</v>
      </c>
      <c r="C30" s="98"/>
      <c r="D30" s="99"/>
      <c r="E30" s="77"/>
      <c r="F30" s="1"/>
      <c r="G30" s="1"/>
      <c r="H30" s="1"/>
      <c r="I30" s="1"/>
      <c r="J30" s="1"/>
      <c r="K30" s="105" t="str">
        <f t="shared" si="2"/>
        <v>ADIF</v>
      </c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>Fotografer</v>
      </c>
      <c r="AF30" s="102" t="str">
        <f t="shared" si="6"/>
        <v/>
      </c>
      <c r="AG30" s="102" t="str">
        <f t="shared" si="7"/>
        <v>ADIF</v>
      </c>
    </row>
    <row r="31" ht="15.75" customHeight="1">
      <c r="A31" s="1"/>
      <c r="B31" s="112">
        <v>11.0</v>
      </c>
      <c r="C31" s="114"/>
      <c r="D31" s="115"/>
      <c r="E31" s="77"/>
      <c r="F31" s="1"/>
      <c r="G31" s="1"/>
      <c r="H31" s="1"/>
      <c r="I31" s="1"/>
      <c r="J31" s="1"/>
      <c r="K31" s="105" t="str">
        <f t="shared" si="2"/>
        <v>SAKA</v>
      </c>
      <c r="L31" s="117"/>
      <c r="M31" s="117"/>
      <c r="N31" s="117"/>
      <c r="O31" s="117"/>
      <c r="P31" s="117"/>
      <c r="Q31" s="1"/>
      <c r="R31" s="1"/>
      <c r="AC31" s="102" t="str">
        <f t="shared" si="3"/>
        <v/>
      </c>
      <c r="AD31" s="102" t="str">
        <f t="shared" si="4"/>
        <v/>
      </c>
      <c r="AE31" s="102" t="str">
        <f t="shared" si="5"/>
        <v>Fotografer</v>
      </c>
      <c r="AF31" s="102" t="str">
        <f t="shared" si="6"/>
        <v/>
      </c>
      <c r="AG31" s="102" t="str">
        <f t="shared" si="7"/>
        <v>SAKA</v>
      </c>
    </row>
    <row r="32" ht="15.75" customHeight="1">
      <c r="A32" s="1"/>
      <c r="B32" s="1"/>
      <c r="C32" s="2"/>
      <c r="D32" s="116">
        <f>SUM(D21:D31)</f>
        <v>1775000</v>
      </c>
      <c r="E32" s="1"/>
      <c r="F32" s="1"/>
      <c r="G32" s="1"/>
      <c r="H32" s="1"/>
      <c r="I32" s="1"/>
      <c r="J32" s="1"/>
      <c r="K32" s="105"/>
      <c r="L32" s="117"/>
      <c r="M32" s="117"/>
      <c r="N32" s="117"/>
      <c r="O32" s="117"/>
      <c r="P32" s="117"/>
      <c r="Q32" s="1"/>
      <c r="R32" s="1"/>
      <c r="AC32" s="102" t="str">
        <f t="shared" si="3"/>
        <v/>
      </c>
      <c r="AD32" s="102" t="str">
        <f t="shared" si="4"/>
        <v/>
      </c>
      <c r="AE32" s="102" t="str">
        <f t="shared" si="5"/>
        <v/>
      </c>
      <c r="AF32" s="102" t="str">
        <f t="shared" si="6"/>
        <v/>
      </c>
      <c r="AG32" s="10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5"/>
      <c r="L33" s="117"/>
      <c r="M33" s="117"/>
      <c r="N33" s="117"/>
      <c r="O33" s="117"/>
      <c r="P33" s="117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/>
      </c>
      <c r="AF33" s="102" t="str">
        <f t="shared" si="6"/>
        <v/>
      </c>
      <c r="AG33" s="10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20" t="s">
        <v>200</v>
      </c>
      <c r="N36" s="1"/>
      <c r="O36" s="1"/>
      <c r="P36" s="1"/>
      <c r="Q36" s="1"/>
      <c r="R36" s="1"/>
    </row>
    <row r="37" ht="15.75" customHeight="1">
      <c r="K37" s="122" t="s">
        <v>7</v>
      </c>
      <c r="L37" s="122" t="s">
        <v>201</v>
      </c>
      <c r="M37" s="122" t="s">
        <v>202</v>
      </c>
    </row>
    <row r="38" ht="15.75" customHeight="1">
      <c r="K38" s="125" t="str">
        <f t="shared" ref="K38:K39" si="8">IF(O21="","",O21)</f>
        <v>AMEL</v>
      </c>
      <c r="L38" s="126">
        <v>2.0</v>
      </c>
      <c r="M38" s="128"/>
    </row>
    <row r="39" ht="15.75" customHeight="1">
      <c r="K39" s="125" t="str">
        <f t="shared" si="8"/>
        <v>INDAH</v>
      </c>
      <c r="L39" s="126">
        <v>2.0</v>
      </c>
      <c r="M39" s="128"/>
    </row>
    <row r="40" ht="15.75" customHeight="1"/>
    <row r="41" ht="19.5" customHeight="1">
      <c r="K41" s="130" t="s">
        <v>205</v>
      </c>
    </row>
    <row r="42" ht="19.5" customHeight="1">
      <c r="K42" s="131" t="s">
        <v>206</v>
      </c>
      <c r="M42" s="126">
        <v>15.0</v>
      </c>
    </row>
    <row r="43" ht="19.5" customHeight="1">
      <c r="K43" s="137" t="s">
        <v>209</v>
      </c>
      <c r="M43" s="139">
        <f>COUNTIF($I$4:$I$19,"DP")</f>
        <v>4</v>
      </c>
    </row>
    <row r="44" ht="19.5" customHeight="1">
      <c r="K44" s="137" t="s">
        <v>210</v>
      </c>
      <c r="M44" s="139">
        <f>COUNTIFS($I$4:$I$19,"&lt;&gt;DP",$I$4:$I$19,"&lt;&gt;")</f>
        <v>8</v>
      </c>
    </row>
    <row r="45" ht="19.5" customHeight="1">
      <c r="K45" s="140" t="s">
        <v>211</v>
      </c>
      <c r="M45" s="139">
        <f>M43+M44</f>
        <v>12</v>
      </c>
    </row>
    <row r="46" ht="19.5" customHeight="1">
      <c r="K46" s="131" t="s">
        <v>212</v>
      </c>
      <c r="M46" s="143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0" t="s">
        <v>418</v>
      </c>
      <c r="D4" s="18" t="s">
        <v>23</v>
      </c>
      <c r="E4" s="17"/>
      <c r="F4" s="157">
        <v>46314.0</v>
      </c>
      <c r="G4" s="159"/>
      <c r="H4" s="36">
        <v>350000.0</v>
      </c>
      <c r="I4" s="31" t="s">
        <v>30</v>
      </c>
      <c r="J4" s="16"/>
      <c r="K4" s="16"/>
      <c r="L4" s="31" t="s">
        <v>38</v>
      </c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20" t="s">
        <v>419</v>
      </c>
      <c r="D5" s="18" t="s">
        <v>23</v>
      </c>
      <c r="E5" s="17"/>
      <c r="F5" s="157">
        <v>46314.0</v>
      </c>
      <c r="G5" s="159"/>
      <c r="H5" s="36">
        <v>100000.0</v>
      </c>
      <c r="I5" s="31" t="s">
        <v>27</v>
      </c>
      <c r="J5" s="16"/>
      <c r="K5" s="16"/>
      <c r="L5" s="31" t="s">
        <v>38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420</v>
      </c>
      <c r="D6" s="18" t="s">
        <v>34</v>
      </c>
      <c r="E6" s="17"/>
      <c r="F6" s="157">
        <v>46314.0</v>
      </c>
      <c r="G6" s="159"/>
      <c r="H6" s="36">
        <v>100000.0</v>
      </c>
      <c r="I6" s="31" t="s">
        <v>27</v>
      </c>
      <c r="J6" s="16"/>
      <c r="K6" s="16"/>
      <c r="L6" s="31" t="s">
        <v>38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421</v>
      </c>
      <c r="D7" s="18" t="s">
        <v>34</v>
      </c>
      <c r="E7" s="17"/>
      <c r="F7" s="157">
        <v>46314.0</v>
      </c>
      <c r="G7" s="162">
        <v>25000.0</v>
      </c>
      <c r="H7" s="36">
        <v>100000.0</v>
      </c>
      <c r="I7" s="31" t="s">
        <v>30</v>
      </c>
      <c r="J7" s="31" t="s">
        <v>33</v>
      </c>
      <c r="K7" s="31" t="s">
        <v>33</v>
      </c>
      <c r="L7" s="31" t="s">
        <v>38</v>
      </c>
      <c r="M7" s="31" t="s">
        <v>43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404</v>
      </c>
      <c r="D8" s="68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80"/>
      <c r="D9" s="68"/>
      <c r="E9" s="17"/>
      <c r="F9" s="103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80"/>
      <c r="D10" s="68"/>
      <c r="E10" s="17"/>
      <c r="F10" s="103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80"/>
      <c r="D11" s="68"/>
      <c r="E11" s="17"/>
      <c r="F11" s="103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80"/>
      <c r="D12" s="68"/>
      <c r="E12" s="17"/>
      <c r="F12" s="103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80"/>
      <c r="D13" s="68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4">
        <f t="shared" ref="G14:H14" si="1">SUM(G4:G13)</f>
        <v>25000</v>
      </c>
      <c r="H14" s="78">
        <f t="shared" si="1"/>
        <v>650000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0</v>
      </c>
      <c r="C17" s="72" t="s">
        <v>6</v>
      </c>
      <c r="D17" s="72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117</v>
      </c>
      <c r="O17" s="72" t="s">
        <v>1</v>
      </c>
      <c r="P17" s="1"/>
      <c r="Q17" s="1"/>
      <c r="R17" s="1"/>
    </row>
    <row r="18" ht="15.75" customHeight="1">
      <c r="A18" s="1"/>
      <c r="B18" s="73">
        <v>1.0</v>
      </c>
      <c r="C18" s="74" t="s">
        <v>119</v>
      </c>
      <c r="D18" s="76">
        <f>SUM(G14)</f>
        <v>25000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81" t="s">
        <v>38</v>
      </c>
      <c r="P18" s="1"/>
      <c r="Q18" s="1"/>
      <c r="R18" s="1"/>
    </row>
    <row r="19" ht="15.75" customHeight="1">
      <c r="A19" s="1"/>
      <c r="B19" s="82">
        <v>2.0</v>
      </c>
      <c r="C19" s="98"/>
      <c r="D19" s="99"/>
      <c r="E19" s="77"/>
      <c r="F19" s="1"/>
      <c r="G19" s="1"/>
      <c r="H19" s="1"/>
      <c r="I19" s="1"/>
      <c r="J19" s="1"/>
      <c r="K19" s="1"/>
      <c r="L19" s="1"/>
      <c r="M19" s="1"/>
      <c r="N19" s="85" t="s">
        <v>129</v>
      </c>
      <c r="O19" s="166"/>
      <c r="P19" s="1"/>
      <c r="Q19" s="1"/>
      <c r="R19" s="1"/>
    </row>
    <row r="20" ht="15.75" customHeight="1">
      <c r="A20" s="1"/>
      <c r="B20" s="73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134</v>
      </c>
      <c r="O20" s="90" t="s">
        <v>43</v>
      </c>
      <c r="P20" s="1"/>
      <c r="Q20" s="1"/>
      <c r="R20" s="1"/>
    </row>
    <row r="21" ht="15.75" customHeight="1">
      <c r="A21" s="1"/>
      <c r="B21" s="82">
        <v>4.0</v>
      </c>
      <c r="C21" s="98"/>
      <c r="D21" s="99"/>
      <c r="E21" s="77"/>
      <c r="F21" s="1"/>
      <c r="G21" s="1"/>
      <c r="H21" s="1"/>
      <c r="I21" s="1"/>
      <c r="J21" s="1"/>
      <c r="K21" s="1"/>
      <c r="L21" s="1"/>
      <c r="M21" s="1"/>
      <c r="N21" s="93" t="s">
        <v>137</v>
      </c>
      <c r="O21" s="166"/>
      <c r="P21" s="1"/>
      <c r="Q21" s="1"/>
      <c r="R21" s="1"/>
    </row>
    <row r="22" ht="15.75" customHeight="1">
      <c r="A22" s="1"/>
      <c r="B22" s="73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99"/>
      <c r="E23" s="77"/>
      <c r="F23" s="1"/>
      <c r="G23" s="1"/>
      <c r="H23" s="1"/>
      <c r="I23" s="1"/>
      <c r="J23" s="1"/>
      <c r="K23" s="100" t="s">
        <v>142</v>
      </c>
      <c r="Q23" s="1"/>
      <c r="R23" s="1"/>
    </row>
    <row r="24" ht="15.75" customHeight="1">
      <c r="A24" s="1"/>
      <c r="B24" s="73">
        <v>7.0</v>
      </c>
      <c r="C24" s="74"/>
      <c r="D24" s="76"/>
      <c r="E24" s="77"/>
      <c r="F24" s="1"/>
      <c r="G24" s="1"/>
      <c r="H24" s="1"/>
      <c r="I24" s="1"/>
      <c r="J24" s="1"/>
      <c r="K24" s="101" t="s">
        <v>1</v>
      </c>
      <c r="L24" s="101" t="s">
        <v>145</v>
      </c>
      <c r="M24" s="101" t="s">
        <v>146</v>
      </c>
      <c r="N24" s="101" t="s">
        <v>147</v>
      </c>
      <c r="O24" s="101" t="s">
        <v>148</v>
      </c>
      <c r="P24" s="101" t="s">
        <v>149</v>
      </c>
      <c r="Q24" s="1"/>
      <c r="R24" s="1"/>
      <c r="AC24" s="102" t="s">
        <v>150</v>
      </c>
      <c r="AD24" s="102" t="s">
        <v>151</v>
      </c>
      <c r="AE24" s="102" t="s">
        <v>153</v>
      </c>
      <c r="AF24" s="102" t="s">
        <v>155</v>
      </c>
      <c r="AG24" s="102" t="s">
        <v>156</v>
      </c>
    </row>
    <row r="25" ht="15.75" customHeight="1">
      <c r="A25" s="1"/>
      <c r="B25" s="82">
        <v>8.0</v>
      </c>
      <c r="C25" s="98"/>
      <c r="D25" s="99"/>
      <c r="E25" s="77"/>
      <c r="F25" s="1"/>
      <c r="G25" s="1"/>
      <c r="H25" s="1"/>
      <c r="I25" s="1"/>
      <c r="J25" s="1"/>
      <c r="K25" s="105" t="str">
        <f t="shared" ref="K25:K28" si="2">IF(O18="","",O18)</f>
        <v>INDAH</v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>Admin/CS</v>
      </c>
      <c r="AF25" s="102" t="str">
        <f t="shared" ref="AF25:AF30" si="6">IF(OR(AG25="",COUNT(L25:P25)&lt;5),"",1)</f>
        <v/>
      </c>
      <c r="AG25" s="102" t="str">
        <f t="shared" ref="AG25:AG30" si="7">IFERROR(K25,"")</f>
        <v>INDAH</v>
      </c>
    </row>
    <row r="26" ht="15.75" customHeight="1">
      <c r="A26" s="1"/>
      <c r="B26" s="73">
        <v>9.0</v>
      </c>
      <c r="C26" s="74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98"/>
      <c r="D27" s="99"/>
      <c r="E27" s="77"/>
      <c r="F27" s="1"/>
      <c r="G27" s="1"/>
      <c r="H27" s="1"/>
      <c r="I27" s="1"/>
      <c r="J27" s="1"/>
      <c r="K27" s="105" t="str">
        <f t="shared" si="2"/>
        <v>ADIF</v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>Fotografer</v>
      </c>
      <c r="AF27" s="102" t="str">
        <f t="shared" si="6"/>
        <v/>
      </c>
      <c r="AG27" s="102" t="str">
        <f t="shared" si="7"/>
        <v>ADIF</v>
      </c>
    </row>
    <row r="28" ht="15.75" customHeight="1">
      <c r="A28" s="1"/>
      <c r="B28" s="112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2"/>
      <c r="D29" s="116">
        <f>SUM(D18:D28)</f>
        <v>25000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7</v>
      </c>
      <c r="L34" s="122" t="s">
        <v>201</v>
      </c>
      <c r="M34" s="122" t="s">
        <v>202</v>
      </c>
    </row>
    <row r="35" ht="15.75" customHeight="1">
      <c r="K35" s="125" t="str">
        <f t="shared" ref="K35:K36" si="8">IF(O18="","",O18)</f>
        <v>INDAH</v>
      </c>
      <c r="L35" s="126">
        <v>3.0</v>
      </c>
      <c r="M35" s="128"/>
    </row>
    <row r="36" ht="15.75" customHeight="1">
      <c r="K36" s="125" t="str">
        <f t="shared" si="8"/>
        <v/>
      </c>
      <c r="L36" s="128"/>
      <c r="M36" s="128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7" t="s">
        <v>209</v>
      </c>
      <c r="M40" s="139">
        <f>COUNTIF($I$4:$I$16,"DP")</f>
        <v>2</v>
      </c>
    </row>
    <row r="41" ht="19.5" customHeight="1">
      <c r="K41" s="137" t="s">
        <v>210</v>
      </c>
      <c r="M41" s="139">
        <f>COUNTIFS($I$4:$I$16,"&lt;&gt;DP",$I$4:$I$16,"&lt;&gt;")</f>
        <v>2</v>
      </c>
    </row>
    <row r="42" ht="19.5" customHeight="1">
      <c r="K42" s="140" t="s">
        <v>211</v>
      </c>
      <c r="M42" s="139">
        <f>M40+M41</f>
        <v>4</v>
      </c>
    </row>
    <row r="43" ht="19.5" customHeight="1">
      <c r="K43" s="131" t="s">
        <v>212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0"/>
      <c r="D4" s="68"/>
      <c r="E4" s="17"/>
      <c r="F4" s="108"/>
      <c r="G4" s="159"/>
      <c r="H4" s="62"/>
      <c r="I4" s="16"/>
      <c r="J4" s="16"/>
      <c r="K4" s="16"/>
      <c r="L4" s="16"/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80"/>
      <c r="D5" s="68"/>
      <c r="E5" s="17"/>
      <c r="F5" s="108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80"/>
      <c r="D6" s="68"/>
      <c r="E6" s="17"/>
      <c r="F6" s="178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80"/>
      <c r="D7" s="68"/>
      <c r="E7" s="17"/>
      <c r="F7" s="178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80"/>
      <c r="D8" s="68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80"/>
      <c r="D9" s="68"/>
      <c r="E9" s="17"/>
      <c r="F9" s="178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80"/>
      <c r="D10" s="68"/>
      <c r="E10" s="17"/>
      <c r="F10" s="178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80"/>
      <c r="D11" s="68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80"/>
      <c r="D12" s="68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80"/>
      <c r="D13" s="68"/>
      <c r="E13" s="17"/>
      <c r="F13" s="16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4">
        <f t="shared" ref="G14:H14" si="1">SUM(G4:G13)</f>
        <v>0</v>
      </c>
      <c r="H14" s="7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0</v>
      </c>
      <c r="C17" s="72" t="s">
        <v>6</v>
      </c>
      <c r="D17" s="72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117</v>
      </c>
      <c r="O17" s="72" t="s">
        <v>1</v>
      </c>
      <c r="P17" s="1"/>
      <c r="Q17" s="1"/>
      <c r="R17" s="1"/>
    </row>
    <row r="18" ht="15.75" customHeight="1">
      <c r="A18" s="1"/>
      <c r="B18" s="73">
        <v>1.0</v>
      </c>
      <c r="C18" s="74" t="s">
        <v>119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81" t="s">
        <v>38</v>
      </c>
      <c r="P18" s="9" t="s">
        <v>422</v>
      </c>
      <c r="Q18" s="1"/>
      <c r="R18" s="1"/>
    </row>
    <row r="19" ht="15.75" customHeight="1">
      <c r="A19" s="1"/>
      <c r="B19" s="82">
        <v>2.0</v>
      </c>
      <c r="C19" s="98"/>
      <c r="D19" s="99"/>
      <c r="E19" s="77"/>
      <c r="F19" s="1"/>
      <c r="G19" s="1"/>
      <c r="H19" s="1"/>
      <c r="I19" s="1"/>
      <c r="J19" s="1"/>
      <c r="K19" s="1"/>
      <c r="L19" s="1"/>
      <c r="M19" s="1"/>
      <c r="N19" s="85" t="s">
        <v>129</v>
      </c>
      <c r="O19" s="166"/>
      <c r="P19" s="1"/>
      <c r="Q19" s="1"/>
      <c r="R19" s="1"/>
    </row>
    <row r="20" ht="15.75" customHeight="1">
      <c r="A20" s="1"/>
      <c r="B20" s="73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8"/>
      <c r="D21" s="99"/>
      <c r="E21" s="77"/>
      <c r="F21" s="1"/>
      <c r="G21" s="1"/>
      <c r="H21" s="1"/>
      <c r="I21" s="1"/>
      <c r="J21" s="1"/>
      <c r="K21" s="1"/>
      <c r="L21" s="1"/>
      <c r="M21" s="1"/>
      <c r="N21" s="93" t="s">
        <v>137</v>
      </c>
      <c r="O21" s="166"/>
      <c r="P21" s="1"/>
      <c r="Q21" s="1"/>
      <c r="R21" s="1"/>
    </row>
    <row r="22" ht="15.75" customHeight="1">
      <c r="A22" s="1"/>
      <c r="B22" s="73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99"/>
      <c r="E23" s="77"/>
      <c r="F23" s="1"/>
      <c r="G23" s="1"/>
      <c r="H23" s="1"/>
      <c r="I23" s="1"/>
      <c r="J23" s="1"/>
      <c r="K23" s="100" t="s">
        <v>142</v>
      </c>
      <c r="Q23" s="1"/>
      <c r="R23" s="1"/>
    </row>
    <row r="24" ht="15.75" customHeight="1">
      <c r="A24" s="1"/>
      <c r="B24" s="73">
        <v>7.0</v>
      </c>
      <c r="C24" s="74"/>
      <c r="D24" s="76"/>
      <c r="E24" s="77"/>
      <c r="F24" s="1"/>
      <c r="G24" s="1"/>
      <c r="H24" s="1"/>
      <c r="I24" s="1"/>
      <c r="J24" s="1"/>
      <c r="K24" s="101" t="s">
        <v>1</v>
      </c>
      <c r="L24" s="101" t="s">
        <v>145</v>
      </c>
      <c r="M24" s="101" t="s">
        <v>146</v>
      </c>
      <c r="N24" s="101" t="s">
        <v>147</v>
      </c>
      <c r="O24" s="101" t="s">
        <v>148</v>
      </c>
      <c r="P24" s="101" t="s">
        <v>149</v>
      </c>
      <c r="Q24" s="1"/>
      <c r="R24" s="1"/>
      <c r="AC24" s="102" t="s">
        <v>150</v>
      </c>
      <c r="AD24" s="102" t="s">
        <v>151</v>
      </c>
      <c r="AE24" s="102" t="s">
        <v>153</v>
      </c>
      <c r="AF24" s="102" t="s">
        <v>155</v>
      </c>
      <c r="AG24" s="102" t="s">
        <v>156</v>
      </c>
    </row>
    <row r="25" ht="15.75" customHeight="1">
      <c r="A25" s="1"/>
      <c r="B25" s="82">
        <v>8.0</v>
      </c>
      <c r="C25" s="98"/>
      <c r="D25" s="99"/>
      <c r="E25" s="77"/>
      <c r="F25" s="1"/>
      <c r="G25" s="1"/>
      <c r="H25" s="1"/>
      <c r="I25" s="1"/>
      <c r="J25" s="1"/>
      <c r="K25" s="105" t="str">
        <f t="shared" ref="K25:K28" si="2">IF(O18="","",O18)</f>
        <v>INDAH</v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>Admin/CS</v>
      </c>
      <c r="AF25" s="102" t="str">
        <f t="shared" ref="AF25:AF30" si="6">IF(OR(AG25="",COUNT(L25:P25)&lt;5),"",1)</f>
        <v/>
      </c>
      <c r="AG25" s="102" t="str">
        <f t="shared" ref="AG25:AG30" si="7">IFERROR(K25,"")</f>
        <v>INDAH</v>
      </c>
    </row>
    <row r="26" ht="15.75" customHeight="1">
      <c r="A26" s="1"/>
      <c r="B26" s="73">
        <v>9.0</v>
      </c>
      <c r="C26" s="74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98"/>
      <c r="D27" s="99"/>
      <c r="E27" s="77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200</v>
      </c>
      <c r="N33" s="182"/>
      <c r="O33" s="1"/>
      <c r="P33" s="1"/>
      <c r="Q33" s="1"/>
      <c r="R33" s="1"/>
    </row>
    <row r="34" ht="15.75" customHeight="1">
      <c r="K34" s="122" t="s">
        <v>7</v>
      </c>
      <c r="L34" s="122" t="s">
        <v>201</v>
      </c>
      <c r="M34" s="122" t="s">
        <v>202</v>
      </c>
      <c r="N34" s="184" t="s">
        <v>203</v>
      </c>
    </row>
    <row r="35" ht="15.75" customHeight="1">
      <c r="K35" s="125" t="str">
        <f t="shared" ref="K35:K36" si="8">IF(O18="","",O18)</f>
        <v>INDAH</v>
      </c>
      <c r="L35" s="128"/>
      <c r="M35" s="128"/>
      <c r="N35" s="186"/>
    </row>
    <row r="36" ht="15.75" customHeight="1">
      <c r="K36" s="125" t="str">
        <f t="shared" si="8"/>
        <v/>
      </c>
      <c r="L36" s="128"/>
      <c r="M36" s="128"/>
      <c r="N36" s="186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7" t="s">
        <v>209</v>
      </c>
      <c r="M40" s="139">
        <f>COUNTIF($I$4:$I$16,"DP")</f>
        <v>0</v>
      </c>
    </row>
    <row r="41" ht="19.5" customHeight="1">
      <c r="K41" s="137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1" t="s">
        <v>212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0"/>
      <c r="D4" s="68"/>
      <c r="E4" s="17"/>
      <c r="F4" s="16"/>
      <c r="G4" s="159"/>
      <c r="H4" s="62"/>
      <c r="I4" s="16"/>
      <c r="J4" s="16"/>
      <c r="K4" s="16"/>
      <c r="L4" s="16"/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80"/>
      <c r="D5" s="68"/>
      <c r="E5" s="17"/>
      <c r="F5" s="16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80"/>
      <c r="D6" s="68"/>
      <c r="E6" s="17"/>
      <c r="F6" s="1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80"/>
      <c r="D7" s="68"/>
      <c r="E7" s="17"/>
      <c r="F7" s="178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80"/>
      <c r="D8" s="68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80"/>
      <c r="D9" s="68"/>
      <c r="E9" s="17"/>
      <c r="F9" s="178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80"/>
      <c r="D10" s="68"/>
      <c r="E10" s="17"/>
      <c r="F10" s="103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80"/>
      <c r="D11" s="68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80"/>
      <c r="D12" s="68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80"/>
      <c r="D13" s="68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4">
        <f t="shared" ref="G14:H14" si="1">SUM(G4:G13)</f>
        <v>0</v>
      </c>
      <c r="H14" s="7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0</v>
      </c>
      <c r="C17" s="72" t="s">
        <v>6</v>
      </c>
      <c r="D17" s="72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117</v>
      </c>
      <c r="O17" s="72" t="s">
        <v>1</v>
      </c>
      <c r="P17" s="1"/>
      <c r="Q17" s="1"/>
      <c r="R17" s="1"/>
    </row>
    <row r="18" ht="15.75" customHeight="1">
      <c r="A18" s="1"/>
      <c r="B18" s="73">
        <v>1.0</v>
      </c>
      <c r="C18" s="74" t="s">
        <v>119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3"/>
      <c r="P18" s="1"/>
      <c r="Q18" s="1"/>
      <c r="R18" s="1"/>
    </row>
    <row r="19" ht="15.75" customHeight="1">
      <c r="A19" s="1"/>
      <c r="B19" s="82">
        <v>2.0</v>
      </c>
      <c r="C19" s="98"/>
      <c r="D19" s="99"/>
      <c r="E19" s="77"/>
      <c r="F19" s="1"/>
      <c r="G19" s="1"/>
      <c r="H19" s="1"/>
      <c r="I19" s="1"/>
      <c r="J19" s="1"/>
      <c r="K19" s="1"/>
      <c r="L19" s="1"/>
      <c r="M19" s="1"/>
      <c r="N19" s="85" t="s">
        <v>129</v>
      </c>
      <c r="O19" s="166"/>
      <c r="P19" s="1"/>
      <c r="Q19" s="1"/>
      <c r="R19" s="1"/>
    </row>
    <row r="20" ht="15.75" customHeight="1">
      <c r="A20" s="1"/>
      <c r="B20" s="73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8"/>
      <c r="D21" s="99"/>
      <c r="E21" s="77"/>
      <c r="F21" s="1"/>
      <c r="G21" s="1"/>
      <c r="H21" s="1"/>
      <c r="I21" s="1"/>
      <c r="J21" s="1"/>
      <c r="K21" s="1"/>
      <c r="L21" s="1"/>
      <c r="M21" s="1"/>
      <c r="N21" s="93" t="s">
        <v>137</v>
      </c>
      <c r="O21" s="166"/>
      <c r="P21" s="1"/>
      <c r="Q21" s="1"/>
      <c r="R21" s="1"/>
    </row>
    <row r="22" ht="15.75" customHeight="1">
      <c r="A22" s="1"/>
      <c r="B22" s="73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99"/>
      <c r="E23" s="77"/>
      <c r="F23" s="1"/>
      <c r="G23" s="1"/>
      <c r="H23" s="1"/>
      <c r="I23" s="1"/>
      <c r="J23" s="1"/>
      <c r="K23" s="100" t="s">
        <v>142</v>
      </c>
      <c r="Q23" s="1"/>
      <c r="R23" s="1"/>
    </row>
    <row r="24" ht="15.75" customHeight="1">
      <c r="A24" s="1"/>
      <c r="B24" s="73">
        <v>7.0</v>
      </c>
      <c r="C24" s="74"/>
      <c r="D24" s="76"/>
      <c r="E24" s="77"/>
      <c r="F24" s="1"/>
      <c r="G24" s="1"/>
      <c r="H24" s="1"/>
      <c r="I24" s="1"/>
      <c r="J24" s="1"/>
      <c r="K24" s="101" t="s">
        <v>1</v>
      </c>
      <c r="L24" s="101" t="s">
        <v>145</v>
      </c>
      <c r="M24" s="101" t="s">
        <v>146</v>
      </c>
      <c r="N24" s="101" t="s">
        <v>147</v>
      </c>
      <c r="O24" s="101" t="s">
        <v>148</v>
      </c>
      <c r="P24" s="101" t="s">
        <v>149</v>
      </c>
      <c r="Q24" s="1"/>
      <c r="R24" s="1"/>
      <c r="AC24" s="102" t="s">
        <v>150</v>
      </c>
      <c r="AD24" s="102" t="s">
        <v>151</v>
      </c>
      <c r="AE24" s="102" t="s">
        <v>153</v>
      </c>
      <c r="AF24" s="102" t="s">
        <v>155</v>
      </c>
      <c r="AG24" s="102" t="s">
        <v>156</v>
      </c>
    </row>
    <row r="25" ht="15.75" customHeight="1">
      <c r="A25" s="1"/>
      <c r="B25" s="82">
        <v>8.0</v>
      </c>
      <c r="C25" s="98"/>
      <c r="D25" s="99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98"/>
      <c r="D27" s="99"/>
      <c r="E27" s="77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200</v>
      </c>
      <c r="N33" s="182"/>
      <c r="O33" s="1"/>
      <c r="P33" s="1"/>
      <c r="Q33" s="1"/>
      <c r="R33" s="1"/>
    </row>
    <row r="34" ht="15.75" customHeight="1">
      <c r="K34" s="122" t="s">
        <v>7</v>
      </c>
      <c r="L34" s="122" t="s">
        <v>201</v>
      </c>
      <c r="M34" s="122" t="s">
        <v>202</v>
      </c>
      <c r="N34" s="184" t="s">
        <v>203</v>
      </c>
    </row>
    <row r="35" ht="15.75" customHeight="1">
      <c r="K35" s="125" t="str">
        <f t="shared" ref="K35:K36" si="8">IF(O18="","",O18)</f>
        <v/>
      </c>
      <c r="L35" s="128"/>
      <c r="M35" s="128"/>
      <c r="N35" s="186"/>
    </row>
    <row r="36" ht="15.75" customHeight="1">
      <c r="K36" s="125" t="str">
        <f t="shared" si="8"/>
        <v/>
      </c>
      <c r="L36" s="128"/>
      <c r="M36" s="128"/>
      <c r="N36" s="186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7" t="s">
        <v>209</v>
      </c>
      <c r="M40" s="191"/>
    </row>
    <row r="41" ht="19.5" customHeight="1">
      <c r="K41" s="137" t="s">
        <v>210</v>
      </c>
      <c r="M41" s="139"/>
    </row>
    <row r="42" ht="19.5" customHeight="1">
      <c r="K42" s="140" t="s">
        <v>211</v>
      </c>
      <c r="M42" s="139"/>
    </row>
    <row r="43" ht="19.5" customHeight="1">
      <c r="K43" s="131" t="s">
        <v>212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0"/>
      <c r="D4" s="68"/>
      <c r="E4" s="17"/>
      <c r="F4" s="108"/>
      <c r="G4" s="159"/>
      <c r="H4" s="62"/>
      <c r="I4" s="16"/>
      <c r="J4" s="16"/>
      <c r="K4" s="16"/>
      <c r="L4" s="16"/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80"/>
      <c r="D5" s="68"/>
      <c r="E5" s="17"/>
      <c r="F5" s="108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80"/>
      <c r="D6" s="68"/>
      <c r="E6" s="17"/>
      <c r="F6" s="178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80"/>
      <c r="D7" s="68"/>
      <c r="E7" s="17"/>
      <c r="F7" s="178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80"/>
      <c r="D8" s="68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80"/>
      <c r="D9" s="68"/>
      <c r="E9" s="17"/>
      <c r="F9" s="178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80"/>
      <c r="D10" s="68"/>
      <c r="E10" s="17"/>
      <c r="F10" s="178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80"/>
      <c r="D11" s="68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80"/>
      <c r="D12" s="68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80"/>
      <c r="D13" s="68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4">
        <f t="shared" ref="G14:H14" si="1">SUM(G4:G13)</f>
        <v>0</v>
      </c>
      <c r="H14" s="7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0</v>
      </c>
      <c r="C17" s="72" t="s">
        <v>6</v>
      </c>
      <c r="D17" s="72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117</v>
      </c>
      <c r="O17" s="72" t="s">
        <v>1</v>
      </c>
      <c r="P17" s="1"/>
      <c r="Q17" s="1"/>
      <c r="R17" s="1"/>
    </row>
    <row r="18" ht="15.75" customHeight="1">
      <c r="A18" s="1"/>
      <c r="B18" s="73">
        <v>1.0</v>
      </c>
      <c r="C18" s="74" t="s">
        <v>119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3"/>
      <c r="P18" s="1"/>
      <c r="Q18" s="1"/>
      <c r="R18" s="1"/>
    </row>
    <row r="19" ht="15.75" customHeight="1">
      <c r="A19" s="1"/>
      <c r="B19" s="82">
        <v>2.0</v>
      </c>
      <c r="C19" s="98"/>
      <c r="D19" s="99"/>
      <c r="E19" s="77"/>
      <c r="F19" s="1"/>
      <c r="G19" s="1"/>
      <c r="H19" s="1"/>
      <c r="I19" s="1"/>
      <c r="J19" s="1"/>
      <c r="K19" s="1"/>
      <c r="L19" s="1"/>
      <c r="M19" s="1"/>
      <c r="N19" s="85" t="s">
        <v>129</v>
      </c>
      <c r="O19" s="166"/>
      <c r="P19" s="1"/>
      <c r="Q19" s="1"/>
      <c r="R19" s="1"/>
    </row>
    <row r="20" ht="15.75" customHeight="1">
      <c r="A20" s="1"/>
      <c r="B20" s="73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134</v>
      </c>
      <c r="O20" s="194"/>
      <c r="P20" s="1"/>
      <c r="Q20" s="1"/>
      <c r="R20" s="1"/>
    </row>
    <row r="21" ht="15.75" customHeight="1">
      <c r="A21" s="1"/>
      <c r="B21" s="82">
        <v>4.0</v>
      </c>
      <c r="C21" s="98"/>
      <c r="D21" s="99"/>
      <c r="E21" s="77"/>
      <c r="F21" s="1"/>
      <c r="G21" s="1"/>
      <c r="H21" s="1"/>
      <c r="I21" s="1"/>
      <c r="J21" s="1"/>
      <c r="K21" s="1"/>
      <c r="L21" s="1"/>
      <c r="M21" s="1"/>
      <c r="N21" s="93" t="s">
        <v>137</v>
      </c>
      <c r="O21" s="166"/>
      <c r="P21" s="1"/>
      <c r="Q21" s="1"/>
      <c r="R21" s="1"/>
    </row>
    <row r="22" ht="15.75" customHeight="1">
      <c r="A22" s="1"/>
      <c r="B22" s="73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99"/>
      <c r="E23" s="77"/>
      <c r="F23" s="1"/>
      <c r="G23" s="1"/>
      <c r="H23" s="1"/>
      <c r="I23" s="1"/>
      <c r="J23" s="1"/>
      <c r="K23" s="100" t="s">
        <v>142</v>
      </c>
      <c r="Q23" s="1"/>
      <c r="R23" s="1"/>
    </row>
    <row r="24" ht="15.75" customHeight="1">
      <c r="A24" s="1"/>
      <c r="B24" s="73">
        <v>7.0</v>
      </c>
      <c r="C24" s="74"/>
      <c r="D24" s="76"/>
      <c r="E24" s="77"/>
      <c r="F24" s="1"/>
      <c r="G24" s="1"/>
      <c r="H24" s="1"/>
      <c r="I24" s="1"/>
      <c r="J24" s="1"/>
      <c r="K24" s="101" t="s">
        <v>1</v>
      </c>
      <c r="L24" s="101" t="s">
        <v>145</v>
      </c>
      <c r="M24" s="101" t="s">
        <v>146</v>
      </c>
      <c r="N24" s="101" t="s">
        <v>147</v>
      </c>
      <c r="O24" s="101" t="s">
        <v>148</v>
      </c>
      <c r="P24" s="101" t="s">
        <v>149</v>
      </c>
      <c r="Q24" s="1"/>
      <c r="R24" s="1"/>
      <c r="AC24" s="102" t="s">
        <v>150</v>
      </c>
      <c r="AD24" s="102" t="s">
        <v>151</v>
      </c>
      <c r="AE24" s="102" t="s">
        <v>153</v>
      </c>
      <c r="AF24" s="102" t="s">
        <v>155</v>
      </c>
      <c r="AG24" s="102" t="s">
        <v>156</v>
      </c>
    </row>
    <row r="25" ht="15.75" customHeight="1">
      <c r="A25" s="1"/>
      <c r="B25" s="82">
        <v>8.0</v>
      </c>
      <c r="C25" s="98"/>
      <c r="D25" s="99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98"/>
      <c r="D27" s="99"/>
      <c r="E27" s="77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200</v>
      </c>
      <c r="N33" s="182"/>
      <c r="O33" s="1"/>
      <c r="P33" s="1"/>
      <c r="Q33" s="1"/>
      <c r="R33" s="1"/>
    </row>
    <row r="34" ht="15.75" customHeight="1">
      <c r="K34" s="122" t="s">
        <v>7</v>
      </c>
      <c r="L34" s="122" t="s">
        <v>201</v>
      </c>
      <c r="M34" s="122" t="s">
        <v>202</v>
      </c>
      <c r="N34" s="184" t="s">
        <v>203</v>
      </c>
    </row>
    <row r="35" ht="15.75" customHeight="1">
      <c r="K35" s="125" t="str">
        <f t="shared" ref="K35:K36" si="8">IF(O18="","",O18)</f>
        <v/>
      </c>
      <c r="L35" s="128"/>
      <c r="M35" s="128"/>
      <c r="N35" s="186"/>
    </row>
    <row r="36" ht="15.75" customHeight="1">
      <c r="K36" s="125" t="str">
        <f t="shared" si="8"/>
        <v/>
      </c>
      <c r="L36" s="128"/>
      <c r="M36" s="128"/>
      <c r="N36" s="186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7" t="s">
        <v>209</v>
      </c>
      <c r="M40" s="139">
        <f>COUNTIF($I$4:$I$16,"DP")</f>
        <v>0</v>
      </c>
    </row>
    <row r="41" ht="19.5" customHeight="1">
      <c r="K41" s="137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1" t="s">
        <v>212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0"/>
      <c r="D4" s="68"/>
      <c r="E4" s="17"/>
      <c r="F4" s="16"/>
      <c r="G4" s="159"/>
      <c r="H4" s="62"/>
      <c r="I4" s="16"/>
      <c r="J4" s="16"/>
      <c r="K4" s="16"/>
      <c r="L4" s="16"/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80"/>
      <c r="D5" s="68"/>
      <c r="E5" s="17"/>
      <c r="F5" s="16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2"/>
      <c r="D6" s="68"/>
      <c r="E6" s="17"/>
      <c r="F6" s="1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80"/>
      <c r="D7" s="68"/>
      <c r="E7" s="17"/>
      <c r="F7" s="16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80"/>
      <c r="D8" s="68"/>
      <c r="E8" s="17"/>
      <c r="F8" s="16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80"/>
      <c r="D9" s="68"/>
      <c r="E9" s="17"/>
      <c r="F9" s="16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80"/>
      <c r="D10" s="68"/>
      <c r="E10" s="17"/>
      <c r="F10" s="178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80"/>
      <c r="D11" s="68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80"/>
      <c r="D12" s="68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80"/>
      <c r="D13" s="68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4">
        <f t="shared" ref="G14:H14" si="1">SUM(G4:G13)</f>
        <v>0</v>
      </c>
      <c r="H14" s="7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0</v>
      </c>
      <c r="C17" s="72" t="s">
        <v>6</v>
      </c>
      <c r="D17" s="72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117</v>
      </c>
      <c r="O17" s="72" t="s">
        <v>1</v>
      </c>
      <c r="P17" s="1"/>
      <c r="Q17" s="1"/>
      <c r="R17" s="1"/>
    </row>
    <row r="18" ht="15.75" customHeight="1">
      <c r="A18" s="1"/>
      <c r="B18" s="73">
        <v>1.0</v>
      </c>
      <c r="C18" s="74" t="s">
        <v>119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3"/>
      <c r="P18" s="1"/>
      <c r="Q18" s="1"/>
      <c r="R18" s="1"/>
    </row>
    <row r="19" ht="15.75" customHeight="1">
      <c r="A19" s="1"/>
      <c r="B19" s="82">
        <v>2.0</v>
      </c>
      <c r="C19" s="98"/>
      <c r="D19" s="99"/>
      <c r="E19" s="77"/>
      <c r="F19" s="1"/>
      <c r="G19" s="1"/>
      <c r="H19" s="1"/>
      <c r="I19" s="1"/>
      <c r="J19" s="1"/>
      <c r="K19" s="1"/>
      <c r="L19" s="1"/>
      <c r="M19" s="1"/>
      <c r="N19" s="85" t="s">
        <v>129</v>
      </c>
      <c r="O19" s="166"/>
      <c r="P19" s="1"/>
      <c r="Q19" s="1"/>
      <c r="R19" s="1"/>
    </row>
    <row r="20" ht="15.75" customHeight="1">
      <c r="A20" s="1"/>
      <c r="B20" s="73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8"/>
      <c r="D21" s="99"/>
      <c r="E21" s="77"/>
      <c r="F21" s="1"/>
      <c r="G21" s="1"/>
      <c r="H21" s="1"/>
      <c r="I21" s="1"/>
      <c r="J21" s="1"/>
      <c r="K21" s="1"/>
      <c r="L21" s="1"/>
      <c r="M21" s="1"/>
      <c r="N21" s="93" t="s">
        <v>137</v>
      </c>
      <c r="O21" s="166"/>
      <c r="P21" s="1"/>
      <c r="Q21" s="1"/>
      <c r="R21" s="1"/>
    </row>
    <row r="22" ht="15.75" customHeight="1">
      <c r="A22" s="1"/>
      <c r="B22" s="73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99"/>
      <c r="E23" s="77"/>
      <c r="F23" s="1"/>
      <c r="G23" s="1"/>
      <c r="H23" s="1"/>
      <c r="I23" s="1"/>
      <c r="J23" s="1"/>
      <c r="K23" s="100" t="s">
        <v>142</v>
      </c>
      <c r="Q23" s="1"/>
      <c r="R23" s="1"/>
    </row>
    <row r="24" ht="15.75" customHeight="1">
      <c r="A24" s="1"/>
      <c r="B24" s="73">
        <v>7.0</v>
      </c>
      <c r="C24" s="74"/>
      <c r="D24" s="76"/>
      <c r="E24" s="77"/>
      <c r="F24" s="1"/>
      <c r="G24" s="1"/>
      <c r="H24" s="1"/>
      <c r="I24" s="1"/>
      <c r="J24" s="1"/>
      <c r="K24" s="101" t="s">
        <v>1</v>
      </c>
      <c r="L24" s="101" t="s">
        <v>145</v>
      </c>
      <c r="M24" s="101" t="s">
        <v>146</v>
      </c>
      <c r="N24" s="101" t="s">
        <v>147</v>
      </c>
      <c r="O24" s="101" t="s">
        <v>148</v>
      </c>
      <c r="P24" s="101" t="s">
        <v>149</v>
      </c>
      <c r="Q24" s="1"/>
      <c r="R24" s="1"/>
      <c r="AC24" s="102" t="s">
        <v>150</v>
      </c>
      <c r="AD24" s="102" t="s">
        <v>151</v>
      </c>
      <c r="AE24" s="102" t="s">
        <v>153</v>
      </c>
      <c r="AF24" s="102" t="s">
        <v>155</v>
      </c>
      <c r="AG24" s="102" t="s">
        <v>156</v>
      </c>
    </row>
    <row r="25" ht="15.75" customHeight="1">
      <c r="A25" s="1"/>
      <c r="B25" s="82">
        <v>8.0</v>
      </c>
      <c r="C25" s="98"/>
      <c r="D25" s="99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98"/>
      <c r="D27" s="99"/>
      <c r="E27" s="77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200</v>
      </c>
      <c r="N33" s="182"/>
      <c r="O33" s="1"/>
      <c r="P33" s="1"/>
      <c r="Q33" s="1"/>
      <c r="R33" s="1"/>
    </row>
    <row r="34" ht="15.75" customHeight="1">
      <c r="K34" s="122" t="s">
        <v>7</v>
      </c>
      <c r="L34" s="122" t="s">
        <v>201</v>
      </c>
      <c r="M34" s="122" t="s">
        <v>202</v>
      </c>
      <c r="N34" s="184" t="s">
        <v>203</v>
      </c>
    </row>
    <row r="35" ht="15.75" customHeight="1">
      <c r="K35" s="125" t="str">
        <f t="shared" ref="K35:K36" si="8">IF(O18="","",O18)</f>
        <v/>
      </c>
      <c r="L35" s="128"/>
      <c r="M35" s="128"/>
      <c r="N35" s="186"/>
    </row>
    <row r="36" ht="15.75" customHeight="1">
      <c r="K36" s="125" t="str">
        <f t="shared" si="8"/>
        <v/>
      </c>
      <c r="L36" s="128"/>
      <c r="M36" s="128"/>
      <c r="N36" s="186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7" t="s">
        <v>209</v>
      </c>
      <c r="M40" s="139">
        <f>COUNTIF($I$4:$I$16,"DP")</f>
        <v>0</v>
      </c>
    </row>
    <row r="41" ht="19.5" customHeight="1">
      <c r="K41" s="137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1" t="s">
        <v>212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0"/>
      <c r="D4" s="68"/>
      <c r="E4" s="17"/>
      <c r="F4" s="16"/>
      <c r="G4" s="159"/>
      <c r="H4" s="62"/>
      <c r="I4" s="16"/>
      <c r="J4" s="16"/>
      <c r="K4" s="16"/>
      <c r="L4" s="16"/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80"/>
      <c r="D5" s="68"/>
      <c r="E5" s="17"/>
      <c r="F5" s="16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80"/>
      <c r="D6" s="68"/>
      <c r="E6" s="17"/>
      <c r="F6" s="1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80"/>
      <c r="D7" s="68"/>
      <c r="E7" s="17"/>
      <c r="F7" s="178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80"/>
      <c r="D8" s="68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80"/>
      <c r="D9" s="68"/>
      <c r="E9" s="17"/>
      <c r="F9" s="178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80"/>
      <c r="D10" s="68"/>
      <c r="E10" s="17"/>
      <c r="F10" s="178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80"/>
      <c r="D11" s="68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80"/>
      <c r="D12" s="68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80"/>
      <c r="D13" s="68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4">
        <f t="shared" ref="G14:H14" si="1">SUM(G4:G13)</f>
        <v>0</v>
      </c>
      <c r="H14" s="7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0</v>
      </c>
      <c r="C17" s="72" t="s">
        <v>6</v>
      </c>
      <c r="D17" s="72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117</v>
      </c>
      <c r="O17" s="72" t="s">
        <v>1</v>
      </c>
      <c r="P17" s="1"/>
      <c r="Q17" s="1"/>
      <c r="R17" s="1"/>
    </row>
    <row r="18" ht="15.75" customHeight="1">
      <c r="A18" s="1"/>
      <c r="B18" s="73">
        <v>1.0</v>
      </c>
      <c r="C18" s="74" t="s">
        <v>119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3"/>
      <c r="P18" s="1"/>
      <c r="Q18" s="1"/>
      <c r="R18" s="1"/>
    </row>
    <row r="19" ht="15.75" customHeight="1">
      <c r="A19" s="1"/>
      <c r="B19" s="82">
        <v>2.0</v>
      </c>
      <c r="C19" s="98"/>
      <c r="D19" s="99"/>
      <c r="E19" s="77"/>
      <c r="F19" s="1"/>
      <c r="G19" s="1"/>
      <c r="H19" s="1"/>
      <c r="I19" s="1"/>
      <c r="J19" s="1"/>
      <c r="K19" s="1"/>
      <c r="L19" s="1"/>
      <c r="M19" s="1"/>
      <c r="N19" s="85" t="s">
        <v>129</v>
      </c>
      <c r="O19" s="166"/>
      <c r="P19" s="1"/>
      <c r="Q19" s="1"/>
      <c r="R19" s="1"/>
    </row>
    <row r="20" ht="15.75" customHeight="1">
      <c r="A20" s="1"/>
      <c r="B20" s="73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8"/>
      <c r="D21" s="99"/>
      <c r="E21" s="77"/>
      <c r="F21" s="1"/>
      <c r="G21" s="1"/>
      <c r="H21" s="1"/>
      <c r="I21" s="1"/>
      <c r="J21" s="1"/>
      <c r="K21" s="1"/>
      <c r="L21" s="1"/>
      <c r="M21" s="1"/>
      <c r="N21" s="93" t="s">
        <v>137</v>
      </c>
      <c r="O21" s="166"/>
      <c r="P21" s="1"/>
      <c r="Q21" s="1"/>
      <c r="R21" s="1"/>
    </row>
    <row r="22" ht="15.75" customHeight="1">
      <c r="A22" s="1"/>
      <c r="B22" s="73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99"/>
      <c r="E23" s="77"/>
      <c r="F23" s="1"/>
      <c r="G23" s="1"/>
      <c r="H23" s="1"/>
      <c r="I23" s="1"/>
      <c r="J23" s="1"/>
      <c r="K23" s="100" t="s">
        <v>142</v>
      </c>
      <c r="Q23" s="1"/>
      <c r="R23" s="1"/>
    </row>
    <row r="24" ht="15.75" customHeight="1">
      <c r="A24" s="1"/>
      <c r="B24" s="73">
        <v>7.0</v>
      </c>
      <c r="C24" s="74"/>
      <c r="D24" s="76"/>
      <c r="E24" s="77"/>
      <c r="F24" s="1"/>
      <c r="G24" s="1"/>
      <c r="H24" s="1"/>
      <c r="I24" s="1"/>
      <c r="J24" s="1"/>
      <c r="K24" s="101" t="s">
        <v>1</v>
      </c>
      <c r="L24" s="101" t="s">
        <v>145</v>
      </c>
      <c r="M24" s="101" t="s">
        <v>146</v>
      </c>
      <c r="N24" s="101" t="s">
        <v>147</v>
      </c>
      <c r="O24" s="101" t="s">
        <v>148</v>
      </c>
      <c r="P24" s="101" t="s">
        <v>149</v>
      </c>
      <c r="Q24" s="1"/>
      <c r="R24" s="1"/>
      <c r="AC24" s="102" t="s">
        <v>150</v>
      </c>
      <c r="AD24" s="102" t="s">
        <v>151</v>
      </c>
      <c r="AE24" s="102" t="s">
        <v>153</v>
      </c>
      <c r="AF24" s="102" t="s">
        <v>155</v>
      </c>
      <c r="AG24" s="102" t="s">
        <v>156</v>
      </c>
    </row>
    <row r="25" ht="15.75" customHeight="1">
      <c r="A25" s="1"/>
      <c r="B25" s="82">
        <v>8.0</v>
      </c>
      <c r="C25" s="98"/>
      <c r="D25" s="99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98"/>
      <c r="D27" s="99"/>
      <c r="E27" s="77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7</v>
      </c>
      <c r="L34" s="122" t="s">
        <v>201</v>
      </c>
      <c r="M34" s="122" t="s">
        <v>202</v>
      </c>
    </row>
    <row r="35" ht="15.75" customHeight="1">
      <c r="K35" s="125" t="str">
        <f t="shared" ref="K35:K36" si="8">IF(O18="","",O18)</f>
        <v/>
      </c>
      <c r="L35" s="128"/>
      <c r="M35" s="128"/>
    </row>
    <row r="36" ht="15.75" customHeight="1">
      <c r="K36" s="125" t="str">
        <f t="shared" si="8"/>
        <v/>
      </c>
      <c r="L36" s="128"/>
      <c r="M36" s="128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7" t="s">
        <v>209</v>
      </c>
      <c r="M40" s="139">
        <f>COUNTIF($I$4:$I$16,"DP")</f>
        <v>0</v>
      </c>
    </row>
    <row r="41" ht="19.5" customHeight="1">
      <c r="K41" s="137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1" t="s">
        <v>212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0"/>
      <c r="D4" s="68"/>
      <c r="E4" s="17"/>
      <c r="F4" s="16"/>
      <c r="G4" s="159"/>
      <c r="H4" s="62"/>
      <c r="I4" s="16"/>
      <c r="J4" s="16"/>
      <c r="K4" s="16"/>
      <c r="L4" s="16"/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193"/>
      <c r="D5" s="68"/>
      <c r="E5" s="17"/>
      <c r="F5" s="16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80"/>
      <c r="D6" s="68"/>
      <c r="E6" s="17"/>
      <c r="F6" s="1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80"/>
      <c r="D7" s="68"/>
      <c r="E7" s="17"/>
      <c r="F7" s="16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80"/>
      <c r="D8" s="68"/>
      <c r="E8" s="17"/>
      <c r="F8" s="16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80"/>
      <c r="D9" s="68"/>
      <c r="E9" s="17"/>
      <c r="F9" s="16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80"/>
      <c r="D10" s="68"/>
      <c r="E10" s="17"/>
      <c r="F10" s="16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80"/>
      <c r="D11" s="68"/>
      <c r="E11" s="17"/>
      <c r="F11" s="16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80"/>
      <c r="D12" s="68"/>
      <c r="E12" s="17"/>
      <c r="F12" s="16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80"/>
      <c r="D13" s="68"/>
      <c r="E13" s="17"/>
      <c r="F13" s="16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4">
        <f t="shared" ref="G14:H14" si="1">SUM(G4:G13)</f>
        <v>0</v>
      </c>
      <c r="H14" s="7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0</v>
      </c>
      <c r="C17" s="72" t="s">
        <v>6</v>
      </c>
      <c r="D17" s="72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117</v>
      </c>
      <c r="O17" s="72" t="s">
        <v>1</v>
      </c>
      <c r="P17" s="1"/>
      <c r="Q17" s="1"/>
      <c r="R17" s="1"/>
    </row>
    <row r="18" ht="15.75" customHeight="1">
      <c r="A18" s="1"/>
      <c r="B18" s="73">
        <v>1.0</v>
      </c>
      <c r="C18" s="74" t="s">
        <v>119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3"/>
      <c r="P18" s="1"/>
      <c r="Q18" s="1"/>
      <c r="R18" s="1"/>
    </row>
    <row r="19" ht="15.75" customHeight="1">
      <c r="A19" s="1"/>
      <c r="B19" s="82">
        <v>2.0</v>
      </c>
      <c r="C19" s="98"/>
      <c r="D19" s="99"/>
      <c r="E19" s="77"/>
      <c r="F19" s="1"/>
      <c r="G19" s="1"/>
      <c r="H19" s="1"/>
      <c r="I19" s="1"/>
      <c r="J19" s="1"/>
      <c r="K19" s="1"/>
      <c r="L19" s="1"/>
      <c r="M19" s="1"/>
      <c r="N19" s="85" t="s">
        <v>129</v>
      </c>
      <c r="O19" s="166"/>
      <c r="P19" s="1"/>
      <c r="Q19" s="1"/>
      <c r="R19" s="1"/>
    </row>
    <row r="20" ht="15.75" customHeight="1">
      <c r="A20" s="1"/>
      <c r="B20" s="73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8"/>
      <c r="D21" s="99"/>
      <c r="E21" s="77"/>
      <c r="F21" s="1"/>
      <c r="G21" s="1"/>
      <c r="H21" s="1"/>
      <c r="I21" s="1"/>
      <c r="J21" s="1"/>
      <c r="K21" s="1"/>
      <c r="L21" s="1"/>
      <c r="M21" s="1"/>
      <c r="N21" s="93" t="s">
        <v>137</v>
      </c>
      <c r="O21" s="166"/>
      <c r="P21" s="1"/>
      <c r="Q21" s="1"/>
      <c r="R21" s="1"/>
    </row>
    <row r="22" ht="15.75" customHeight="1">
      <c r="A22" s="1"/>
      <c r="B22" s="73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99"/>
      <c r="E23" s="77"/>
      <c r="F23" s="1"/>
      <c r="G23" s="1"/>
      <c r="H23" s="1"/>
      <c r="I23" s="1"/>
      <c r="J23" s="1"/>
      <c r="K23" s="100" t="s">
        <v>142</v>
      </c>
      <c r="Q23" s="1"/>
      <c r="R23" s="1"/>
    </row>
    <row r="24" ht="15.75" customHeight="1">
      <c r="A24" s="1"/>
      <c r="B24" s="73">
        <v>7.0</v>
      </c>
      <c r="C24" s="74"/>
      <c r="D24" s="76"/>
      <c r="E24" s="77"/>
      <c r="F24" s="1"/>
      <c r="G24" s="1"/>
      <c r="H24" s="1"/>
      <c r="I24" s="1"/>
      <c r="J24" s="1"/>
      <c r="K24" s="101" t="s">
        <v>1</v>
      </c>
      <c r="L24" s="101" t="s">
        <v>145</v>
      </c>
      <c r="M24" s="101" t="s">
        <v>146</v>
      </c>
      <c r="N24" s="101" t="s">
        <v>147</v>
      </c>
      <c r="O24" s="101" t="s">
        <v>148</v>
      </c>
      <c r="P24" s="101" t="s">
        <v>149</v>
      </c>
      <c r="Q24" s="1"/>
      <c r="R24" s="1"/>
      <c r="AC24" s="102" t="s">
        <v>150</v>
      </c>
      <c r="AD24" s="102" t="s">
        <v>151</v>
      </c>
      <c r="AE24" s="102" t="s">
        <v>153</v>
      </c>
      <c r="AF24" s="102" t="s">
        <v>155</v>
      </c>
      <c r="AG24" s="102" t="s">
        <v>156</v>
      </c>
    </row>
    <row r="25" ht="15.75" customHeight="1">
      <c r="A25" s="1"/>
      <c r="B25" s="82">
        <v>8.0</v>
      </c>
      <c r="C25" s="98"/>
      <c r="D25" s="99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98"/>
      <c r="D27" s="99"/>
      <c r="E27" s="77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200</v>
      </c>
      <c r="N33" s="182"/>
      <c r="O33" s="1"/>
      <c r="P33" s="1"/>
      <c r="Q33" s="1"/>
      <c r="R33" s="1"/>
    </row>
    <row r="34" ht="15.75" customHeight="1">
      <c r="K34" s="122" t="s">
        <v>7</v>
      </c>
      <c r="L34" s="122" t="s">
        <v>201</v>
      </c>
      <c r="M34" s="122" t="s">
        <v>202</v>
      </c>
      <c r="N34" s="184" t="s">
        <v>203</v>
      </c>
    </row>
    <row r="35" ht="15.75" customHeight="1">
      <c r="K35" s="125" t="str">
        <f t="shared" ref="K35:K36" si="8">IF(O18="","",O18)</f>
        <v/>
      </c>
      <c r="L35" s="128"/>
      <c r="M35" s="128"/>
      <c r="N35" s="186"/>
    </row>
    <row r="36" ht="15.75" customHeight="1">
      <c r="K36" s="125" t="str">
        <f t="shared" si="8"/>
        <v/>
      </c>
      <c r="L36" s="128"/>
      <c r="M36" s="128"/>
      <c r="N36" s="186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7" t="s">
        <v>209</v>
      </c>
      <c r="M40" s="139">
        <f>COUNTIF($I$4:$I$16,"DP")</f>
        <v>0</v>
      </c>
    </row>
    <row r="41" ht="19.5" customHeight="1">
      <c r="K41" s="137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1" t="s">
        <v>212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0"/>
      <c r="D4" s="68"/>
      <c r="E4" s="17"/>
      <c r="F4" s="178"/>
      <c r="G4" s="159"/>
      <c r="H4" s="62"/>
      <c r="I4" s="16"/>
      <c r="J4" s="16"/>
      <c r="K4" s="16"/>
      <c r="L4" s="16"/>
      <c r="M4" s="16"/>
      <c r="N4" s="33"/>
      <c r="O4" s="33"/>
      <c r="P4" s="33"/>
      <c r="Q4" s="1"/>
      <c r="R4" s="1"/>
    </row>
    <row r="5" ht="15.75" customHeight="1">
      <c r="A5" s="1"/>
      <c r="B5" s="16">
        <v>2.0</v>
      </c>
      <c r="C5" s="80"/>
      <c r="D5" s="68"/>
      <c r="E5" s="17"/>
      <c r="F5" s="178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80"/>
      <c r="D6" s="68"/>
      <c r="E6" s="17"/>
      <c r="F6" s="178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80"/>
      <c r="D7" s="68"/>
      <c r="E7" s="17"/>
      <c r="F7" s="178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80"/>
      <c r="D8" s="68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80"/>
      <c r="D9" s="68"/>
      <c r="E9" s="17"/>
      <c r="F9" s="178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80"/>
      <c r="D10" s="68"/>
      <c r="E10" s="17"/>
      <c r="F10" s="103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70"/>
      <c r="D11" s="68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80"/>
      <c r="D12" s="68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80"/>
      <c r="D13" s="68"/>
      <c r="E13" s="17"/>
      <c r="F13" s="103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4">
        <f t="shared" ref="G14:H14" si="1">SUM(G4:G13)</f>
        <v>0</v>
      </c>
      <c r="H14" s="7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0</v>
      </c>
      <c r="C17" s="72" t="s">
        <v>6</v>
      </c>
      <c r="D17" s="72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117</v>
      </c>
      <c r="O17" s="72" t="s">
        <v>1</v>
      </c>
      <c r="P17" s="1"/>
      <c r="Q17" s="1"/>
      <c r="R17" s="1"/>
    </row>
    <row r="18" ht="15.75" customHeight="1">
      <c r="A18" s="1"/>
      <c r="B18" s="73">
        <v>1.0</v>
      </c>
      <c r="C18" s="74" t="s">
        <v>119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3"/>
      <c r="P18" s="1"/>
      <c r="Q18" s="1"/>
      <c r="R18" s="1"/>
    </row>
    <row r="19" ht="15.75" customHeight="1">
      <c r="A19" s="1"/>
      <c r="B19" s="82">
        <v>2.0</v>
      </c>
      <c r="C19" s="98"/>
      <c r="D19" s="99"/>
      <c r="E19" s="77"/>
      <c r="F19" s="1"/>
      <c r="G19" s="1"/>
      <c r="H19" s="1"/>
      <c r="I19" s="1"/>
      <c r="J19" s="1"/>
      <c r="K19" s="1"/>
      <c r="L19" s="1"/>
      <c r="M19" s="1"/>
      <c r="N19" s="85" t="s">
        <v>129</v>
      </c>
      <c r="O19" s="166"/>
      <c r="P19" s="1"/>
      <c r="Q19" s="1"/>
      <c r="R19" s="1"/>
    </row>
    <row r="20" ht="15.75" customHeight="1">
      <c r="A20" s="1"/>
      <c r="B20" s="73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8"/>
      <c r="D21" s="99"/>
      <c r="E21" s="77"/>
      <c r="F21" s="1"/>
      <c r="G21" s="1"/>
      <c r="H21" s="1"/>
      <c r="I21" s="1"/>
      <c r="J21" s="1"/>
      <c r="K21" s="1"/>
      <c r="L21" s="1"/>
      <c r="M21" s="1"/>
      <c r="N21" s="93" t="s">
        <v>137</v>
      </c>
      <c r="O21" s="166"/>
      <c r="P21" s="1"/>
      <c r="Q21" s="1"/>
      <c r="R21" s="1"/>
    </row>
    <row r="22" ht="15.75" customHeight="1">
      <c r="A22" s="1"/>
      <c r="B22" s="73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99"/>
      <c r="E23" s="77"/>
      <c r="F23" s="1"/>
      <c r="G23" s="1"/>
      <c r="H23" s="1"/>
      <c r="I23" s="1"/>
      <c r="J23" s="1"/>
      <c r="K23" s="100" t="s">
        <v>142</v>
      </c>
      <c r="Q23" s="1"/>
      <c r="R23" s="1"/>
    </row>
    <row r="24" ht="15.75" customHeight="1">
      <c r="A24" s="1"/>
      <c r="B24" s="73">
        <v>7.0</v>
      </c>
      <c r="C24" s="74"/>
      <c r="D24" s="76"/>
      <c r="E24" s="77"/>
      <c r="F24" s="1"/>
      <c r="G24" s="1"/>
      <c r="H24" s="1"/>
      <c r="I24" s="1"/>
      <c r="J24" s="1"/>
      <c r="K24" s="101" t="s">
        <v>1</v>
      </c>
      <c r="L24" s="101" t="s">
        <v>145</v>
      </c>
      <c r="M24" s="101" t="s">
        <v>146</v>
      </c>
      <c r="N24" s="101" t="s">
        <v>147</v>
      </c>
      <c r="O24" s="101" t="s">
        <v>148</v>
      </c>
      <c r="P24" s="101" t="s">
        <v>149</v>
      </c>
      <c r="Q24" s="1"/>
      <c r="R24" s="1"/>
      <c r="AC24" s="102" t="s">
        <v>150</v>
      </c>
      <c r="AD24" s="102" t="s">
        <v>151</v>
      </c>
      <c r="AE24" s="102" t="s">
        <v>153</v>
      </c>
      <c r="AF24" s="102" t="s">
        <v>155</v>
      </c>
      <c r="AG24" s="102" t="s">
        <v>156</v>
      </c>
    </row>
    <row r="25" ht="15.75" customHeight="1">
      <c r="A25" s="1"/>
      <c r="B25" s="82">
        <v>8.0</v>
      </c>
      <c r="C25" s="98"/>
      <c r="D25" s="99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98"/>
      <c r="D27" s="99"/>
      <c r="E27" s="77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200</v>
      </c>
      <c r="N33" s="182"/>
      <c r="O33" s="1"/>
      <c r="P33" s="1"/>
      <c r="Q33" s="1"/>
      <c r="R33" s="1"/>
    </row>
    <row r="34" ht="15.75" customHeight="1">
      <c r="K34" s="122" t="s">
        <v>7</v>
      </c>
      <c r="L34" s="122" t="s">
        <v>201</v>
      </c>
      <c r="M34" s="122" t="s">
        <v>202</v>
      </c>
      <c r="N34" s="184" t="s">
        <v>203</v>
      </c>
    </row>
    <row r="35" ht="15.75" customHeight="1">
      <c r="K35" s="125" t="str">
        <f t="shared" ref="K35:K36" si="8">IF(O18="","",O18)</f>
        <v/>
      </c>
      <c r="L35" s="128"/>
      <c r="M35" s="128"/>
      <c r="N35" s="186"/>
    </row>
    <row r="36" ht="15.75" customHeight="1">
      <c r="K36" s="125" t="str">
        <f t="shared" si="8"/>
        <v/>
      </c>
      <c r="L36" s="128"/>
      <c r="M36" s="128"/>
      <c r="N36" s="186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7" t="s">
        <v>209</v>
      </c>
      <c r="M40" s="139">
        <f>COUNTIF($I$4:$I$16,"DP")</f>
        <v>0</v>
      </c>
    </row>
    <row r="41" ht="19.5" customHeight="1">
      <c r="K41" s="137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1" t="s">
        <v>212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0"/>
      <c r="D4" s="68"/>
      <c r="E4" s="17"/>
      <c r="F4" s="16"/>
      <c r="G4" s="159"/>
      <c r="H4" s="62"/>
      <c r="I4" s="16"/>
      <c r="J4" s="16"/>
      <c r="K4" s="16"/>
      <c r="L4" s="16"/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80"/>
      <c r="D5" s="68"/>
      <c r="E5" s="17"/>
      <c r="F5" s="16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80"/>
      <c r="D6" s="68"/>
      <c r="E6" s="17"/>
      <c r="F6" s="1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80"/>
      <c r="D7" s="68"/>
      <c r="E7" s="17"/>
      <c r="F7" s="16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80"/>
      <c r="D8" s="68"/>
      <c r="E8" s="17"/>
      <c r="F8" s="16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80"/>
      <c r="D9" s="68"/>
      <c r="E9" s="17"/>
      <c r="F9" s="16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80"/>
      <c r="D10" s="68"/>
      <c r="E10" s="17"/>
      <c r="F10" s="16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80"/>
      <c r="D11" s="68"/>
      <c r="E11" s="17"/>
      <c r="F11" s="16"/>
      <c r="G11" s="62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80"/>
      <c r="D12" s="68"/>
      <c r="E12" s="17"/>
      <c r="F12" s="16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80"/>
      <c r="D13" s="68"/>
      <c r="E13" s="17"/>
      <c r="F13" s="16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4">
        <f t="shared" ref="G14:H14" si="1">SUM(G4:G13)</f>
        <v>0</v>
      </c>
      <c r="H14" s="7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0</v>
      </c>
      <c r="C17" s="72" t="s">
        <v>6</v>
      </c>
      <c r="D17" s="72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117</v>
      </c>
      <c r="O17" s="72" t="s">
        <v>1</v>
      </c>
      <c r="P17" s="1"/>
      <c r="Q17" s="1"/>
      <c r="R17" s="1"/>
    </row>
    <row r="18" ht="15.75" customHeight="1">
      <c r="A18" s="1"/>
      <c r="B18" s="73">
        <v>1.0</v>
      </c>
      <c r="C18" s="74" t="s">
        <v>119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3"/>
      <c r="P18" s="1"/>
      <c r="Q18" s="1"/>
      <c r="R18" s="1"/>
    </row>
    <row r="19" ht="15.75" customHeight="1">
      <c r="A19" s="1"/>
      <c r="B19" s="82">
        <v>2.0</v>
      </c>
      <c r="C19" s="98"/>
      <c r="D19" s="99"/>
      <c r="E19" s="77"/>
      <c r="F19" s="1"/>
      <c r="G19" s="1"/>
      <c r="H19" s="1"/>
      <c r="I19" s="1"/>
      <c r="J19" s="1"/>
      <c r="K19" s="1"/>
      <c r="L19" s="1"/>
      <c r="M19" s="1"/>
      <c r="N19" s="85" t="s">
        <v>129</v>
      </c>
      <c r="O19" s="166"/>
      <c r="P19" s="1"/>
      <c r="Q19" s="1"/>
      <c r="R19" s="1"/>
    </row>
    <row r="20" ht="15.75" customHeight="1">
      <c r="A20" s="1"/>
      <c r="B20" s="73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8"/>
      <c r="D21" s="99"/>
      <c r="E21" s="77"/>
      <c r="F21" s="1"/>
      <c r="G21" s="1"/>
      <c r="H21" s="1"/>
      <c r="I21" s="1"/>
      <c r="J21" s="1"/>
      <c r="K21" s="1"/>
      <c r="L21" s="1"/>
      <c r="M21" s="1"/>
      <c r="N21" s="93" t="s">
        <v>137</v>
      </c>
      <c r="O21" s="166"/>
      <c r="P21" s="1"/>
      <c r="Q21" s="1"/>
      <c r="R21" s="1"/>
    </row>
    <row r="22" ht="15.75" customHeight="1">
      <c r="A22" s="1"/>
      <c r="B22" s="73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99"/>
      <c r="E23" s="77"/>
      <c r="F23" s="1"/>
      <c r="G23" s="1"/>
      <c r="H23" s="1"/>
      <c r="I23" s="1"/>
      <c r="J23" s="1"/>
      <c r="K23" s="100" t="s">
        <v>142</v>
      </c>
      <c r="Q23" s="1"/>
      <c r="R23" s="1"/>
    </row>
    <row r="24" ht="15.75" customHeight="1">
      <c r="A24" s="1"/>
      <c r="B24" s="73">
        <v>7.0</v>
      </c>
      <c r="C24" s="74"/>
      <c r="D24" s="76"/>
      <c r="E24" s="77"/>
      <c r="F24" s="1"/>
      <c r="G24" s="1"/>
      <c r="H24" s="1"/>
      <c r="I24" s="1"/>
      <c r="J24" s="1"/>
      <c r="K24" s="101" t="s">
        <v>1</v>
      </c>
      <c r="L24" s="101" t="s">
        <v>145</v>
      </c>
      <c r="M24" s="101" t="s">
        <v>146</v>
      </c>
      <c r="N24" s="101" t="s">
        <v>147</v>
      </c>
      <c r="O24" s="101" t="s">
        <v>148</v>
      </c>
      <c r="P24" s="101" t="s">
        <v>149</v>
      </c>
      <c r="Q24" s="1"/>
      <c r="R24" s="1"/>
      <c r="AC24" s="102" t="s">
        <v>150</v>
      </c>
      <c r="AD24" s="102" t="s">
        <v>151</v>
      </c>
      <c r="AE24" s="102" t="s">
        <v>153</v>
      </c>
      <c r="AF24" s="102" t="s">
        <v>155</v>
      </c>
      <c r="AG24" s="102" t="s">
        <v>156</v>
      </c>
    </row>
    <row r="25" ht="15.75" customHeight="1">
      <c r="A25" s="1"/>
      <c r="B25" s="82">
        <v>8.0</v>
      </c>
      <c r="C25" s="98"/>
      <c r="D25" s="99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98"/>
      <c r="D27" s="99"/>
      <c r="E27" s="77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7</v>
      </c>
      <c r="L34" s="122" t="s">
        <v>201</v>
      </c>
      <c r="M34" s="122" t="s">
        <v>202</v>
      </c>
    </row>
    <row r="35" ht="15.75" customHeight="1">
      <c r="K35" s="125" t="str">
        <f t="shared" ref="K35:K36" si="8">IF(O18="","",O18)</f>
        <v/>
      </c>
      <c r="L35" s="128"/>
      <c r="M35" s="128"/>
    </row>
    <row r="36" ht="15.75" customHeight="1">
      <c r="K36" s="125" t="str">
        <f t="shared" si="8"/>
        <v/>
      </c>
      <c r="L36" s="128"/>
      <c r="M36" s="128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7" t="s">
        <v>209</v>
      </c>
      <c r="M40" s="139">
        <f>COUNTIF($I$4:$I$16,"DP")</f>
        <v>0</v>
      </c>
    </row>
    <row r="41" ht="19.5" customHeight="1">
      <c r="K41" s="137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1" t="s">
        <v>212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0"/>
      <c r="D4" s="68"/>
      <c r="E4" s="17"/>
      <c r="F4" s="108"/>
      <c r="G4" s="159"/>
      <c r="H4" s="62"/>
      <c r="I4" s="16"/>
      <c r="J4" s="16"/>
      <c r="K4" s="16"/>
      <c r="L4" s="16"/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80"/>
      <c r="D5" s="68"/>
      <c r="E5" s="17"/>
      <c r="F5" s="108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80"/>
      <c r="D6" s="68"/>
      <c r="E6" s="17"/>
      <c r="F6" s="103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80"/>
      <c r="D7" s="68"/>
      <c r="E7" s="17"/>
      <c r="F7" s="103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80"/>
      <c r="D8" s="68"/>
      <c r="E8" s="17"/>
      <c r="F8" s="103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80"/>
      <c r="D9" s="68"/>
      <c r="E9" s="17"/>
      <c r="F9" s="16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80"/>
      <c r="D10" s="68"/>
      <c r="E10" s="17"/>
      <c r="F10" s="16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80"/>
      <c r="D11" s="68"/>
      <c r="E11" s="17"/>
      <c r="F11" s="16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80"/>
      <c r="D12" s="68"/>
      <c r="E12" s="17"/>
      <c r="F12" s="103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80"/>
      <c r="D13" s="68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4">
        <f t="shared" ref="G14:H14" si="1">SUM(G4:G13)</f>
        <v>0</v>
      </c>
      <c r="H14" s="7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0</v>
      </c>
      <c r="C17" s="72" t="s">
        <v>6</v>
      </c>
      <c r="D17" s="72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117</v>
      </c>
      <c r="O17" s="72" t="s">
        <v>1</v>
      </c>
      <c r="P17" s="1"/>
      <c r="Q17" s="1"/>
      <c r="R17" s="1"/>
    </row>
    <row r="18" ht="15.75" customHeight="1">
      <c r="A18" s="1"/>
      <c r="B18" s="73">
        <v>1.0</v>
      </c>
      <c r="C18" s="74" t="s">
        <v>119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3"/>
      <c r="P18" s="1"/>
      <c r="Q18" s="1"/>
      <c r="R18" s="1"/>
    </row>
    <row r="19" ht="15.75" customHeight="1">
      <c r="A19" s="1"/>
      <c r="B19" s="82">
        <v>2.0</v>
      </c>
      <c r="C19" s="98"/>
      <c r="D19" s="99"/>
      <c r="E19" s="77"/>
      <c r="F19" s="1"/>
      <c r="G19" s="1"/>
      <c r="H19" s="1"/>
      <c r="I19" s="1"/>
      <c r="J19" s="1"/>
      <c r="K19" s="1"/>
      <c r="L19" s="1"/>
      <c r="M19" s="1"/>
      <c r="N19" s="85" t="s">
        <v>129</v>
      </c>
      <c r="O19" s="166"/>
      <c r="P19" s="1"/>
      <c r="Q19" s="1"/>
      <c r="R19" s="1"/>
    </row>
    <row r="20" ht="15.75" customHeight="1">
      <c r="A20" s="1"/>
      <c r="B20" s="73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8"/>
      <c r="D21" s="99"/>
      <c r="E21" s="77"/>
      <c r="F21" s="1"/>
      <c r="G21" s="1"/>
      <c r="H21" s="1"/>
      <c r="I21" s="1"/>
      <c r="J21" s="1"/>
      <c r="K21" s="1"/>
      <c r="L21" s="1"/>
      <c r="M21" s="1"/>
      <c r="N21" s="93" t="s">
        <v>137</v>
      </c>
      <c r="O21" s="166"/>
      <c r="P21" s="1"/>
      <c r="Q21" s="1"/>
      <c r="R21" s="1"/>
    </row>
    <row r="22" ht="15.75" customHeight="1">
      <c r="A22" s="1"/>
      <c r="B22" s="73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99"/>
      <c r="E23" s="77"/>
      <c r="F23" s="97"/>
      <c r="G23" s="1"/>
      <c r="H23" s="1"/>
      <c r="I23" s="1"/>
      <c r="J23" s="1"/>
      <c r="K23" s="100" t="s">
        <v>142</v>
      </c>
      <c r="Q23" s="1"/>
      <c r="R23" s="1"/>
    </row>
    <row r="24" ht="15.75" customHeight="1">
      <c r="A24" s="1"/>
      <c r="B24" s="73">
        <v>7.0</v>
      </c>
      <c r="C24" s="74"/>
      <c r="D24" s="76"/>
      <c r="E24" s="77"/>
      <c r="F24" s="1"/>
      <c r="G24" s="1"/>
      <c r="H24" s="1"/>
      <c r="I24" s="1"/>
      <c r="J24" s="1"/>
      <c r="K24" s="101" t="s">
        <v>1</v>
      </c>
      <c r="L24" s="101" t="s">
        <v>145</v>
      </c>
      <c r="M24" s="101" t="s">
        <v>146</v>
      </c>
      <c r="N24" s="101" t="s">
        <v>147</v>
      </c>
      <c r="O24" s="101" t="s">
        <v>148</v>
      </c>
      <c r="P24" s="101" t="s">
        <v>149</v>
      </c>
      <c r="Q24" s="1"/>
      <c r="R24" s="1"/>
      <c r="AC24" s="102" t="s">
        <v>150</v>
      </c>
      <c r="AD24" s="102" t="s">
        <v>151</v>
      </c>
      <c r="AE24" s="102" t="s">
        <v>153</v>
      </c>
      <c r="AF24" s="102" t="s">
        <v>155</v>
      </c>
      <c r="AG24" s="102" t="s">
        <v>156</v>
      </c>
    </row>
    <row r="25" ht="15.75" customHeight="1">
      <c r="A25" s="1"/>
      <c r="B25" s="82">
        <v>8.0</v>
      </c>
      <c r="C25" s="98"/>
      <c r="D25" s="99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98"/>
      <c r="D27" s="99"/>
      <c r="E27" s="77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7</v>
      </c>
      <c r="L34" s="122" t="s">
        <v>201</v>
      </c>
      <c r="M34" s="122" t="s">
        <v>202</v>
      </c>
    </row>
    <row r="35" ht="15.75" customHeight="1">
      <c r="K35" s="125" t="str">
        <f t="shared" ref="K35:K36" si="8">IF(O18="","",O18)</f>
        <v/>
      </c>
      <c r="L35" s="128"/>
      <c r="M35" s="128"/>
    </row>
    <row r="36" ht="15.75" customHeight="1">
      <c r="K36" s="125" t="str">
        <f t="shared" si="8"/>
        <v/>
      </c>
      <c r="L36" s="128"/>
      <c r="M36" s="128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7" t="s">
        <v>209</v>
      </c>
      <c r="M40" s="139">
        <f>COUNTIF($I$4:$I$16,"DP")</f>
        <v>0</v>
      </c>
    </row>
    <row r="41" ht="19.5" customHeight="1">
      <c r="K41" s="137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1" t="s">
        <v>212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0"/>
      <c r="D4" s="68"/>
      <c r="E4" s="17"/>
      <c r="F4" s="16"/>
      <c r="G4" s="159"/>
      <c r="H4" s="62"/>
      <c r="I4" s="16"/>
      <c r="J4" s="16"/>
      <c r="K4" s="16"/>
      <c r="L4" s="16"/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80"/>
      <c r="D5" s="68"/>
      <c r="E5" s="17"/>
      <c r="F5" s="16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80"/>
      <c r="D6" s="68"/>
      <c r="E6" s="17"/>
      <c r="F6" s="1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80"/>
      <c r="D7" s="68"/>
      <c r="E7" s="17"/>
      <c r="F7" s="178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80"/>
      <c r="D8" s="68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80"/>
      <c r="D9" s="68"/>
      <c r="E9" s="17"/>
      <c r="F9" s="178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80"/>
      <c r="D10" s="68"/>
      <c r="E10" s="17"/>
      <c r="F10" s="178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80"/>
      <c r="D11" s="68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80"/>
      <c r="D12" s="68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31">
        <v>10.0</v>
      </c>
      <c r="C13" s="80"/>
      <c r="D13" s="68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4">
        <f t="shared" ref="G14:H14" si="1">SUM(G4:G13)</f>
        <v>0</v>
      </c>
      <c r="H14" s="7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0</v>
      </c>
      <c r="C17" s="72" t="s">
        <v>6</v>
      </c>
      <c r="D17" s="72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117</v>
      </c>
      <c r="O17" s="72" t="s">
        <v>1</v>
      </c>
      <c r="P17" s="1"/>
      <c r="Q17" s="1"/>
      <c r="R17" s="1"/>
    </row>
    <row r="18" ht="15.75" customHeight="1">
      <c r="A18" s="1"/>
      <c r="B18" s="73">
        <v>1.0</v>
      </c>
      <c r="C18" s="74" t="s">
        <v>119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3"/>
      <c r="P18" s="1"/>
      <c r="Q18" s="1"/>
      <c r="R18" s="1"/>
    </row>
    <row r="19" ht="15.75" customHeight="1">
      <c r="A19" s="1"/>
      <c r="B19" s="82">
        <v>2.0</v>
      </c>
      <c r="C19" s="98"/>
      <c r="D19" s="99"/>
      <c r="E19" s="77"/>
      <c r="F19" s="1"/>
      <c r="G19" s="1"/>
      <c r="H19" s="1"/>
      <c r="I19" s="1"/>
      <c r="J19" s="1"/>
      <c r="K19" s="1"/>
      <c r="L19" s="1"/>
      <c r="M19" s="1"/>
      <c r="N19" s="85" t="s">
        <v>129</v>
      </c>
      <c r="O19" s="166"/>
      <c r="P19" s="1"/>
      <c r="Q19" s="1"/>
      <c r="R19" s="1"/>
    </row>
    <row r="20" ht="15.75" customHeight="1">
      <c r="A20" s="1"/>
      <c r="B20" s="73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8"/>
      <c r="D21" s="99"/>
      <c r="E21" s="77"/>
      <c r="F21" s="1"/>
      <c r="G21" s="1"/>
      <c r="H21" s="1"/>
      <c r="I21" s="1"/>
      <c r="J21" s="1"/>
      <c r="K21" s="1"/>
      <c r="L21" s="1"/>
      <c r="M21" s="1"/>
      <c r="N21" s="93" t="s">
        <v>137</v>
      </c>
      <c r="O21" s="166"/>
      <c r="P21" s="1"/>
      <c r="Q21" s="1"/>
      <c r="R21" s="1"/>
    </row>
    <row r="22" ht="15.75" customHeight="1">
      <c r="A22" s="1"/>
      <c r="B22" s="73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99"/>
      <c r="E23" s="77"/>
      <c r="F23" s="1"/>
      <c r="G23" s="1"/>
      <c r="H23" s="1"/>
      <c r="I23" s="1"/>
      <c r="J23" s="1"/>
      <c r="K23" s="100" t="s">
        <v>142</v>
      </c>
      <c r="Q23" s="1"/>
      <c r="R23" s="1"/>
    </row>
    <row r="24" ht="15.75" customHeight="1">
      <c r="A24" s="1"/>
      <c r="B24" s="73">
        <v>7.0</v>
      </c>
      <c r="C24" s="74"/>
      <c r="D24" s="76"/>
      <c r="E24" s="77"/>
      <c r="F24" s="1"/>
      <c r="G24" s="1"/>
      <c r="H24" s="1"/>
      <c r="I24" s="1"/>
      <c r="J24" s="1"/>
      <c r="K24" s="101" t="s">
        <v>1</v>
      </c>
      <c r="L24" s="101" t="s">
        <v>145</v>
      </c>
      <c r="M24" s="101" t="s">
        <v>146</v>
      </c>
      <c r="N24" s="101" t="s">
        <v>147</v>
      </c>
      <c r="O24" s="101" t="s">
        <v>148</v>
      </c>
      <c r="P24" s="101" t="s">
        <v>149</v>
      </c>
      <c r="Q24" s="1"/>
      <c r="R24" s="1"/>
      <c r="AC24" s="102" t="s">
        <v>150</v>
      </c>
      <c r="AD24" s="102" t="s">
        <v>151</v>
      </c>
      <c r="AE24" s="102" t="s">
        <v>153</v>
      </c>
      <c r="AF24" s="102" t="s">
        <v>155</v>
      </c>
      <c r="AG24" s="102" t="s">
        <v>156</v>
      </c>
    </row>
    <row r="25" ht="15.75" customHeight="1">
      <c r="A25" s="1"/>
      <c r="B25" s="82">
        <v>8.0</v>
      </c>
      <c r="C25" s="98"/>
      <c r="D25" s="99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98"/>
      <c r="D27" s="99"/>
      <c r="E27" s="77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7</v>
      </c>
      <c r="L34" s="122" t="s">
        <v>201</v>
      </c>
      <c r="M34" s="122" t="s">
        <v>202</v>
      </c>
    </row>
    <row r="35" ht="15.75" customHeight="1">
      <c r="K35" s="125" t="str">
        <f t="shared" ref="K35:K36" si="8">IF(O18="","",O18)</f>
        <v/>
      </c>
      <c r="L35" s="128"/>
      <c r="M35" s="128"/>
    </row>
    <row r="36" ht="15.75" customHeight="1">
      <c r="K36" s="125" t="str">
        <f t="shared" si="8"/>
        <v/>
      </c>
      <c r="L36" s="128"/>
      <c r="M36" s="128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7" t="s">
        <v>209</v>
      </c>
      <c r="M40" s="139">
        <f>COUNTIF($I$4:$I$16,"DP")</f>
        <v>0</v>
      </c>
    </row>
    <row r="41" ht="19.5" customHeight="1">
      <c r="K41" s="137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1" t="s">
        <v>212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68"/>
      <c r="D4" s="69"/>
      <c r="E4" s="23"/>
      <c r="F4" s="70"/>
      <c r="G4" s="29"/>
      <c r="H4" s="42"/>
      <c r="I4" s="17"/>
      <c r="J4" s="176"/>
      <c r="K4" s="176"/>
      <c r="L4" s="17"/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80"/>
      <c r="D5" s="68"/>
      <c r="E5" s="17"/>
      <c r="F5" s="108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80"/>
      <c r="D6" s="68"/>
      <c r="E6" s="17"/>
      <c r="F6" s="178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80"/>
      <c r="D7" s="68"/>
      <c r="E7" s="17"/>
      <c r="F7" s="178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80"/>
      <c r="D8" s="68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93"/>
      <c r="D9" s="68"/>
      <c r="E9" s="17"/>
      <c r="F9" s="178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80"/>
      <c r="D10" s="68"/>
      <c r="E10" s="17"/>
      <c r="F10" s="178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80"/>
      <c r="D11" s="68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80"/>
      <c r="D12" s="68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80"/>
      <c r="D13" s="68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4">
        <f t="shared" ref="G14:H14" si="1">SUM(G4:G13)</f>
        <v>0</v>
      </c>
      <c r="H14" s="7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0</v>
      </c>
      <c r="C17" s="72" t="s">
        <v>6</v>
      </c>
      <c r="D17" s="72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117</v>
      </c>
      <c r="O17" s="72" t="s">
        <v>1</v>
      </c>
      <c r="P17" s="1"/>
      <c r="Q17" s="1"/>
      <c r="R17" s="1"/>
    </row>
    <row r="18" ht="15.75" customHeight="1">
      <c r="A18" s="1"/>
      <c r="B18" s="73">
        <v>1.0</v>
      </c>
      <c r="C18" s="74" t="s">
        <v>119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3"/>
      <c r="P18" s="1"/>
      <c r="Q18" s="1"/>
      <c r="R18" s="1"/>
    </row>
    <row r="19" ht="15.75" customHeight="1">
      <c r="A19" s="1"/>
      <c r="B19" s="82">
        <v>2.0</v>
      </c>
      <c r="C19" s="98"/>
      <c r="D19" s="99"/>
      <c r="E19" s="77"/>
      <c r="F19" s="1"/>
      <c r="G19" s="1"/>
      <c r="H19" s="1"/>
      <c r="I19" s="1"/>
      <c r="J19" s="1"/>
      <c r="K19" s="1"/>
      <c r="L19" s="1"/>
      <c r="M19" s="1"/>
      <c r="N19" s="85" t="s">
        <v>129</v>
      </c>
      <c r="O19" s="166"/>
      <c r="P19" s="1"/>
      <c r="Q19" s="1"/>
      <c r="R19" s="1"/>
    </row>
    <row r="20" ht="15.75" customHeight="1">
      <c r="A20" s="1"/>
      <c r="B20" s="73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8"/>
      <c r="D21" s="99"/>
      <c r="E21" s="77"/>
      <c r="F21" s="1"/>
      <c r="G21" s="1"/>
      <c r="H21" s="1"/>
      <c r="I21" s="1"/>
      <c r="J21" s="1"/>
      <c r="K21" s="1"/>
      <c r="L21" s="1"/>
      <c r="M21" s="1"/>
      <c r="N21" s="93" t="s">
        <v>137</v>
      </c>
      <c r="O21" s="166"/>
      <c r="P21" s="1"/>
      <c r="Q21" s="1"/>
      <c r="R21" s="1"/>
    </row>
    <row r="22" ht="15.75" customHeight="1">
      <c r="A22" s="1"/>
      <c r="B22" s="73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99"/>
      <c r="E23" s="77"/>
      <c r="F23" s="1"/>
      <c r="G23" s="1"/>
      <c r="H23" s="1"/>
      <c r="I23" s="1"/>
      <c r="J23" s="1"/>
      <c r="K23" s="100" t="s">
        <v>142</v>
      </c>
      <c r="Q23" s="1"/>
      <c r="R23" s="1"/>
    </row>
    <row r="24" ht="15.75" customHeight="1">
      <c r="A24" s="1"/>
      <c r="B24" s="73">
        <v>7.0</v>
      </c>
      <c r="C24" s="74"/>
      <c r="D24" s="76"/>
      <c r="E24" s="77"/>
      <c r="F24" s="1"/>
      <c r="G24" s="1"/>
      <c r="H24" s="1"/>
      <c r="I24" s="1"/>
      <c r="J24" s="1"/>
      <c r="K24" s="101" t="s">
        <v>1</v>
      </c>
      <c r="L24" s="101" t="s">
        <v>145</v>
      </c>
      <c r="M24" s="101" t="s">
        <v>146</v>
      </c>
      <c r="N24" s="101" t="s">
        <v>147</v>
      </c>
      <c r="O24" s="101" t="s">
        <v>148</v>
      </c>
      <c r="P24" s="101" t="s">
        <v>149</v>
      </c>
      <c r="Q24" s="1"/>
      <c r="R24" s="1"/>
      <c r="AC24" s="102" t="s">
        <v>150</v>
      </c>
      <c r="AD24" s="102" t="s">
        <v>151</v>
      </c>
      <c r="AE24" s="102" t="s">
        <v>153</v>
      </c>
      <c r="AF24" s="102" t="s">
        <v>155</v>
      </c>
      <c r="AG24" s="102" t="s">
        <v>156</v>
      </c>
    </row>
    <row r="25" ht="15.75" customHeight="1">
      <c r="A25" s="1"/>
      <c r="B25" s="82">
        <v>8.0</v>
      </c>
      <c r="C25" s="98"/>
      <c r="D25" s="99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44"/>
      <c r="M26" s="144"/>
      <c r="N26" s="144"/>
      <c r="O26" s="144"/>
      <c r="P26" s="144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98"/>
      <c r="D27" s="99"/>
      <c r="E27" s="77"/>
      <c r="F27" s="1"/>
      <c r="G27" s="1"/>
      <c r="H27" s="1"/>
      <c r="I27" s="1"/>
      <c r="J27" s="1"/>
      <c r="K27" s="105" t="str">
        <f t="shared" si="2"/>
        <v/>
      </c>
      <c r="L27" s="144"/>
      <c r="M27" s="144"/>
      <c r="N27" s="144"/>
      <c r="O27" s="144"/>
      <c r="P27" s="144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44"/>
      <c r="M28" s="144"/>
      <c r="N28" s="144"/>
      <c r="O28" s="144"/>
      <c r="P28" s="144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200</v>
      </c>
      <c r="N33" s="182"/>
      <c r="O33" s="1"/>
      <c r="P33" s="1"/>
      <c r="Q33" s="1"/>
      <c r="R33" s="1"/>
    </row>
    <row r="34" ht="15.75" customHeight="1">
      <c r="K34" s="122" t="s">
        <v>7</v>
      </c>
      <c r="L34" s="122" t="s">
        <v>201</v>
      </c>
      <c r="M34" s="122" t="s">
        <v>202</v>
      </c>
      <c r="N34" s="184" t="s">
        <v>203</v>
      </c>
    </row>
    <row r="35" ht="15.75" customHeight="1">
      <c r="K35" s="125" t="str">
        <f t="shared" ref="K35:K36" si="8">IF(O18="","",O18)</f>
        <v/>
      </c>
      <c r="L35" s="128"/>
      <c r="M35" s="128"/>
      <c r="N35" s="186"/>
    </row>
    <row r="36" ht="15.75" customHeight="1">
      <c r="K36" s="125" t="str">
        <f t="shared" si="8"/>
        <v/>
      </c>
      <c r="L36" s="128"/>
      <c r="M36" s="128"/>
      <c r="N36" s="186"/>
    </row>
    <row r="37" ht="15.75" customHeight="1"/>
    <row r="38" ht="19.5" customHeight="1">
      <c r="K38" s="130" t="s">
        <v>205</v>
      </c>
    </row>
    <row r="39" ht="19.5" customHeight="1">
      <c r="K39" s="131" t="s">
        <v>206</v>
      </c>
      <c r="M39" s="128"/>
    </row>
    <row r="40" ht="19.5" customHeight="1">
      <c r="K40" s="137" t="s">
        <v>209</v>
      </c>
      <c r="M40" s="139">
        <f>COUNTIF($I$4:$I$16,"DP")</f>
        <v>0</v>
      </c>
    </row>
    <row r="41" ht="19.5" customHeight="1">
      <c r="K41" s="137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1" t="s">
        <v>212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0"/>
      <c r="D4" s="68"/>
      <c r="E4" s="17"/>
      <c r="F4" s="178"/>
      <c r="G4" s="159"/>
      <c r="H4" s="62"/>
      <c r="I4" s="16"/>
      <c r="J4" s="16"/>
      <c r="K4" s="16"/>
      <c r="L4" s="16"/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80"/>
      <c r="D5" s="68"/>
      <c r="E5" s="17"/>
      <c r="F5" s="103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80"/>
      <c r="D6" s="68"/>
      <c r="E6" s="17"/>
      <c r="F6" s="178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80"/>
      <c r="D7" s="68"/>
      <c r="E7" s="17"/>
      <c r="F7" s="16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80"/>
      <c r="D8" s="68"/>
      <c r="E8" s="17"/>
      <c r="F8" s="103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80"/>
      <c r="D9" s="68"/>
      <c r="E9" s="17"/>
      <c r="F9" s="103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80"/>
      <c r="D10" s="68"/>
      <c r="E10" s="17"/>
      <c r="F10" s="103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80"/>
      <c r="D11" s="68"/>
      <c r="E11" s="17"/>
      <c r="F11" s="103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80"/>
      <c r="D12" s="68"/>
      <c r="E12" s="17"/>
      <c r="F12" s="103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80"/>
      <c r="D13" s="68"/>
      <c r="E13" s="17"/>
      <c r="F13" s="103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24">
        <f t="shared" ref="G14:H14" si="1">SUM(G4:G13)</f>
        <v>0</v>
      </c>
      <c r="H14" s="7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1" t="s">
        <v>0</v>
      </c>
      <c r="C18" s="72" t="s">
        <v>6</v>
      </c>
      <c r="D18" s="72" t="s">
        <v>115</v>
      </c>
      <c r="E18" s="1"/>
      <c r="F18" s="1"/>
      <c r="G18" s="1"/>
      <c r="H18" s="1"/>
      <c r="I18" s="1"/>
      <c r="J18" s="1"/>
      <c r="K18" s="1"/>
      <c r="L18" s="1"/>
      <c r="M18" s="1"/>
      <c r="N18" s="72" t="s">
        <v>117</v>
      </c>
      <c r="O18" s="72" t="s">
        <v>1</v>
      </c>
      <c r="P18" s="1"/>
      <c r="Q18" s="1"/>
      <c r="R18" s="1"/>
    </row>
    <row r="19" ht="15.75" customHeight="1">
      <c r="A19" s="1"/>
      <c r="B19" s="73">
        <v>1.0</v>
      </c>
      <c r="C19" s="74" t="s">
        <v>119</v>
      </c>
      <c r="D19" s="76">
        <f>SUM(G14)</f>
        <v>0</v>
      </c>
      <c r="E19" s="77"/>
      <c r="F19" s="1"/>
      <c r="G19" s="1"/>
      <c r="H19" s="1"/>
      <c r="I19" s="1"/>
      <c r="J19" s="1"/>
      <c r="K19" s="1"/>
      <c r="L19" s="1"/>
      <c r="M19" s="1"/>
      <c r="N19" s="79" t="s">
        <v>123</v>
      </c>
      <c r="O19" s="33"/>
      <c r="P19" s="1"/>
      <c r="Q19" s="1"/>
      <c r="R19" s="1"/>
    </row>
    <row r="20" ht="15.75" customHeight="1">
      <c r="A20" s="1"/>
      <c r="B20" s="82">
        <v>2.0</v>
      </c>
      <c r="C20" s="98"/>
      <c r="D20" s="99"/>
      <c r="E20" s="77"/>
      <c r="F20" s="1"/>
      <c r="G20" s="97"/>
      <c r="H20" s="1"/>
      <c r="I20" s="1"/>
      <c r="J20" s="1"/>
      <c r="K20" s="1"/>
      <c r="L20" s="1"/>
      <c r="M20" s="1"/>
      <c r="N20" s="85" t="s">
        <v>129</v>
      </c>
      <c r="O20" s="166"/>
      <c r="P20" s="1"/>
      <c r="Q20" s="1"/>
      <c r="R20" s="1"/>
    </row>
    <row r="21" ht="15.75" customHeight="1">
      <c r="A21" s="1"/>
      <c r="B21" s="73">
        <v>3.0</v>
      </c>
      <c r="C21" s="74"/>
      <c r="D21" s="76"/>
      <c r="E21" s="77"/>
      <c r="F21" s="1"/>
      <c r="G21" s="97"/>
      <c r="H21" s="1"/>
      <c r="I21" s="1"/>
      <c r="J21" s="1"/>
      <c r="K21" s="1"/>
      <c r="L21" s="1"/>
      <c r="M21" s="1"/>
      <c r="N21" s="89" t="s">
        <v>134</v>
      </c>
      <c r="O21" s="43"/>
      <c r="P21" s="1"/>
      <c r="Q21" s="1"/>
      <c r="R21" s="1"/>
    </row>
    <row r="22" ht="15.75" customHeight="1">
      <c r="A22" s="1"/>
      <c r="B22" s="82">
        <v>4.0</v>
      </c>
      <c r="C22" s="98"/>
      <c r="D22" s="99"/>
      <c r="E22" s="77"/>
      <c r="F22" s="1"/>
      <c r="G22" s="1"/>
      <c r="H22" s="1"/>
      <c r="I22" s="1"/>
      <c r="J22" s="1"/>
      <c r="K22" s="1"/>
      <c r="L22" s="1"/>
      <c r="M22" s="1"/>
      <c r="N22" s="93" t="s">
        <v>137</v>
      </c>
      <c r="O22" s="166"/>
      <c r="P22" s="1"/>
      <c r="Q22" s="1"/>
      <c r="R22" s="1"/>
    </row>
    <row r="23" ht="15.75" customHeight="1">
      <c r="A23" s="1"/>
      <c r="B23" s="73">
        <v>5.0</v>
      </c>
      <c r="C23" s="74"/>
      <c r="D23" s="76"/>
      <c r="E23" s="77"/>
      <c r="F23" s="1"/>
      <c r="G23" s="1"/>
      <c r="H23" s="1"/>
      <c r="I23" s="1"/>
      <c r="J23" s="1"/>
      <c r="K23" s="1"/>
      <c r="L23" s="1"/>
      <c r="M23" s="1"/>
      <c r="N23" s="95"/>
      <c r="O23" s="1"/>
      <c r="P23" s="1"/>
      <c r="Q23" s="1"/>
      <c r="R23" s="1"/>
    </row>
    <row r="24" ht="15.75" customHeight="1">
      <c r="A24" s="1"/>
      <c r="B24" s="82">
        <v>6.0</v>
      </c>
      <c r="C24" s="98"/>
      <c r="D24" s="99"/>
      <c r="E24" s="7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>
        <v>7.0</v>
      </c>
      <c r="C25" s="74"/>
      <c r="D25" s="76"/>
      <c r="E25" s="77"/>
      <c r="F25" s="97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98"/>
      <c r="D26" s="99"/>
      <c r="E26" s="77"/>
      <c r="F26" s="1"/>
      <c r="G26" s="1"/>
      <c r="H26" s="1"/>
      <c r="I26" s="1"/>
      <c r="J26" s="1"/>
      <c r="K26" s="100" t="s">
        <v>142</v>
      </c>
      <c r="Q26" s="1"/>
      <c r="R26" s="1"/>
    </row>
    <row r="27" ht="15.75" customHeight="1">
      <c r="A27" s="1"/>
      <c r="B27" s="73">
        <v>9.0</v>
      </c>
      <c r="C27" s="74"/>
      <c r="D27" s="76"/>
      <c r="E27" s="77"/>
      <c r="F27" s="1"/>
      <c r="G27" s="1"/>
      <c r="H27" s="1"/>
      <c r="I27" s="1"/>
      <c r="J27" s="1"/>
      <c r="K27" s="101" t="s">
        <v>1</v>
      </c>
      <c r="L27" s="101" t="s">
        <v>145</v>
      </c>
      <c r="M27" s="101" t="s">
        <v>146</v>
      </c>
      <c r="N27" s="101" t="s">
        <v>147</v>
      </c>
      <c r="O27" s="101" t="s">
        <v>148</v>
      </c>
      <c r="P27" s="101" t="s">
        <v>149</v>
      </c>
      <c r="Q27" s="1"/>
      <c r="R27" s="1"/>
      <c r="AC27" s="102" t="s">
        <v>150</v>
      </c>
      <c r="AD27" s="102" t="s">
        <v>151</v>
      </c>
      <c r="AE27" s="102" t="s">
        <v>153</v>
      </c>
      <c r="AF27" s="102" t="s">
        <v>155</v>
      </c>
      <c r="AG27" s="102" t="s">
        <v>156</v>
      </c>
    </row>
    <row r="28" ht="15.75" customHeight="1">
      <c r="A28" s="1"/>
      <c r="B28" s="82">
        <v>10.0</v>
      </c>
      <c r="C28" s="98"/>
      <c r="D28" s="99"/>
      <c r="E28" s="77"/>
      <c r="F28" s="1"/>
      <c r="G28" s="1"/>
      <c r="H28" s="1"/>
      <c r="I28" s="1"/>
      <c r="J28" s="1"/>
      <c r="K28" s="105" t="str">
        <f t="shared" ref="K28:K31" si="2">IF(O19="","",O19)</f>
        <v/>
      </c>
      <c r="L28" s="117"/>
      <c r="M28" s="117"/>
      <c r="N28" s="117"/>
      <c r="O28" s="117"/>
      <c r="P28" s="117"/>
      <c r="Q28" s="1"/>
      <c r="R28" s="1"/>
      <c r="AC28" s="102" t="str">
        <f t="shared" ref="AC28:AC33" si="3">IF(AG28="","",IF(COUNT(L28:P28)&lt;5,"",L28/5*20+M28/5*25+N28/5*25+O28/5*15+P28/5*15))</f>
        <v/>
      </c>
      <c r="AD28" s="102" t="str">
        <f t="shared" ref="AD28:AD33" si="4">IF(AC28="","",IF(AC28&gt;=90,"Sangat Baik",IF(AC28&gt;=80,"Baik",IF(AC28&gt;=70,"Coaching","Underperform"))))</f>
        <v/>
      </c>
      <c r="AE28" s="102" t="str">
        <f t="shared" ref="AE28:AE33" si="5">IF(AG28="","",IF(OR(AG28="INDAH",AG28="ADDEL",AG28="AMEL",AG28="PENTIL",AG28="JIJANG"),"Admin/CS","Fotografer"))</f>
        <v/>
      </c>
      <c r="AF28" s="102" t="str">
        <f t="shared" ref="AF28:AF33" si="6">IF(OR(AG28="",COUNT(L28:P28)&lt;5),"",1)</f>
        <v/>
      </c>
      <c r="AG28" s="102" t="str">
        <f t="shared" ref="AG28:AG33" si="7">IFERROR(K28,"")</f>
        <v/>
      </c>
    </row>
    <row r="29" ht="15.75" customHeight="1">
      <c r="A29" s="1"/>
      <c r="B29" s="112">
        <v>11.0</v>
      </c>
      <c r="C29" s="114"/>
      <c r="D29" s="115"/>
      <c r="E29" s="77"/>
      <c r="F29" s="1"/>
      <c r="G29" s="1"/>
      <c r="H29" s="1"/>
      <c r="I29" s="1"/>
      <c r="J29" s="1"/>
      <c r="K29" s="105" t="str">
        <f t="shared" si="2"/>
        <v/>
      </c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2"/>
      <c r="D30" s="116">
        <f>SUM(D19:D29)</f>
        <v>0</v>
      </c>
      <c r="E30" s="1"/>
      <c r="F30" s="1"/>
      <c r="G30" s="1"/>
      <c r="H30" s="1"/>
      <c r="I30" s="1"/>
      <c r="J30" s="1"/>
      <c r="K30" s="105" t="str">
        <f t="shared" si="2"/>
        <v/>
      </c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tr">
        <f t="shared" si="2"/>
        <v/>
      </c>
      <c r="L31" s="117"/>
      <c r="M31" s="117"/>
      <c r="N31" s="117"/>
      <c r="O31" s="117"/>
      <c r="P31" s="117"/>
      <c r="Q31" s="1"/>
      <c r="R31" s="1"/>
      <c r="AC31" s="102" t="str">
        <f t="shared" si="3"/>
        <v/>
      </c>
      <c r="AD31" s="102" t="str">
        <f t="shared" si="4"/>
        <v/>
      </c>
      <c r="AE31" s="102" t="str">
        <f t="shared" si="5"/>
        <v/>
      </c>
      <c r="AF31" s="102" t="str">
        <f t="shared" si="6"/>
        <v/>
      </c>
      <c r="AG31" s="102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5"/>
      <c r="L32" s="117"/>
      <c r="M32" s="117"/>
      <c r="N32" s="117"/>
      <c r="O32" s="117"/>
      <c r="P32" s="117"/>
      <c r="Q32" s="1"/>
      <c r="R32" s="1"/>
      <c r="AC32" s="102" t="str">
        <f t="shared" si="3"/>
        <v/>
      </c>
      <c r="AD32" s="102" t="str">
        <f t="shared" si="4"/>
        <v/>
      </c>
      <c r="AE32" s="102" t="str">
        <f t="shared" si="5"/>
        <v/>
      </c>
      <c r="AF32" s="102" t="str">
        <f t="shared" si="6"/>
        <v/>
      </c>
      <c r="AG32" s="10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5"/>
      <c r="L33" s="117"/>
      <c r="M33" s="117"/>
      <c r="N33" s="117"/>
      <c r="O33" s="117"/>
      <c r="P33" s="117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/>
      </c>
      <c r="AF33" s="102" t="str">
        <f t="shared" si="6"/>
        <v/>
      </c>
      <c r="AG33" s="10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/>
    <row r="36" ht="15.75" customHeight="1">
      <c r="K36" s="195" t="s">
        <v>200</v>
      </c>
    </row>
    <row r="37" ht="15.75" customHeight="1">
      <c r="K37" s="122" t="s">
        <v>7</v>
      </c>
      <c r="L37" s="122" t="s">
        <v>201</v>
      </c>
      <c r="M37" s="122" t="s">
        <v>202</v>
      </c>
    </row>
    <row r="38" ht="15.75" customHeight="1">
      <c r="K38" s="125" t="str">
        <f t="shared" ref="K38:K39" si="8">IF(O19="","",O19)</f>
        <v/>
      </c>
      <c r="L38" s="128"/>
      <c r="M38" s="128"/>
    </row>
    <row r="39" ht="15.75" customHeight="1">
      <c r="K39" s="125" t="str">
        <f t="shared" si="8"/>
        <v/>
      </c>
      <c r="L39" s="128"/>
      <c r="M39" s="128"/>
    </row>
    <row r="40" ht="15.75" customHeight="1"/>
    <row r="41" ht="19.5" customHeight="1">
      <c r="K41" s="130" t="s">
        <v>205</v>
      </c>
    </row>
    <row r="42" ht="19.5" customHeight="1">
      <c r="K42" s="131" t="s">
        <v>206</v>
      </c>
      <c r="M42" s="128"/>
    </row>
    <row r="43" ht="19.5" customHeight="1">
      <c r="K43" s="137" t="s">
        <v>209</v>
      </c>
      <c r="M43" s="139">
        <f>COUNTIF($I$4:$I$17,"DP")</f>
        <v>0</v>
      </c>
    </row>
    <row r="44" ht="19.5" customHeight="1">
      <c r="K44" s="137" t="s">
        <v>210</v>
      </c>
      <c r="M44" s="139">
        <f>COUNTIFS($I$4:$I$17,"&lt;&gt;DP",$I$4:$I$17,"&lt;&gt;")</f>
        <v>0</v>
      </c>
    </row>
    <row r="45" ht="19.5" customHeight="1">
      <c r="K45" s="140" t="s">
        <v>211</v>
      </c>
      <c r="M45" s="139">
        <f>M43+M44</f>
        <v>0</v>
      </c>
    </row>
    <row r="46" ht="19.5" customHeight="1">
      <c r="K46" s="131" t="s">
        <v>212</v>
      </c>
      <c r="M46" s="143" t="str">
        <f>IF(OR(M42="",M42=0),"",M43/M42)</f>
        <v/>
      </c>
    </row>
    <row r="47" ht="15.75" customHeight="1">
      <c r="A47" s="19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7" t="s">
        <v>423</v>
      </c>
      <c r="E49" s="197" t="s">
        <v>424</v>
      </c>
      <c r="I49" s="197" t="s">
        <v>425</v>
      </c>
      <c r="M49" s="197" t="s">
        <v>426</v>
      </c>
    </row>
    <row r="50" ht="15.75" customHeight="1">
      <c r="A50" s="198">
        <f>IFERROR(SUMIFS($D$56:$D$68,$C$56:$C$68,"&gt;0")/COUNTIFS($C$56:$C$68,"&gt;0"),0)</f>
        <v>98.46568627</v>
      </c>
      <c r="E50" s="198">
        <f>IFERROR(SUMIFS($D$56:$D$68,$B$56:$B$68,"Admin/CS",$C$56:$C$68,"&gt;0")/COUNTIFS($B$56:$B$68,"Admin/CS",$C$56:$C$68,"&gt;0"),0)</f>
        <v>97.16666667</v>
      </c>
      <c r="I50" s="198">
        <f>IFERROR(SUMIFS($D$56:$D$68,$B$56:$B$68,"Fotografer",$C$56:$C$68,"&gt;0")/COUNTIFS($B$56:$B$68,"Fotografer",$C$56:$C$68,"&gt;0"),0)</f>
        <v>99.76470588</v>
      </c>
      <c r="M50" s="19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9" t="s">
        <v>1</v>
      </c>
      <c r="B55" s="199" t="s">
        <v>427</v>
      </c>
      <c r="C55" s="199" t="s">
        <v>428</v>
      </c>
      <c r="D55" s="199" t="s">
        <v>429</v>
      </c>
      <c r="E55" s="199" t="s">
        <v>430</v>
      </c>
      <c r="F55" s="199" t="s">
        <v>431</v>
      </c>
      <c r="G55" s="199" t="s">
        <v>432</v>
      </c>
    </row>
    <row r="56" ht="15.75" customHeight="1">
      <c r="A56" s="200" t="str">
        <f>IF($A$78="","",$A$78)</f>
        <v>INDAH</v>
      </c>
      <c r="B56" s="200" t="str">
        <f>IF(A56="","",$B$78)</f>
        <v>Admin/CS</v>
      </c>
      <c r="C56" s="201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2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1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0" t="str">
        <f t="shared" ref="F56:F68" si="9">IF(D56="","",IF(D56&gt;=90,"Sangat Baik",IF(D56&gt;=80,"Baik",IF(D56&gt;=70,"Coaching","Underperform"))))</f>
        <v>Sangat Baik</v>
      </c>
      <c r="G56" s="207"/>
    </row>
    <row r="57" ht="15.75" customHeight="1">
      <c r="A57" s="200" t="str">
        <f>IF($A$79="","",$A$79)</f>
        <v>ADDEL</v>
      </c>
      <c r="B57" s="200" t="str">
        <f>IF(A57="","",$B$79)</f>
        <v>Admin/CS</v>
      </c>
      <c r="C57" s="201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2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1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0" t="str">
        <f t="shared" si="9"/>
        <v/>
      </c>
      <c r="G57" s="207"/>
    </row>
    <row r="58" ht="15.75" customHeight="1">
      <c r="A58" s="200" t="str">
        <f>IF($A$80="","",$A$80)</f>
        <v>AMEL</v>
      </c>
      <c r="B58" s="200" t="str">
        <f>IF(A58="","",$B$80)</f>
        <v>Admin/CS</v>
      </c>
      <c r="C58" s="201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2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1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0" t="str">
        <f t="shared" si="9"/>
        <v>Sangat Baik</v>
      </c>
      <c r="G58" s="207"/>
    </row>
    <row r="59" ht="15.75" customHeight="1">
      <c r="A59" s="200" t="str">
        <f>IF($A$81="","",$A$81)</f>
        <v>PENTIL</v>
      </c>
      <c r="B59" s="200" t="str">
        <f>IF(A59="","",$B$81)</f>
        <v>Admin/CS</v>
      </c>
      <c r="C59" s="201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2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1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0" t="str">
        <f t="shared" si="9"/>
        <v/>
      </c>
      <c r="G59" s="207"/>
    </row>
    <row r="60" ht="15.75" customHeight="1">
      <c r="A60" s="200" t="str">
        <f>IF($A$82="","",$A$82)</f>
        <v>JIJANG</v>
      </c>
      <c r="B60" s="200" t="str">
        <f>IF(A60="","",$B$82)</f>
        <v>Admin/CS</v>
      </c>
      <c r="C60" s="201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2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1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0" t="str">
        <f t="shared" si="9"/>
        <v/>
      </c>
      <c r="G60" s="207"/>
    </row>
    <row r="61" ht="15.75" customHeight="1">
      <c r="A61" s="200" t="str">
        <f>IF($A$83="","",$A$83)</f>
        <v>HANIF</v>
      </c>
      <c r="B61" s="200" t="str">
        <f>IF(A61="","",$B$83)</f>
        <v>Fotografer</v>
      </c>
      <c r="C61" s="201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2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1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0" t="str">
        <f t="shared" si="9"/>
        <v/>
      </c>
      <c r="G61" s="207"/>
    </row>
    <row r="62" ht="15.75" customHeight="1">
      <c r="A62" s="200" t="str">
        <f>IF($A$84="","",$A$84)</f>
        <v>FAHME</v>
      </c>
      <c r="B62" s="200" t="str">
        <f>IF(A62="","",$B$84)</f>
        <v>Fotografer</v>
      </c>
      <c r="C62" s="201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2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1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0" t="str">
        <f t="shared" si="9"/>
        <v/>
      </c>
      <c r="G62" s="207"/>
    </row>
    <row r="63" ht="15.75" customHeight="1">
      <c r="A63" s="200" t="str">
        <f>IF($A$85="","",$A$85)</f>
        <v>ADIF</v>
      </c>
      <c r="B63" s="200" t="str">
        <f>IF(A63="","",$B$85)</f>
        <v>Fotografer</v>
      </c>
      <c r="C63" s="201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2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1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0" t="str">
        <f t="shared" si="9"/>
        <v>Sangat Baik</v>
      </c>
      <c r="G63" s="207"/>
    </row>
    <row r="64" ht="15.75" customHeight="1">
      <c r="A64" s="200" t="str">
        <f>IF($A$86="","",$A$86)</f>
        <v>ABROR</v>
      </c>
      <c r="B64" s="200" t="str">
        <f>IF(A64="","",$B$86)</f>
        <v>Fotografer</v>
      </c>
      <c r="C64" s="201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2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1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0" t="str">
        <f t="shared" si="9"/>
        <v/>
      </c>
      <c r="G64" s="207"/>
    </row>
    <row r="65" ht="15.75" customHeight="1">
      <c r="A65" s="200" t="str">
        <f>IF($A$87="","",$A$87)</f>
        <v>FADEL</v>
      </c>
      <c r="B65" s="200" t="str">
        <f>IF(A65="","",$B$87)</f>
        <v>Fotografer</v>
      </c>
      <c r="C65" s="201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2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1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0" t="str">
        <f t="shared" si="9"/>
        <v/>
      </c>
      <c r="G65" s="207"/>
    </row>
    <row r="66" ht="15.75" customHeight="1">
      <c r="A66" s="200" t="str">
        <f>IF($A$88="","",$A$88)</f>
        <v>SAKA</v>
      </c>
      <c r="B66" s="200" t="str">
        <f>IF(A66="","",$B$88)</f>
        <v>Fotografer</v>
      </c>
      <c r="C66" s="201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2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1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0" t="str">
        <f t="shared" si="9"/>
        <v>Sangat Baik</v>
      </c>
      <c r="G66" s="207"/>
    </row>
    <row r="67" ht="15.75" customHeight="1">
      <c r="A67" s="200" t="str">
        <f>IF($A$89="","",$A$89)</f>
        <v/>
      </c>
      <c r="B67" s="200" t="str">
        <f>IF(A67="","",$B$89)</f>
        <v/>
      </c>
      <c r="C67" s="201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2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1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0" t="str">
        <f t="shared" si="9"/>
        <v/>
      </c>
      <c r="G67" s="207"/>
    </row>
    <row r="68" ht="15.75" customHeight="1">
      <c r="A68" s="200" t="str">
        <f>IF($A$90="","",$A$90)</f>
        <v/>
      </c>
      <c r="B68" s="200" t="str">
        <f>IF(A68="","",$B$90)</f>
        <v/>
      </c>
      <c r="C68" s="201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2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1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0" t="str">
        <f t="shared" si="9"/>
        <v/>
      </c>
      <c r="G68" s="207"/>
    </row>
    <row r="69" ht="15.75" customHeight="1"/>
    <row r="70" ht="15.75" customHeight="1">
      <c r="A70" s="210" t="s">
        <v>450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451</v>
      </c>
      <c r="B77" s="212" t="s">
        <v>452</v>
      </c>
      <c r="D77" s="195" t="s">
        <v>453</v>
      </c>
    </row>
    <row r="78" ht="15.75" customHeight="1">
      <c r="A78" s="208" t="s">
        <v>38</v>
      </c>
      <c r="B78" s="208" t="s">
        <v>443</v>
      </c>
      <c r="D78" s="213" t="s">
        <v>201</v>
      </c>
      <c r="E78" s="139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99</v>
      </c>
    </row>
    <row r="79" ht="15.75" customHeight="1">
      <c r="A79" s="208" t="s">
        <v>446</v>
      </c>
      <c r="B79" s="208" t="s">
        <v>443</v>
      </c>
      <c r="D79" s="213" t="s">
        <v>202</v>
      </c>
      <c r="E79" s="139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28</v>
      </c>
      <c r="B80" s="208" t="s">
        <v>443</v>
      </c>
      <c r="D80" s="213" t="s">
        <v>206</v>
      </c>
      <c r="E80" s="139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$39)+SUM('20'!$M$39)+SUM('21'!$M$39)+SUM('22'!$M$39)+SUM('23'!$M$39)+SUM('24'!$M$39)+SUM('25'!$M$39)+SUM('26'!$M$39)+SUM('27'!$M$39)+SUM('28'!$M$39)+SUM('29'!$M$39)+SUM('30'!$M$39)+SUM('31'!$M$42)</f>
        <v>448</v>
      </c>
    </row>
    <row r="81" ht="15.75" customHeight="1">
      <c r="A81" s="208" t="s">
        <v>449</v>
      </c>
      <c r="B81" s="208" t="s">
        <v>443</v>
      </c>
      <c r="D81" s="213" t="s">
        <v>209</v>
      </c>
      <c r="E81" s="139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$40)+SUM('20'!$M$40)+SUM('21'!$M$40)+SUM('22'!$M$40)+SUM('23'!$M$40)+SUM('24'!$M$40)+SUM('25'!$M$40)+SUM('26'!$M$40)+SUM('27'!$M$40)+SUM('28'!$M$40)+SUM('29'!$M$40)+SUM('30'!$M$40)+SUM('31'!$M$43)</f>
        <v>84</v>
      </c>
    </row>
    <row r="82" ht="15.75" customHeight="1">
      <c r="A82" s="208" t="s">
        <v>454</v>
      </c>
      <c r="B82" s="208" t="s">
        <v>443</v>
      </c>
      <c r="D82" s="213" t="s">
        <v>210</v>
      </c>
      <c r="E82" s="139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$41)+SUM('20'!$M$41)+SUM('21'!$M$41)+SUM('22'!$M$41)+SUM('23'!$M$41)+SUM('24'!$M$41)+SUM('25'!$M$41)+SUM('26'!$M$41)+SUM('27'!$M$41)+SUM('28'!$M$41)+SUM('29'!$M$41)+SUM('30'!$M$41)+SUM('31'!$M$44)</f>
        <v>203</v>
      </c>
    </row>
    <row r="83" ht="15.75" customHeight="1">
      <c r="A83" s="208" t="s">
        <v>444</v>
      </c>
      <c r="B83" s="208" t="s">
        <v>455</v>
      </c>
      <c r="D83" s="213" t="s">
        <v>211</v>
      </c>
      <c r="E83" s="139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$42)+SUM('20'!$M$42)+SUM('21'!$M$42)+SUM('22'!$M$42)+SUM('23'!$M$42)+SUM('24'!$M$42)+SUM('25'!$M$42)+SUM('26'!$M$42)+SUM('27'!$M$42)+SUM('28'!$M$42)+SUM('29'!$M$42)+SUM('30'!$M$42)+SUM('31'!$M$45)</f>
        <v>287</v>
      </c>
    </row>
    <row r="84" ht="15.75" customHeight="1">
      <c r="A84" s="208" t="s">
        <v>84</v>
      </c>
      <c r="B84" s="208" t="s">
        <v>455</v>
      </c>
      <c r="D84" s="213" t="s">
        <v>212</v>
      </c>
      <c r="E84" s="143">
        <f>IFERROR(E81/E80,0)</f>
        <v>0.1875</v>
      </c>
    </row>
    <row r="85" ht="15.75" customHeight="1">
      <c r="A85" s="208" t="s">
        <v>43</v>
      </c>
      <c r="B85" s="208" t="s">
        <v>455</v>
      </c>
    </row>
    <row r="86" ht="15.75" customHeight="1">
      <c r="A86" s="208" t="s">
        <v>95</v>
      </c>
      <c r="B86" s="208" t="s">
        <v>455</v>
      </c>
    </row>
    <row r="87" ht="15.75" customHeight="1">
      <c r="A87" s="208" t="s">
        <v>456</v>
      </c>
      <c r="B87" s="208" t="s">
        <v>455</v>
      </c>
    </row>
    <row r="88" ht="15.75" customHeight="1">
      <c r="A88" s="208" t="s">
        <v>60</v>
      </c>
      <c r="B88" s="208" t="s">
        <v>455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0"/>
      <c r="D4" s="68"/>
      <c r="E4" s="17"/>
      <c r="F4" s="108"/>
      <c r="G4" s="159"/>
      <c r="H4" s="62"/>
      <c r="I4" s="16"/>
      <c r="J4" s="16"/>
      <c r="K4" s="16"/>
      <c r="L4" s="16"/>
      <c r="M4" s="16"/>
      <c r="N4" s="33"/>
      <c r="O4" s="33"/>
      <c r="P4" s="35"/>
      <c r="Q4" s="1"/>
      <c r="R4" s="1"/>
    </row>
    <row r="5" ht="15.75" customHeight="1">
      <c r="A5" s="1"/>
      <c r="B5" s="16">
        <v>2.0</v>
      </c>
      <c r="C5" s="80"/>
      <c r="D5" s="68"/>
      <c r="E5" s="17"/>
      <c r="F5" s="108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80"/>
      <c r="D6" s="68"/>
      <c r="E6" s="17"/>
      <c r="F6" s="1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80"/>
      <c r="D7" s="68"/>
      <c r="E7" s="17"/>
      <c r="F7" s="16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80"/>
      <c r="D8" s="68"/>
      <c r="E8" s="17"/>
      <c r="F8" s="16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80"/>
      <c r="D9" s="68"/>
      <c r="E9" s="17"/>
      <c r="F9" s="16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80"/>
      <c r="D10" s="68"/>
      <c r="E10" s="17"/>
      <c r="F10" s="16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80"/>
      <c r="D11" s="68"/>
      <c r="E11" s="17"/>
      <c r="F11" s="16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80"/>
      <c r="D12" s="68"/>
      <c r="E12" s="17"/>
      <c r="F12" s="16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80"/>
      <c r="D13" s="68"/>
      <c r="E13" s="17"/>
      <c r="F13" s="16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5.75" customHeight="1">
      <c r="A14" s="1"/>
      <c r="B14" s="16"/>
      <c r="C14" s="80"/>
      <c r="D14" s="68"/>
      <c r="E14" s="17"/>
      <c r="F14" s="16"/>
      <c r="G14" s="159"/>
      <c r="H14" s="62"/>
      <c r="I14" s="16"/>
      <c r="J14" s="16"/>
      <c r="K14" s="16"/>
      <c r="L14" s="16"/>
      <c r="M14" s="16"/>
      <c r="N14" s="43"/>
      <c r="O14" s="43"/>
      <c r="P14" s="43"/>
      <c r="Q14" s="1"/>
      <c r="R14" s="1"/>
    </row>
    <row r="15" ht="15.75" customHeight="1">
      <c r="A15" s="1"/>
      <c r="B15" s="16"/>
      <c r="C15" s="80"/>
      <c r="D15" s="68"/>
      <c r="E15" s="17"/>
      <c r="F15" s="16"/>
      <c r="G15" s="159"/>
      <c r="H15" s="62"/>
      <c r="I15" s="16"/>
      <c r="J15" s="16"/>
      <c r="K15" s="16"/>
      <c r="L15" s="16"/>
      <c r="M15" s="16"/>
      <c r="N15" s="43"/>
      <c r="O15" s="43"/>
      <c r="P15" s="43"/>
      <c r="Q15" s="1"/>
      <c r="R15" s="1"/>
    </row>
    <row r="16" ht="15.75" customHeight="1">
      <c r="A16" s="1"/>
      <c r="B16" s="16"/>
      <c r="C16" s="80"/>
      <c r="D16" s="68"/>
      <c r="E16" s="17"/>
      <c r="F16" s="16"/>
      <c r="G16" s="159"/>
      <c r="H16" s="62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5.75" customHeight="1">
      <c r="A17" s="1"/>
      <c r="B17" s="16"/>
      <c r="C17" s="80"/>
      <c r="D17" s="68"/>
      <c r="E17" s="17"/>
      <c r="F17" s="16"/>
      <c r="G17" s="159"/>
      <c r="H17" s="62"/>
      <c r="I17" s="16"/>
      <c r="J17" s="16"/>
      <c r="K17" s="16"/>
      <c r="L17" s="16"/>
      <c r="M17" s="16"/>
      <c r="N17" s="43"/>
      <c r="O17" s="43"/>
      <c r="P17" s="43"/>
      <c r="Q17" s="1"/>
      <c r="R17" s="1"/>
    </row>
    <row r="18" ht="15.75" customHeight="1">
      <c r="A18" s="1"/>
      <c r="B18" s="16"/>
      <c r="C18" s="80"/>
      <c r="D18" s="68"/>
      <c r="E18" s="17"/>
      <c r="F18" s="16"/>
      <c r="G18" s="159"/>
      <c r="H18" s="62"/>
      <c r="I18" s="16"/>
      <c r="J18" s="16"/>
      <c r="K18" s="16"/>
      <c r="L18" s="16"/>
      <c r="M18" s="16"/>
      <c r="N18" s="43"/>
      <c r="O18" s="43"/>
      <c r="P18" s="43"/>
      <c r="Q18" s="1"/>
      <c r="R18" s="1"/>
    </row>
    <row r="19" ht="15.75" customHeight="1">
      <c r="A19" s="1"/>
      <c r="B19" s="16"/>
      <c r="C19" s="80"/>
      <c r="D19" s="68"/>
      <c r="E19" s="17"/>
      <c r="F19" s="16"/>
      <c r="G19" s="159"/>
      <c r="H19" s="62"/>
      <c r="I19" s="16"/>
      <c r="J19" s="16"/>
      <c r="K19" s="16"/>
      <c r="L19" s="16"/>
      <c r="M19" s="16"/>
      <c r="N19" s="43"/>
      <c r="O19" s="43"/>
      <c r="P19" s="43"/>
      <c r="Q19" s="1"/>
      <c r="R19" s="1"/>
    </row>
    <row r="20" ht="15.75" customHeight="1">
      <c r="A20" s="1"/>
      <c r="B20" s="16"/>
      <c r="C20" s="80"/>
      <c r="D20" s="68"/>
      <c r="E20" s="17"/>
      <c r="F20" s="16"/>
      <c r="G20" s="159"/>
      <c r="H20" s="62"/>
      <c r="I20" s="16"/>
      <c r="J20" s="16"/>
      <c r="K20" s="16"/>
      <c r="L20" s="16"/>
      <c r="M20" s="16"/>
      <c r="N20" s="43"/>
      <c r="O20" s="43"/>
      <c r="P20" s="43"/>
      <c r="Q20" s="1"/>
      <c r="R20" s="1"/>
    </row>
    <row r="21" ht="15.75" customHeight="1">
      <c r="A21" s="1"/>
      <c r="B21" s="16"/>
      <c r="C21" s="80"/>
      <c r="D21" s="68"/>
      <c r="E21" s="17"/>
      <c r="F21" s="16"/>
      <c r="G21" s="159"/>
      <c r="H21" s="62"/>
      <c r="I21" s="16"/>
      <c r="J21" s="16"/>
      <c r="K21" s="16"/>
      <c r="L21" s="16"/>
      <c r="M21" s="16"/>
      <c r="N21" s="43"/>
      <c r="O21" s="43"/>
      <c r="P21" s="43"/>
      <c r="Q21" s="1"/>
      <c r="R21" s="1"/>
    </row>
    <row r="22" ht="15.75" customHeight="1">
      <c r="A22" s="1"/>
      <c r="B22" s="16"/>
      <c r="C22" s="80"/>
      <c r="D22" s="68"/>
      <c r="E22" s="17"/>
      <c r="F22" s="16"/>
      <c r="G22" s="159"/>
      <c r="H22" s="62"/>
      <c r="I22" s="16"/>
      <c r="J22" s="16"/>
      <c r="K22" s="16"/>
      <c r="L22" s="16"/>
      <c r="M22" s="16"/>
      <c r="N22" s="43"/>
      <c r="O22" s="43"/>
      <c r="P22" s="43"/>
      <c r="Q22" s="1"/>
      <c r="R22" s="1"/>
    </row>
    <row r="23" ht="15.75" customHeight="1">
      <c r="A23" s="1"/>
      <c r="B23" s="16"/>
      <c r="C23" s="80"/>
      <c r="D23" s="68"/>
      <c r="E23" s="17"/>
      <c r="F23" s="16"/>
      <c r="G23" s="159"/>
      <c r="H23" s="62"/>
      <c r="I23" s="16"/>
      <c r="J23" s="16"/>
      <c r="K23" s="16"/>
      <c r="L23" s="16"/>
      <c r="M23" s="16"/>
      <c r="N23" s="43"/>
      <c r="O23" s="43"/>
      <c r="P23" s="43"/>
      <c r="Q23" s="1"/>
      <c r="R23" s="1"/>
    </row>
    <row r="24" ht="15.75" customHeight="1">
      <c r="A24" s="1"/>
      <c r="B24" s="16"/>
      <c r="C24" s="80"/>
      <c r="D24" s="68"/>
      <c r="E24" s="17"/>
      <c r="F24" s="16"/>
      <c r="G24" s="159"/>
      <c r="H24" s="62"/>
      <c r="I24" s="16"/>
      <c r="J24" s="16"/>
      <c r="K24" s="16"/>
      <c r="L24" s="16"/>
      <c r="M24" s="16"/>
      <c r="N24" s="43"/>
      <c r="O24" s="43"/>
      <c r="P24" s="43"/>
      <c r="Q24" s="1"/>
      <c r="R24" s="1"/>
    </row>
    <row r="25" ht="15.75" customHeight="1">
      <c r="A25" s="1"/>
      <c r="B25" s="16"/>
      <c r="C25" s="80"/>
      <c r="D25" s="68"/>
      <c r="E25" s="17"/>
      <c r="F25" s="16"/>
      <c r="G25" s="159"/>
      <c r="H25" s="62"/>
      <c r="I25" s="16"/>
      <c r="J25" s="16"/>
      <c r="K25" s="16"/>
      <c r="L25" s="16"/>
      <c r="M25" s="16"/>
      <c r="N25" s="43"/>
      <c r="O25" s="43"/>
      <c r="P25" s="43"/>
      <c r="Q25" s="1"/>
      <c r="R25" s="1"/>
    </row>
    <row r="26" ht="15.75" customHeight="1">
      <c r="A26" s="1"/>
      <c r="B26" s="16"/>
      <c r="C26" s="80"/>
      <c r="D26" s="68"/>
      <c r="E26" s="17"/>
      <c r="F26" s="16"/>
      <c r="G26" s="159"/>
      <c r="H26" s="62"/>
      <c r="I26" s="16"/>
      <c r="J26" s="16"/>
      <c r="K26" s="16"/>
      <c r="L26" s="16"/>
      <c r="M26" s="16"/>
      <c r="N26" s="43"/>
      <c r="O26" s="43"/>
      <c r="P26" s="43"/>
      <c r="Q26" s="1"/>
      <c r="R26" s="1"/>
    </row>
    <row r="27" ht="15.75" customHeight="1">
      <c r="A27" s="1"/>
      <c r="B27" s="16"/>
      <c r="C27" s="80"/>
      <c r="D27" s="68"/>
      <c r="E27" s="17"/>
      <c r="F27" s="16"/>
      <c r="G27" s="159"/>
      <c r="H27" s="62"/>
      <c r="I27" s="16"/>
      <c r="J27" s="16"/>
      <c r="K27" s="16"/>
      <c r="L27" s="16"/>
      <c r="M27" s="16"/>
      <c r="N27" s="43"/>
      <c r="O27" s="43"/>
      <c r="P27" s="43"/>
      <c r="Q27" s="1"/>
      <c r="R27" s="1"/>
    </row>
    <row r="28" ht="15.75" customHeight="1">
      <c r="A28" s="1"/>
      <c r="B28" s="16"/>
      <c r="C28" s="80"/>
      <c r="D28" s="68"/>
      <c r="E28" s="17"/>
      <c r="F28" s="16"/>
      <c r="G28" s="159"/>
      <c r="H28" s="62"/>
      <c r="I28" s="16"/>
      <c r="J28" s="16"/>
      <c r="K28" s="16"/>
      <c r="L28" s="16"/>
      <c r="M28" s="16"/>
      <c r="N28" s="43"/>
      <c r="O28" s="43"/>
      <c r="P28" s="43"/>
      <c r="Q28" s="1"/>
      <c r="R28" s="1"/>
    </row>
    <row r="29" ht="15.75" customHeight="1">
      <c r="A29" s="1"/>
      <c r="B29" s="16"/>
      <c r="C29" s="80"/>
      <c r="D29" s="68"/>
      <c r="E29" s="17"/>
      <c r="F29" s="16"/>
      <c r="G29" s="159"/>
      <c r="H29" s="62"/>
      <c r="I29" s="16"/>
      <c r="J29" s="16"/>
      <c r="K29" s="16"/>
      <c r="L29" s="16"/>
      <c r="M29" s="16"/>
      <c r="N29" s="43"/>
      <c r="O29" s="43"/>
      <c r="P29" s="43"/>
      <c r="Q29" s="1"/>
      <c r="R29" s="1"/>
    </row>
    <row r="30" ht="15.75" customHeight="1">
      <c r="A30" s="1"/>
      <c r="B30" s="16"/>
      <c r="C30" s="80"/>
      <c r="D30" s="68"/>
      <c r="E30" s="17"/>
      <c r="F30" s="16"/>
      <c r="G30" s="159"/>
      <c r="H30" s="62"/>
      <c r="I30" s="16"/>
      <c r="J30" s="16"/>
      <c r="K30" s="16"/>
      <c r="L30" s="16"/>
      <c r="M30" s="16"/>
      <c r="N30" s="43"/>
      <c r="O30" s="43"/>
      <c r="P30" s="43"/>
      <c r="Q30" s="1"/>
      <c r="R30" s="1"/>
    </row>
    <row r="31" ht="15.75" customHeight="1">
      <c r="A31" s="1"/>
      <c r="B31" s="16"/>
      <c r="C31" s="80"/>
      <c r="D31" s="68"/>
      <c r="E31" s="17"/>
      <c r="F31" s="16"/>
      <c r="G31" s="159"/>
      <c r="H31" s="62"/>
      <c r="I31" s="16"/>
      <c r="J31" s="16"/>
      <c r="K31" s="16"/>
      <c r="L31" s="16"/>
      <c r="M31" s="16"/>
      <c r="N31" s="43"/>
      <c r="O31" s="43"/>
      <c r="P31" s="43"/>
      <c r="Q31" s="1"/>
      <c r="R31" s="1"/>
    </row>
    <row r="32" ht="15.75" customHeight="1">
      <c r="A32" s="1"/>
      <c r="B32" s="16"/>
      <c r="C32" s="80"/>
      <c r="D32" s="68"/>
      <c r="E32" s="17"/>
      <c r="F32" s="16"/>
      <c r="G32" s="159"/>
      <c r="H32" s="62"/>
      <c r="I32" s="16"/>
      <c r="J32" s="16"/>
      <c r="K32" s="16"/>
      <c r="L32" s="16"/>
      <c r="M32" s="16"/>
      <c r="N32" s="43"/>
      <c r="O32" s="43"/>
      <c r="P32" s="43"/>
      <c r="Q32" s="1"/>
      <c r="R32" s="1"/>
    </row>
    <row r="33" ht="15.75" customHeight="1">
      <c r="A33" s="1"/>
      <c r="B33" s="16"/>
      <c r="C33" s="80"/>
      <c r="D33" s="68"/>
      <c r="E33" s="17"/>
      <c r="F33" s="16"/>
      <c r="G33" s="159"/>
      <c r="H33" s="62"/>
      <c r="I33" s="16"/>
      <c r="J33" s="16"/>
      <c r="K33" s="16"/>
      <c r="L33" s="16"/>
      <c r="M33" s="16"/>
      <c r="N33" s="43"/>
      <c r="O33" s="43"/>
      <c r="P33" s="43"/>
      <c r="Q33" s="1"/>
      <c r="R33" s="1"/>
    </row>
    <row r="34" ht="15.75" customHeight="1">
      <c r="A34" s="1"/>
      <c r="B34" s="16"/>
      <c r="C34" s="80"/>
      <c r="D34" s="68"/>
      <c r="E34" s="17"/>
      <c r="F34" s="16"/>
      <c r="G34" s="159"/>
      <c r="H34" s="62"/>
      <c r="I34" s="16"/>
      <c r="J34" s="16"/>
      <c r="K34" s="16"/>
      <c r="L34" s="16"/>
      <c r="M34" s="16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24">
        <f t="shared" ref="G35:H35" si="1">SUM(G4:G34)</f>
        <v>0</v>
      </c>
      <c r="H35" s="7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1" t="s">
        <v>0</v>
      </c>
      <c r="C38" s="72" t="s">
        <v>6</v>
      </c>
      <c r="D38" s="72" t="s">
        <v>115</v>
      </c>
      <c r="E38" s="1"/>
      <c r="F38" s="1"/>
      <c r="G38" s="1"/>
      <c r="H38" s="1"/>
      <c r="I38" s="1"/>
      <c r="J38" s="1"/>
      <c r="K38" s="1"/>
      <c r="L38" s="1"/>
      <c r="M38" s="1"/>
      <c r="N38" s="72" t="s">
        <v>117</v>
      </c>
      <c r="O38" s="72" t="s">
        <v>1</v>
      </c>
      <c r="P38" s="1"/>
      <c r="Q38" s="1"/>
      <c r="R38" s="1"/>
    </row>
    <row r="39" ht="15.75" customHeight="1">
      <c r="A39" s="1"/>
      <c r="B39" s="73">
        <v>1.0</v>
      </c>
      <c r="C39" s="74" t="s">
        <v>119</v>
      </c>
      <c r="D39" s="76">
        <f>SUM(G35)</f>
        <v>0</v>
      </c>
      <c r="E39" s="77"/>
      <c r="F39" s="1"/>
      <c r="G39" s="1"/>
      <c r="H39" s="1"/>
      <c r="I39" s="1"/>
      <c r="J39" s="1"/>
      <c r="K39" s="1"/>
      <c r="L39" s="1"/>
      <c r="M39" s="1"/>
      <c r="N39" s="79" t="s">
        <v>123</v>
      </c>
      <c r="O39" s="33"/>
      <c r="P39" s="1"/>
      <c r="Q39" s="1"/>
      <c r="R39" s="1"/>
    </row>
    <row r="40" ht="15.75" customHeight="1">
      <c r="A40" s="1"/>
      <c r="B40" s="82">
        <v>2.0</v>
      </c>
      <c r="C40" s="98"/>
      <c r="D40" s="99"/>
      <c r="E40" s="77"/>
      <c r="F40" s="1"/>
      <c r="G40" s="1"/>
      <c r="H40" s="1"/>
      <c r="I40" s="1"/>
      <c r="J40" s="1"/>
      <c r="K40" s="1"/>
      <c r="L40" s="1"/>
      <c r="M40" s="1"/>
      <c r="N40" s="85" t="s">
        <v>129</v>
      </c>
      <c r="O40" s="166"/>
      <c r="P40" s="1"/>
      <c r="Q40" s="1"/>
      <c r="R40" s="1"/>
    </row>
    <row r="41" ht="15.75" customHeight="1">
      <c r="A41" s="1"/>
      <c r="B41" s="73">
        <v>3.0</v>
      </c>
      <c r="C41" s="74"/>
      <c r="D41" s="76"/>
      <c r="E41" s="77"/>
      <c r="F41" s="1"/>
      <c r="G41" s="1"/>
      <c r="H41" s="1"/>
      <c r="I41" s="1"/>
      <c r="J41" s="1"/>
      <c r="K41" s="1"/>
      <c r="L41" s="1"/>
      <c r="M41" s="1"/>
      <c r="N41" s="89" t="s">
        <v>134</v>
      </c>
      <c r="O41" s="43"/>
      <c r="P41" s="1"/>
      <c r="Q41" s="1"/>
      <c r="R41" s="1"/>
    </row>
    <row r="42" ht="15.75" customHeight="1">
      <c r="A42" s="1"/>
      <c r="B42" s="82">
        <v>4.0</v>
      </c>
      <c r="C42" s="98"/>
      <c r="D42" s="99"/>
      <c r="E42" s="77"/>
      <c r="F42" s="1"/>
      <c r="G42" s="1"/>
      <c r="H42" s="1"/>
      <c r="I42" s="1"/>
      <c r="J42" s="1"/>
      <c r="K42" s="1"/>
      <c r="L42" s="1"/>
      <c r="M42" s="1"/>
      <c r="N42" s="93" t="s">
        <v>137</v>
      </c>
      <c r="O42" s="166"/>
      <c r="P42" s="1"/>
      <c r="Q42" s="1"/>
      <c r="R42" s="1"/>
    </row>
    <row r="43" ht="15.75" customHeight="1">
      <c r="A43" s="1"/>
      <c r="B43" s="73"/>
      <c r="C43" s="74"/>
      <c r="D43" s="76"/>
      <c r="E43" s="77"/>
      <c r="F43" s="1"/>
      <c r="G43" s="1"/>
      <c r="H43" s="1"/>
      <c r="I43" s="1"/>
      <c r="J43" s="1"/>
      <c r="K43" s="1"/>
      <c r="L43" s="1"/>
      <c r="M43" s="1"/>
      <c r="N43" s="95"/>
      <c r="O43" s="1"/>
      <c r="P43" s="1"/>
      <c r="Q43" s="1"/>
      <c r="R43" s="1"/>
    </row>
    <row r="44" ht="15.75" customHeight="1">
      <c r="A44" s="1"/>
      <c r="B44" s="82"/>
      <c r="C44" s="98"/>
      <c r="D44" s="99"/>
      <c r="E44" s="7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3"/>
      <c r="C45" s="74"/>
      <c r="D45" s="76"/>
      <c r="E45" s="7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98"/>
      <c r="D46" s="99"/>
      <c r="E46" s="7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3"/>
      <c r="C47" s="74"/>
      <c r="D47" s="76"/>
      <c r="E47" s="7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98"/>
      <c r="D48" s="99"/>
      <c r="E48" s="7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2"/>
      <c r="C49" s="114"/>
      <c r="D49" s="115"/>
      <c r="E49" s="7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3" t="s">
        <v>433</v>
      </c>
      <c r="AU1" s="102" t="s">
        <v>434</v>
      </c>
    </row>
    <row r="2">
      <c r="A2" s="204" t="s">
        <v>435</v>
      </c>
      <c r="AU2" s="102">
        <v>1.0</v>
      </c>
    </row>
    <row r="3">
      <c r="AU3" s="102">
        <v>2.0</v>
      </c>
    </row>
    <row r="4">
      <c r="A4" s="205" t="s">
        <v>436</v>
      </c>
      <c r="AU4" s="102">
        <v>3.0</v>
      </c>
      <c r="AV4" s="102">
        <v>1.0</v>
      </c>
      <c r="AW4" s="102">
        <v>2.0</v>
      </c>
      <c r="AX4" s="102">
        <v>3.0</v>
      </c>
      <c r="AY4" s="102">
        <v>4.0</v>
      </c>
      <c r="AZ4" s="102">
        <v>5.0</v>
      </c>
      <c r="BA4" s="102">
        <v>6.0</v>
      </c>
      <c r="BB4" s="102">
        <v>7.0</v>
      </c>
      <c r="BC4" s="102">
        <v>8.0</v>
      </c>
      <c r="BD4" s="102">
        <v>9.0</v>
      </c>
      <c r="BE4" s="102">
        <v>10.0</v>
      </c>
      <c r="BF4" s="102">
        <v>11.0</v>
      </c>
      <c r="BG4" s="102">
        <v>12.0</v>
      </c>
      <c r="BH4" s="102">
        <v>13.0</v>
      </c>
      <c r="BI4" s="102">
        <v>14.0</v>
      </c>
      <c r="BJ4" s="102">
        <v>15.0</v>
      </c>
      <c r="BK4" s="102">
        <v>16.0</v>
      </c>
      <c r="BL4" s="102">
        <v>17.0</v>
      </c>
      <c r="BM4" s="102">
        <v>18.0</v>
      </c>
      <c r="BN4" s="102">
        <v>19.0</v>
      </c>
      <c r="BO4" s="102">
        <v>20.0</v>
      </c>
      <c r="BP4" s="102">
        <v>21.0</v>
      </c>
      <c r="BQ4" s="102">
        <v>22.0</v>
      </c>
      <c r="BR4" s="102">
        <v>23.0</v>
      </c>
      <c r="BS4" s="102">
        <v>24.0</v>
      </c>
      <c r="BT4" s="102">
        <v>25.0</v>
      </c>
      <c r="BU4" s="102">
        <v>26.0</v>
      </c>
      <c r="BV4" s="102">
        <v>27.0</v>
      </c>
      <c r="BW4" s="102">
        <v>28.0</v>
      </c>
      <c r="BX4" s="102">
        <v>29.0</v>
      </c>
      <c r="BY4" s="102">
        <v>30.0</v>
      </c>
      <c r="BZ4" s="102">
        <v>31.0</v>
      </c>
      <c r="CA4" s="102" t="s">
        <v>437</v>
      </c>
      <c r="CB4" s="102" t="s">
        <v>438</v>
      </c>
    </row>
    <row r="5">
      <c r="A5" s="206" t="s">
        <v>439</v>
      </c>
      <c r="B5" s="206" t="s">
        <v>2</v>
      </c>
      <c r="C5" s="206" t="s">
        <v>440</v>
      </c>
      <c r="D5" s="206" t="s">
        <v>441</v>
      </c>
      <c r="E5" s="206" t="s">
        <v>442</v>
      </c>
      <c r="X5" s="102" t="s">
        <v>34</v>
      </c>
      <c r="Y5" s="102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73</v>
      </c>
      <c r="Z5" s="102">
        <f t="shared" ref="Z5:Z17" si="1">Y5+(18-ROW())/100000</f>
        <v>73.00013</v>
      </c>
      <c r="AA5" s="102" t="s">
        <v>38</v>
      </c>
      <c r="AB5" s="102" t="s">
        <v>443</v>
      </c>
      <c r="AC5" s="102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20</v>
      </c>
      <c r="AD5" s="102">
        <f t="shared" ref="AD5:AD15" si="2">AC5+(16-ROW())/100000</f>
        <v>20.00011</v>
      </c>
      <c r="AE5" s="102" t="s">
        <v>38</v>
      </c>
      <c r="AF5" s="102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135</v>
      </c>
      <c r="AG5" s="102">
        <f t="shared" ref="AG5:AG9" si="3">AF5+(10-ROW())/100000</f>
        <v>135.00005</v>
      </c>
      <c r="AH5" s="102" t="s">
        <v>444</v>
      </c>
      <c r="AI5" s="102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2">
        <f t="shared" ref="AJ5:AJ10" si="4">AI5+(11-ROW())/100000</f>
        <v>0.00006</v>
      </c>
      <c r="AK5" s="102" t="s">
        <v>38</v>
      </c>
      <c r="AL5" s="102" t="s">
        <v>443</v>
      </c>
      <c r="AM5" s="102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102">
        <f t="shared" ref="AN5:AN15" si="5">IF(AM5=0,"",AO5/5*20+AP5/5*25+AQ5/5*25+AR5/5*15+AS5/5*15)</f>
        <v>100</v>
      </c>
      <c r="AO5" s="102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2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2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2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2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2">
        <v>4.0</v>
      </c>
      <c r="AV5" s="102" t="str">
        <f>IF(COUNTIFS('1'!$AG$29:$AG$34,$AK5,'1'!$AF$29:$AF$34,1)=0,"",SUMIFS('1'!$AC$29:$AC$34,'1'!$AG$29:$AG$34,$AK5,'1'!$AF$29:$AF$34,1)/COUNTIFS('1'!$AG$29:$AG$34,$AK5,'1'!$AF$29:$AF$34,1))</f>
        <v/>
      </c>
      <c r="AW5" s="102">
        <f>IF(COUNTIFS('2'!$AG$27:$AG$32,$AK5,'2'!$AF$27:$AF$32,1)=0,"",SUMIFS('2'!$AC$27:$AC$32,'2'!$AG$27:$AG$32,$AK5,'2'!$AF$27:$AF$32,1)/COUNTIFS('2'!$AG$27:$AG$32,$AK5,'2'!$AF$27:$AF$32,1))</f>
        <v>100</v>
      </c>
      <c r="AX5" s="102">
        <f>IF(COUNTIFS('3'!$AG$74:$AG$79,$AK5,'3'!$AF$74:$AF$79,1)=0,"",SUMIFS('3'!$AC$74:$AC$79,'3'!$AG$74:$AG$79,$AK5,'3'!$AF$74:$AF$79,1)/COUNTIFS('3'!$AG$74:$AG$79,$AK5,'3'!$AF$74:$AF$79,1))</f>
        <v>100</v>
      </c>
      <c r="AY5" s="102">
        <f>IF(COUNTIFS('4'!$AG$86:$AG$91,$AK5,'4'!$AF$86:$AF$91,1)=0,"",SUMIFS('4'!$AC$86:$AC$91,'4'!$AG$86:$AG$91,$AK5,'4'!$AF$86:$AF$91,1)/COUNTIFS('4'!$AG$86:$AG$91,$AK5,'4'!$AF$86:$AF$91,1))</f>
        <v>100</v>
      </c>
      <c r="AZ5" s="102">
        <f>IF(COUNTIFS('5'!$AG$27:$AG$32,$AK5,'5'!$AF$27:$AF$32,1)=0,"",SUMIFS('5'!$AC$27:$AC$32,'5'!$AG$27:$AG$32,$AK5,'5'!$AF$27:$AF$32,1)/COUNTIFS('5'!$AG$27:$AG$32,$AK5,'5'!$AF$27:$AF$32,1))</f>
        <v>100</v>
      </c>
      <c r="BA5" s="102">
        <f>IF(COUNTIFS('6'!$AG$31:$AG$36,$AK5,'6'!$AF$31:$AF$36,1)=0,"",SUMIFS('6'!$AC$31:$AC$36,'6'!$AG$31:$AG$36,$AK5,'6'!$AF$31:$AF$36,1)/COUNTIFS('6'!$AG$31:$AG$36,$AK5,'6'!$AF$31:$AF$36,1))</f>
        <v>100</v>
      </c>
      <c r="BB5" s="102">
        <f>IF(COUNTIFS('7'!$AG$30:$AG$35,$AK5,'7'!$AF$30:$AF$35,1)=0,"",SUMIFS('7'!$AC$30:$AC$35,'7'!$AG$30:$AG$35,$AK5,'7'!$AF$30:$AF$35,1)/COUNTIFS('7'!$AG$30:$AG$35,$AK5,'7'!$AF$30:$AF$35,1))</f>
        <v>100</v>
      </c>
      <c r="BC5" s="102" t="str">
        <f>IF(COUNTIFS('8'!$AG$31:$AG$36,$AK5,'8'!$AF$31:$AF$36,1)=0,"",SUMIFS('8'!$AC$31:$AC$36,'8'!$AG$31:$AG$36,$AK5,'8'!$AF$31:$AF$36,1)/COUNTIFS('8'!$AG$31:$AG$36,$AK5,'8'!$AF$31:$AF$36,1))</f>
        <v/>
      </c>
      <c r="BD5" s="102">
        <f>IF(COUNTIFS('9'!$AG$33:$AG$38,$AK5,'9'!$AF$33:$AF$38,1)=0,"",SUMIFS('9'!$AC$33:$AC$38,'9'!$AG$33:$AG$38,$AK5,'9'!$AF$33:$AF$38,1)/COUNTIFS('9'!$AG$33:$AG$38,$AK5,'9'!$AF$33:$AF$38,1))</f>
        <v>100</v>
      </c>
      <c r="BE5" s="102">
        <f>IF(COUNTIFS('10'!$AG$33:$AG$38,$AK5,'10'!$AF$33:$AF$38,1)=0,"",SUMIFS('10'!$AC$33:$AC$38,'10'!$AG$33:$AG$38,$AK5,'10'!$AF$33:$AF$38,1)/COUNTIFS('10'!$AG$33:$AG$38,$AK5,'10'!$AF$33:$AF$38,1))</f>
        <v>100</v>
      </c>
      <c r="BF5" s="102">
        <f>IF(COUNTIFS('11'!$AG$29:$AG$34,$AK5,'11'!$AF$29:$AF$34,1)=0,"",SUMIFS('11'!$AC$29:$AC$34,'11'!$AG$29:$AG$34,$AK5,'11'!$AF$29:$AF$34,1)/COUNTIFS('11'!$AG$29:$AG$34,$AK5,'11'!$AF$29:$AF$34,1))</f>
        <v>100</v>
      </c>
      <c r="BG5" s="102">
        <f>IF(COUNTIFS('12'!$AG$26:$AG$31,$AK5,'12'!$AF$26:$AF$31,1)=0,"",SUMIFS('12'!$AC$26:$AC$31,'12'!$AG$26:$AG$31,$AK5,'12'!$AF$26:$AF$31,1)/COUNTIFS('12'!$AG$26:$AG$31,$AK5,'12'!$AF$26:$AF$31,1))</f>
        <v>100</v>
      </c>
      <c r="BH5" s="102">
        <f>IF(COUNTIFS('13'!$AG$25:$AG$30,$AK5,'13'!$AF$25:$AF$30,1)=0,"",SUMIFS('13'!$AC$25:$AC$30,'13'!$AG$25:$AG$30,$AK5,'13'!$AF$25:$AF$30,1)/COUNTIFS('13'!$AG$25:$AG$30,$AK5,'13'!$AF$25:$AF$30,1))</f>
        <v>100</v>
      </c>
      <c r="BI5" s="102" t="str">
        <f>IF(COUNTIFS('14'!$AG$25:$AG$30,$AK5,'14'!$AF$25:$AF$30,1)=0,"",SUMIFS('14'!$AC$25:$AC$30,'14'!$AG$25:$AG$30,$AK5,'14'!$AF$25:$AF$30,1)/COUNTIFS('14'!$AG$25:$AG$30,$AK5,'14'!$AF$25:$AF$30,1))</f>
        <v/>
      </c>
      <c r="BJ5" s="102">
        <f>IF(COUNTIFS('15'!$AG$29:$AG$34,$AK5,'15'!$AF$29:$AF$34,1)=0,"",SUMIFS('15'!$AC$29:$AC$34,'15'!$AG$29:$AG$34,$AK5,'15'!$AF$29:$AF$34,1)/COUNTIFS('15'!$AG$29:$AG$34,$AK5,'15'!$AF$29:$AF$34,1))</f>
        <v>100</v>
      </c>
      <c r="BK5" s="102">
        <f>IF(COUNTIFS('16'!$AG$28:$AG$33,$AK5,'16'!$AF$28:$AF$33,1)=0,"",SUMIFS('16'!$AC$28:$AC$33,'16'!$AG$28:$AG$33,$AK5,'16'!$AF$28:$AF$33,1)/COUNTIFS('16'!$AG$28:$AG$33,$AK5,'16'!$AF$28:$AF$33,1))</f>
        <v>100</v>
      </c>
      <c r="BL5" s="102">
        <f>IF(COUNTIFS('17'!$AG$44:$AG$49,$AK5,'17'!$AF$44:$AF$49,1)=0,"",SUMIFS('17'!$AC$44:$AC$49,'17'!$AG$44:$AG$49,$AK5,'17'!$AF$44:$AF$49,1)/COUNTIFS('17'!$AG$44:$AG$49,$AK5,'17'!$AF$44:$AF$49,1))</f>
        <v>100</v>
      </c>
      <c r="BM5" s="102" t="str">
        <f>IF(COUNTIFS('18'!$AG$28:$AG$33,$AK5,'18'!$AF$28:$AF$33,1)=0,"",SUMIFS('18'!$AC$28:$AC$33,'18'!$AG$28:$AG$33,$AK5,'18'!$AF$28:$AF$33,1)/COUNTIFS('18'!$AG$28:$AG$33,$AK5,'18'!$AF$28:$AF$33,1))</f>
        <v/>
      </c>
      <c r="BN5" s="102" t="str">
        <f>IF(COUNTIFS('19'!$AG$25:$AG$30,$AK5,'19'!$AF$25:$AF$30,1)=0,"",SUMIFS('19'!$AC$25:$AC$30,'19'!$AG$25:$AG$30,$AK5,'19'!$AF$25:$AF$30,1)/COUNTIFS('19'!$AG$25:$AG$30,$AK5,'19'!$AF$25:$AF$30,1))</f>
        <v/>
      </c>
      <c r="BO5" s="102" t="str">
        <f>IF(COUNTIFS('20'!$AG$25:$AG$30,$AK5,'20'!$AF$25:$AF$30,1)=0,"",SUMIFS('20'!$AC$25:$AC$30,'20'!$AG$25:$AG$30,$AK5,'20'!$AF$25:$AF$30,1)/COUNTIFS('20'!$AG$25:$AG$30,$AK5,'20'!$AF$25:$AF$30,1))</f>
        <v/>
      </c>
      <c r="BP5" s="102" t="str">
        <f>IF(COUNTIFS('21'!$AG$25:$AG$30,$AK5,'21'!$AF$25:$AF$30,1)=0,"",SUMIFS('21'!$AC$25:$AC$30,'21'!$AG$25:$AG$30,$AK5,'21'!$AF$25:$AF$30,1)/COUNTIFS('21'!$AG$25:$AG$30,$AK5,'21'!$AF$25:$AF$30,1))</f>
        <v/>
      </c>
      <c r="BQ5" s="102" t="str">
        <f>IF(COUNTIFS('22'!$AG$25:$AG$30,$AK5,'22'!$AF$25:$AF$30,1)=0,"",SUMIFS('22'!$AC$25:$AC$30,'22'!$AG$25:$AG$30,$AK5,'22'!$AF$25:$AF$30,1)/COUNTIFS('22'!$AG$25:$AG$30,$AK5,'22'!$AF$25:$AF$30,1))</f>
        <v/>
      </c>
      <c r="BR5" s="102" t="str">
        <f>IF(COUNTIFS('23'!$AG$25:$AG$30,$AK5,'23'!$AF$25:$AF$30,1)=0,"",SUMIFS('23'!$AC$25:$AC$30,'23'!$AG$25:$AG$30,$AK5,'23'!$AF$25:$AF$30,1)/COUNTIFS('23'!$AG$25:$AG$30,$AK5,'23'!$AF$25:$AF$30,1))</f>
        <v/>
      </c>
      <c r="BS5" s="102" t="str">
        <f>IF(COUNTIFS('24'!$AG$25:$AG$30,$AK5,'24'!$AF$25:$AF$30,1)=0,"",SUMIFS('24'!$AC$25:$AC$30,'24'!$AG$25:$AG$30,$AK5,'24'!$AF$25:$AF$30,1)/COUNTIFS('24'!$AG$25:$AG$30,$AK5,'24'!$AF$25:$AF$30,1))</f>
        <v/>
      </c>
      <c r="BT5" s="102" t="str">
        <f>IF(COUNTIFS('25'!$AG$25:$AG$30,$AK5,'25'!$AF$25:$AF$30,1)=0,"",SUMIFS('25'!$AC$25:$AC$30,'25'!$AG$25:$AG$30,$AK5,'25'!$AF$25:$AF$30,1)/COUNTIFS('25'!$AG$25:$AG$30,$AK5,'25'!$AF$25:$AF$30,1))</f>
        <v/>
      </c>
      <c r="BU5" s="102" t="str">
        <f>IF(COUNTIFS('26'!$AG$25:$AG$30,$AK5,'26'!$AF$25:$AF$30,1)=0,"",SUMIFS('26'!$AC$25:$AC$30,'26'!$AG$25:$AG$30,$AK5,'26'!$AF$25:$AF$30,1)/COUNTIFS('26'!$AG$25:$AG$30,$AK5,'26'!$AF$25:$AF$30,1))</f>
        <v/>
      </c>
      <c r="BV5" s="102" t="str">
        <f>IF(COUNTIFS('27'!$AG$25:$AG$30,$AK5,'27'!$AF$25:$AF$30,1)=0,"",SUMIFS('27'!$AC$25:$AC$30,'27'!$AG$25:$AG$30,$AK5,'27'!$AF$25:$AF$30,1)/COUNTIFS('27'!$AG$25:$AG$30,$AK5,'27'!$AF$25:$AF$30,1))</f>
        <v/>
      </c>
      <c r="BW5" s="102" t="str">
        <f>IF(COUNTIFS('28'!$AG$25:$AG$30,$AK5,'28'!$AF$25:$AF$30,1)=0,"",SUMIFS('28'!$AC$25:$AC$30,'28'!$AG$25:$AG$30,$AK5,'28'!$AF$25:$AF$30,1)/COUNTIFS('28'!$AG$25:$AG$30,$AK5,'28'!$AF$25:$AF$30,1))</f>
        <v/>
      </c>
      <c r="BX5" s="102" t="str">
        <f>IF(COUNTIFS('29'!$AG$25:$AG$30,$AK5,'29'!$AF$25:$AF$30,1)=0,"",SUMIFS('29'!$AC$25:$AC$30,'29'!$AG$25:$AG$30,$AK5,'29'!$AF$25:$AF$30,1)/COUNTIFS('29'!$AG$25:$AG$30,$AK5,'29'!$AF$25:$AF$30,1))</f>
        <v/>
      </c>
      <c r="BY5" s="102" t="str">
        <f>IF(COUNTIFS('30'!$AG$25:$AG$30,$AK5,'30'!$AF$25:$AF$30,1)=0,"",SUMIFS('30'!$AC$25:$AC$30,'30'!$AG$25:$AG$30,$AK5,'30'!$AF$25:$AF$30,1)/COUNTIFS('30'!$AG$25:$AG$30,$AK5,'30'!$AF$25:$AF$30,1))</f>
        <v/>
      </c>
      <c r="BZ5" s="102" t="str">
        <f>IF(COUNTIFS('31'!$AG$28:$AG$33,$AK5,'31'!$AF$28:$AF$33,1)=0,"",SUMIFS('31'!$AC$28:$AC$33,'31'!$AG$28:$AG$33,$AK5,'31'!$AF$28:$AF$33,1)/COUNTIFS('31'!$AG$28:$AG$33,$AK5,'31'!$AF$28:$AF$33,1))</f>
        <v/>
      </c>
      <c r="CA5" s="102" t="s">
        <v>445</v>
      </c>
      <c r="CB5" s="102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101</v>
      </c>
      <c r="D6" s="209">
        <f t="shared" ref="D6:D18" si="9">IF(C6="","",C6/$C$19)</f>
        <v>0.40562249</v>
      </c>
      <c r="E6" s="209">
        <f t="shared" ref="E6:E18" si="10">IF(D6="","",SUM($D$6:D6))</f>
        <v>0.40562249</v>
      </c>
      <c r="X6" s="102" t="s">
        <v>23</v>
      </c>
      <c r="Y6" s="102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101</v>
      </c>
      <c r="Z6" s="102">
        <f t="shared" si="1"/>
        <v>101.00012</v>
      </c>
      <c r="AA6" s="102" t="s">
        <v>446</v>
      </c>
      <c r="AB6" s="102" t="s">
        <v>443</v>
      </c>
      <c r="AC6" s="102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2">
        <f t="shared" si="2"/>
        <v>0.0001</v>
      </c>
      <c r="AE6" s="102" t="s">
        <v>446</v>
      </c>
      <c r="AF6" s="102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2">
        <f t="shared" si="3"/>
        <v>0.00004</v>
      </c>
      <c r="AH6" s="102" t="s">
        <v>84</v>
      </c>
      <c r="AI6" s="102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2">
        <f t="shared" si="4"/>
        <v>12.00005</v>
      </c>
      <c r="AK6" s="102" t="s">
        <v>446</v>
      </c>
      <c r="AL6" s="102" t="s">
        <v>443</v>
      </c>
      <c r="AM6" s="102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2" t="str">
        <f t="shared" si="5"/>
        <v/>
      </c>
      <c r="AO6" s="102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2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2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2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2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2">
        <v>5.0</v>
      </c>
      <c r="AV6" s="102" t="str">
        <f>IF(COUNTIFS('1'!$AG$29:$AG$34,$AK6,'1'!$AF$29:$AF$34,1)=0,"",SUMIFS('1'!$AC$29:$AC$34,'1'!$AG$29:$AG$34,$AK6,'1'!$AF$29:$AF$34,1)/COUNTIFS('1'!$AG$29:$AG$34,$AK6,'1'!$AF$29:$AF$34,1))</f>
        <v/>
      </c>
      <c r="AW6" s="102" t="str">
        <f>IF(COUNTIFS('2'!$AG$27:$AG$32,$AK6,'2'!$AF$27:$AF$32,1)=0,"",SUMIFS('2'!$AC$27:$AC$32,'2'!$AG$27:$AG$32,$AK6,'2'!$AF$27:$AF$32,1)/COUNTIFS('2'!$AG$27:$AG$32,$AK6,'2'!$AF$27:$AF$32,1))</f>
        <v/>
      </c>
      <c r="AX6" s="102" t="str">
        <f>IF(COUNTIFS('3'!$AG$74:$AG$79,$AK6,'3'!$AF$74:$AF$79,1)=0,"",SUMIFS('3'!$AC$74:$AC$79,'3'!$AG$74:$AG$79,$AK6,'3'!$AF$74:$AF$79,1)/COUNTIFS('3'!$AG$74:$AG$79,$AK6,'3'!$AF$74:$AF$79,1))</f>
        <v/>
      </c>
      <c r="AY6" s="102" t="str">
        <f>IF(COUNTIFS('4'!$AG$86:$AG$91,$AK6,'4'!$AF$86:$AF$91,1)=0,"",SUMIFS('4'!$AC$86:$AC$91,'4'!$AG$86:$AG$91,$AK6,'4'!$AF$86:$AF$91,1)/COUNTIFS('4'!$AG$86:$AG$91,$AK6,'4'!$AF$86:$AF$91,1))</f>
        <v/>
      </c>
      <c r="AZ6" s="102" t="str">
        <f>IF(COUNTIFS('5'!$AG$27:$AG$32,$AK6,'5'!$AF$27:$AF$32,1)=0,"",SUMIFS('5'!$AC$27:$AC$32,'5'!$AG$27:$AG$32,$AK6,'5'!$AF$27:$AF$32,1)/COUNTIFS('5'!$AG$27:$AG$32,$AK6,'5'!$AF$27:$AF$32,1))</f>
        <v/>
      </c>
      <c r="BA6" s="102" t="str">
        <f>IF(COUNTIFS('6'!$AG$31:$AG$36,$AK6,'6'!$AF$31:$AF$36,1)=0,"",SUMIFS('6'!$AC$31:$AC$36,'6'!$AG$31:$AG$36,$AK6,'6'!$AF$31:$AF$36,1)/COUNTIFS('6'!$AG$31:$AG$36,$AK6,'6'!$AF$31:$AF$36,1))</f>
        <v/>
      </c>
      <c r="BB6" s="102" t="str">
        <f>IF(COUNTIFS('7'!$AG$30:$AG$35,$AK6,'7'!$AF$30:$AF$35,1)=0,"",SUMIFS('7'!$AC$30:$AC$35,'7'!$AG$30:$AG$35,$AK6,'7'!$AF$30:$AF$35,1)/COUNTIFS('7'!$AG$30:$AG$35,$AK6,'7'!$AF$30:$AF$35,1))</f>
        <v/>
      </c>
      <c r="BC6" s="102" t="str">
        <f>IF(COUNTIFS('8'!$AG$31:$AG$36,$AK6,'8'!$AF$31:$AF$36,1)=0,"",SUMIFS('8'!$AC$31:$AC$36,'8'!$AG$31:$AG$36,$AK6,'8'!$AF$31:$AF$36,1)/COUNTIFS('8'!$AG$31:$AG$36,$AK6,'8'!$AF$31:$AF$36,1))</f>
        <v/>
      </c>
      <c r="BD6" s="102" t="str">
        <f>IF(COUNTIFS('9'!$AG$33:$AG$38,$AK6,'9'!$AF$33:$AF$38,1)=0,"",SUMIFS('9'!$AC$33:$AC$38,'9'!$AG$33:$AG$38,$AK6,'9'!$AF$33:$AF$38,1)/COUNTIFS('9'!$AG$33:$AG$38,$AK6,'9'!$AF$33:$AF$38,1))</f>
        <v/>
      </c>
      <c r="BE6" s="102" t="str">
        <f>IF(COUNTIFS('10'!$AG$33:$AG$38,$AK6,'10'!$AF$33:$AF$38,1)=0,"",SUMIFS('10'!$AC$33:$AC$38,'10'!$AG$33:$AG$38,$AK6,'10'!$AF$33:$AF$38,1)/COUNTIFS('10'!$AG$33:$AG$38,$AK6,'10'!$AF$33:$AF$38,1))</f>
        <v/>
      </c>
      <c r="BF6" s="102" t="str">
        <f>IF(COUNTIFS('11'!$AG$29:$AG$34,$AK6,'11'!$AF$29:$AF$34,1)=0,"",SUMIFS('11'!$AC$29:$AC$34,'11'!$AG$29:$AG$34,$AK6,'11'!$AF$29:$AF$34,1)/COUNTIFS('11'!$AG$29:$AG$34,$AK6,'11'!$AF$29:$AF$34,1))</f>
        <v/>
      </c>
      <c r="BG6" s="102" t="str">
        <f>IF(COUNTIFS('12'!$AG$26:$AG$31,$AK6,'12'!$AF$26:$AF$31,1)=0,"",SUMIFS('12'!$AC$26:$AC$31,'12'!$AG$26:$AG$31,$AK6,'12'!$AF$26:$AF$31,1)/COUNTIFS('12'!$AG$26:$AG$31,$AK6,'12'!$AF$26:$AF$31,1))</f>
        <v/>
      </c>
      <c r="BH6" s="102" t="str">
        <f>IF(COUNTIFS('13'!$AG$25:$AG$30,$AK6,'13'!$AF$25:$AF$30,1)=0,"",SUMIFS('13'!$AC$25:$AC$30,'13'!$AG$25:$AG$30,$AK6,'13'!$AF$25:$AF$30,1)/COUNTIFS('13'!$AG$25:$AG$30,$AK6,'13'!$AF$25:$AF$30,1))</f>
        <v/>
      </c>
      <c r="BI6" s="102" t="str">
        <f>IF(COUNTIFS('14'!$AG$25:$AG$30,$AK6,'14'!$AF$25:$AF$30,1)=0,"",SUMIFS('14'!$AC$25:$AC$30,'14'!$AG$25:$AG$30,$AK6,'14'!$AF$25:$AF$30,1)/COUNTIFS('14'!$AG$25:$AG$30,$AK6,'14'!$AF$25:$AF$30,1))</f>
        <v/>
      </c>
      <c r="BJ6" s="102" t="str">
        <f>IF(COUNTIFS('15'!$AG$29:$AG$34,$AK6,'15'!$AF$29:$AF$34,1)=0,"",SUMIFS('15'!$AC$29:$AC$34,'15'!$AG$29:$AG$34,$AK6,'15'!$AF$29:$AF$34,1)/COUNTIFS('15'!$AG$29:$AG$34,$AK6,'15'!$AF$29:$AF$34,1))</f>
        <v/>
      </c>
      <c r="BK6" s="102" t="str">
        <f>IF(COUNTIFS('16'!$AG$28:$AG$33,$AK6,'16'!$AF$28:$AF$33,1)=0,"",SUMIFS('16'!$AC$28:$AC$33,'16'!$AG$28:$AG$33,$AK6,'16'!$AF$28:$AF$33,1)/COUNTIFS('16'!$AG$28:$AG$33,$AK6,'16'!$AF$28:$AF$33,1))</f>
        <v/>
      </c>
      <c r="BL6" s="102" t="str">
        <f>IF(COUNTIFS('17'!$AG$44:$AG$49,$AK6,'17'!$AF$44:$AF$49,1)=0,"",SUMIFS('17'!$AC$44:$AC$49,'17'!$AG$44:$AG$49,$AK6,'17'!$AF$44:$AF$49,1)/COUNTIFS('17'!$AG$44:$AG$49,$AK6,'17'!$AF$44:$AF$49,1))</f>
        <v/>
      </c>
      <c r="BM6" s="102" t="str">
        <f>IF(COUNTIFS('18'!$AG$28:$AG$33,$AK6,'18'!$AF$28:$AF$33,1)=0,"",SUMIFS('18'!$AC$28:$AC$33,'18'!$AG$28:$AG$33,$AK6,'18'!$AF$28:$AF$33,1)/COUNTIFS('18'!$AG$28:$AG$33,$AK6,'18'!$AF$28:$AF$33,1))</f>
        <v/>
      </c>
      <c r="BN6" s="102" t="str">
        <f>IF(COUNTIFS('19'!$AG$25:$AG$30,$AK6,'19'!$AF$25:$AF$30,1)=0,"",SUMIFS('19'!$AC$25:$AC$30,'19'!$AG$25:$AG$30,$AK6,'19'!$AF$25:$AF$30,1)/COUNTIFS('19'!$AG$25:$AG$30,$AK6,'19'!$AF$25:$AF$30,1))</f>
        <v/>
      </c>
      <c r="BO6" s="102" t="str">
        <f>IF(COUNTIFS('20'!$AG$25:$AG$30,$AK6,'20'!$AF$25:$AF$30,1)=0,"",SUMIFS('20'!$AC$25:$AC$30,'20'!$AG$25:$AG$30,$AK6,'20'!$AF$25:$AF$30,1)/COUNTIFS('20'!$AG$25:$AG$30,$AK6,'20'!$AF$25:$AF$30,1))</f>
        <v/>
      </c>
      <c r="BP6" s="102" t="str">
        <f>IF(COUNTIFS('21'!$AG$25:$AG$30,$AK6,'21'!$AF$25:$AF$30,1)=0,"",SUMIFS('21'!$AC$25:$AC$30,'21'!$AG$25:$AG$30,$AK6,'21'!$AF$25:$AF$30,1)/COUNTIFS('21'!$AG$25:$AG$30,$AK6,'21'!$AF$25:$AF$30,1))</f>
        <v/>
      </c>
      <c r="BQ6" s="102" t="str">
        <f>IF(COUNTIFS('22'!$AG$25:$AG$30,$AK6,'22'!$AF$25:$AF$30,1)=0,"",SUMIFS('22'!$AC$25:$AC$30,'22'!$AG$25:$AG$30,$AK6,'22'!$AF$25:$AF$30,1)/COUNTIFS('22'!$AG$25:$AG$30,$AK6,'22'!$AF$25:$AF$30,1))</f>
        <v/>
      </c>
      <c r="BR6" s="102" t="str">
        <f>IF(COUNTIFS('23'!$AG$25:$AG$30,$AK6,'23'!$AF$25:$AF$30,1)=0,"",SUMIFS('23'!$AC$25:$AC$30,'23'!$AG$25:$AG$30,$AK6,'23'!$AF$25:$AF$30,1)/COUNTIFS('23'!$AG$25:$AG$30,$AK6,'23'!$AF$25:$AF$30,1))</f>
        <v/>
      </c>
      <c r="BS6" s="102" t="str">
        <f>IF(COUNTIFS('24'!$AG$25:$AG$30,$AK6,'24'!$AF$25:$AF$30,1)=0,"",SUMIFS('24'!$AC$25:$AC$30,'24'!$AG$25:$AG$30,$AK6,'24'!$AF$25:$AF$30,1)/COUNTIFS('24'!$AG$25:$AG$30,$AK6,'24'!$AF$25:$AF$30,1))</f>
        <v/>
      </c>
      <c r="BT6" s="102" t="str">
        <f>IF(COUNTIFS('25'!$AG$25:$AG$30,$AK6,'25'!$AF$25:$AF$30,1)=0,"",SUMIFS('25'!$AC$25:$AC$30,'25'!$AG$25:$AG$30,$AK6,'25'!$AF$25:$AF$30,1)/COUNTIFS('25'!$AG$25:$AG$30,$AK6,'25'!$AF$25:$AF$30,1))</f>
        <v/>
      </c>
      <c r="BU6" s="102" t="str">
        <f>IF(COUNTIFS('26'!$AG$25:$AG$30,$AK6,'26'!$AF$25:$AF$30,1)=0,"",SUMIFS('26'!$AC$25:$AC$30,'26'!$AG$25:$AG$30,$AK6,'26'!$AF$25:$AF$30,1)/COUNTIFS('26'!$AG$25:$AG$30,$AK6,'26'!$AF$25:$AF$30,1))</f>
        <v/>
      </c>
      <c r="BV6" s="102" t="str">
        <f>IF(COUNTIFS('27'!$AG$25:$AG$30,$AK6,'27'!$AF$25:$AF$30,1)=0,"",SUMIFS('27'!$AC$25:$AC$30,'27'!$AG$25:$AG$30,$AK6,'27'!$AF$25:$AF$30,1)/COUNTIFS('27'!$AG$25:$AG$30,$AK6,'27'!$AF$25:$AF$30,1))</f>
        <v/>
      </c>
      <c r="BW6" s="102" t="str">
        <f>IF(COUNTIFS('28'!$AG$25:$AG$30,$AK6,'28'!$AF$25:$AF$30,1)=0,"",SUMIFS('28'!$AC$25:$AC$30,'28'!$AG$25:$AG$30,$AK6,'28'!$AF$25:$AF$30,1)/COUNTIFS('28'!$AG$25:$AG$30,$AK6,'28'!$AF$25:$AF$30,1))</f>
        <v/>
      </c>
      <c r="BX6" s="102" t="str">
        <f>IF(COUNTIFS('29'!$AG$25:$AG$30,$AK6,'29'!$AF$25:$AF$30,1)=0,"",SUMIFS('29'!$AC$25:$AC$30,'29'!$AG$25:$AG$30,$AK6,'29'!$AF$25:$AF$30,1)/COUNTIFS('29'!$AG$25:$AG$30,$AK6,'29'!$AF$25:$AF$30,1))</f>
        <v/>
      </c>
      <c r="BY6" s="102" t="str">
        <f>IF(COUNTIFS('30'!$AG$25:$AG$30,$AK6,'30'!$AF$25:$AF$30,1)=0,"",SUMIFS('30'!$AC$25:$AC$30,'30'!$AG$25:$AG$30,$AK6,'30'!$AF$25:$AF$30,1)/COUNTIFS('30'!$AG$25:$AG$30,$AK6,'30'!$AF$25:$AF$30,1))</f>
        <v/>
      </c>
      <c r="BZ6" s="102" t="str">
        <f>IF(COUNTIFS('31'!$AG$28:$AG$33,$AK6,'31'!$AF$28:$AF$33,1)=0,"",SUMIFS('31'!$AC$28:$AC$33,'31'!$AG$28:$AG$33,$AK6,'31'!$AF$28:$AF$33,1)/COUNTIFS('31'!$AG$28:$AG$33,$AK6,'31'!$AF$28:$AF$33,1))</f>
        <v/>
      </c>
      <c r="CA6" s="102" t="s">
        <v>447</v>
      </c>
      <c r="CB6" s="102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73</v>
      </c>
      <c r="D7" s="209">
        <f t="shared" si="9"/>
        <v>0.2931726908</v>
      </c>
      <c r="E7" s="209">
        <f t="shared" si="10"/>
        <v>0.6987951807</v>
      </c>
      <c r="X7" s="102" t="s">
        <v>58</v>
      </c>
      <c r="Y7" s="102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102">
        <f t="shared" si="1"/>
        <v>14.00011</v>
      </c>
      <c r="AA7" s="102" t="s">
        <v>28</v>
      </c>
      <c r="AB7" s="102" t="s">
        <v>443</v>
      </c>
      <c r="AC7" s="102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18</v>
      </c>
      <c r="AD7" s="102">
        <f t="shared" si="2"/>
        <v>18.00009</v>
      </c>
      <c r="AE7" s="102" t="s">
        <v>28</v>
      </c>
      <c r="AF7" s="102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138</v>
      </c>
      <c r="AG7" s="102">
        <f t="shared" si="3"/>
        <v>138.00003</v>
      </c>
      <c r="AH7" s="102" t="s">
        <v>43</v>
      </c>
      <c r="AI7" s="102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77</v>
      </c>
      <c r="AJ7" s="102">
        <f t="shared" si="4"/>
        <v>77.00004</v>
      </c>
      <c r="AK7" s="102" t="s">
        <v>28</v>
      </c>
      <c r="AL7" s="102" t="s">
        <v>443</v>
      </c>
      <c r="AM7" s="102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102">
        <f t="shared" si="5"/>
        <v>94.33333333</v>
      </c>
      <c r="AO7" s="102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102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102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102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102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102">
        <f>IF(COUNTIFS('1'!$AG$29:$AG$34,$AK7,'1'!$AF$29:$AF$34,1)=0,"",SUMIFS('1'!$AC$29:$AC$34,'1'!$AG$29:$AG$34,$AK7,'1'!$AF$29:$AF$34,1)/COUNTIFS('1'!$AG$29:$AG$34,$AK7,'1'!$AF$29:$AF$34,1))</f>
        <v>80</v>
      </c>
      <c r="AW7" s="102">
        <f>IF(COUNTIFS('2'!$AG$27:$AG$32,$AK7,'2'!$AF$27:$AF$32,1)=0,"",SUMIFS('2'!$AC$27:$AC$32,'2'!$AG$27:$AG$32,$AK7,'2'!$AF$27:$AF$32,1)/COUNTIFS('2'!$AG$27:$AG$32,$AK7,'2'!$AF$27:$AF$32,1))</f>
        <v>100</v>
      </c>
      <c r="AX7" s="102">
        <f>IF(COUNTIFS('3'!$AG$74:$AG$79,$AK7,'3'!$AF$74:$AF$79,1)=0,"",SUMIFS('3'!$AC$74:$AC$79,'3'!$AG$74:$AG$79,$AK7,'3'!$AF$74:$AF$79,1)/COUNTIFS('3'!$AG$74:$AG$79,$AK7,'3'!$AF$74:$AF$79,1))</f>
        <v>100</v>
      </c>
      <c r="AY7" s="102">
        <f>IF(COUNTIFS('4'!$AG$86:$AG$91,$AK7,'4'!$AF$86:$AF$91,1)=0,"",SUMIFS('4'!$AC$86:$AC$91,'4'!$AG$86:$AG$91,$AK7,'4'!$AF$86:$AF$91,1)/COUNTIFS('4'!$AG$86:$AG$91,$AK7,'4'!$AF$86:$AF$91,1))</f>
        <v>100</v>
      </c>
      <c r="AZ7" s="102">
        <f>IF(COUNTIFS('5'!$AG$27:$AG$32,$AK7,'5'!$AF$27:$AF$32,1)=0,"",SUMIFS('5'!$AC$27:$AC$32,'5'!$AG$27:$AG$32,$AK7,'5'!$AF$27:$AF$32,1)/COUNTIFS('5'!$AG$27:$AG$32,$AK7,'5'!$AF$27:$AF$32,1))</f>
        <v>100</v>
      </c>
      <c r="BA7" s="102">
        <f>IF(COUNTIFS('6'!$AG$31:$AG$36,$AK7,'6'!$AF$31:$AF$36,1)=0,"",SUMIFS('6'!$AC$31:$AC$36,'6'!$AG$31:$AG$36,$AK7,'6'!$AF$31:$AF$36,1)/COUNTIFS('6'!$AG$31:$AG$36,$AK7,'6'!$AF$31:$AF$36,1))</f>
        <v>83</v>
      </c>
      <c r="BB7" s="102">
        <f>IF(COUNTIFS('7'!$AG$30:$AG$35,$AK7,'7'!$AF$30:$AF$35,1)=0,"",SUMIFS('7'!$AC$30:$AC$35,'7'!$AG$30:$AG$35,$AK7,'7'!$AF$30:$AF$35,1)/COUNTIFS('7'!$AG$30:$AG$35,$AK7,'7'!$AF$30:$AF$35,1))</f>
        <v>100</v>
      </c>
      <c r="BC7" s="102">
        <f>IF(COUNTIFS('8'!$AG$31:$AG$36,$AK7,'8'!$AF$31:$AF$36,1)=0,"",SUMIFS('8'!$AC$31:$AC$36,'8'!$AG$31:$AG$36,$AK7,'8'!$AF$31:$AF$36,1)/COUNTIFS('8'!$AG$31:$AG$36,$AK7,'8'!$AF$31:$AF$36,1))</f>
        <v>92</v>
      </c>
      <c r="BD7" s="102">
        <f>IF(COUNTIFS('9'!$AG$33:$AG$38,$AK7,'9'!$AF$33:$AF$38,1)=0,"",SUMIFS('9'!$AC$33:$AC$38,'9'!$AG$33:$AG$38,$AK7,'9'!$AF$33:$AF$38,1)/COUNTIFS('9'!$AG$33:$AG$38,$AK7,'9'!$AF$33:$AF$38,1))</f>
        <v>88</v>
      </c>
      <c r="BE7" s="102" t="str">
        <f>IF(COUNTIFS('10'!$AG$33:$AG$38,$AK7,'10'!$AF$33:$AF$38,1)=0,"",SUMIFS('10'!$AC$33:$AC$38,'10'!$AG$33:$AG$38,$AK7,'10'!$AF$33:$AF$38,1)/COUNTIFS('10'!$AG$33:$AG$38,$AK7,'10'!$AF$33:$AF$38,1))</f>
        <v/>
      </c>
      <c r="BF7" s="102" t="str">
        <f>IF(COUNTIFS('11'!$AG$29:$AG$34,$AK7,'11'!$AF$29:$AF$34,1)=0,"",SUMIFS('11'!$AC$29:$AC$34,'11'!$AG$29:$AG$34,$AK7,'11'!$AF$29:$AF$34,1)/COUNTIFS('11'!$AG$29:$AG$34,$AK7,'11'!$AF$29:$AF$34,1))</f>
        <v/>
      </c>
      <c r="BG7" s="102">
        <f>IF(COUNTIFS('12'!$AG$26:$AG$31,$AK7,'12'!$AF$26:$AF$31,1)=0,"",SUMIFS('12'!$AC$26:$AC$31,'12'!$AG$26:$AG$31,$AK7,'12'!$AF$26:$AF$31,1)/COUNTIFS('12'!$AG$26:$AG$31,$AK7,'12'!$AF$26:$AF$31,1))</f>
        <v>100</v>
      </c>
      <c r="BH7" s="102">
        <f>IF(COUNTIFS('13'!$AG$25:$AG$30,$AK7,'13'!$AF$25:$AF$30,1)=0,"",SUMIFS('13'!$AC$25:$AC$30,'13'!$AG$25:$AG$30,$AK7,'13'!$AF$25:$AF$30,1)/COUNTIFS('13'!$AG$25:$AG$30,$AK7,'13'!$AF$25:$AF$30,1))</f>
        <v>100</v>
      </c>
      <c r="BI7" s="102" t="str">
        <f>IF(COUNTIFS('14'!$AG$25:$AG$30,$AK7,'14'!$AF$25:$AF$30,1)=0,"",SUMIFS('14'!$AC$25:$AC$30,'14'!$AG$25:$AG$30,$AK7,'14'!$AF$25:$AF$30,1)/COUNTIFS('14'!$AG$25:$AG$30,$AK7,'14'!$AF$25:$AF$30,1))</f>
        <v/>
      </c>
      <c r="BJ7" s="102">
        <f>IF(COUNTIFS('15'!$AG$29:$AG$34,$AK7,'15'!$AF$29:$AF$34,1)=0,"",SUMIFS('15'!$AC$29:$AC$34,'15'!$AG$29:$AG$34,$AK7,'15'!$AF$29:$AF$34,1)/COUNTIFS('15'!$AG$29:$AG$34,$AK7,'15'!$AF$29:$AF$34,1))</f>
        <v>100</v>
      </c>
      <c r="BK7" s="102" t="str">
        <f>IF(COUNTIFS('16'!$AG$28:$AG$33,$AK7,'16'!$AF$28:$AF$33,1)=0,"",SUMIFS('16'!$AC$28:$AC$33,'16'!$AG$28:$AG$33,$AK7,'16'!$AF$28:$AF$33,1)/COUNTIFS('16'!$AG$28:$AG$33,$AK7,'16'!$AF$28:$AF$33,1))</f>
        <v/>
      </c>
      <c r="BL7" s="102">
        <f>IF(COUNTIFS('17'!$AG$44:$AG$49,$AK7,'17'!$AF$44:$AF$49,1)=0,"",SUMIFS('17'!$AC$44:$AC$49,'17'!$AG$44:$AG$49,$AK7,'17'!$AF$44:$AF$49,1)/COUNTIFS('17'!$AG$44:$AG$49,$AK7,'17'!$AF$44:$AF$49,1))</f>
        <v>100</v>
      </c>
      <c r="BM7" s="102" t="str">
        <f>IF(COUNTIFS('18'!$AG$28:$AG$33,$AK7,'18'!$AF$28:$AF$33,1)=0,"",SUMIFS('18'!$AC$28:$AC$33,'18'!$AG$28:$AG$33,$AK7,'18'!$AF$28:$AF$33,1)/COUNTIFS('18'!$AG$28:$AG$33,$AK7,'18'!$AF$28:$AF$33,1))</f>
        <v/>
      </c>
      <c r="BN7" s="102" t="str">
        <f>IF(COUNTIFS('19'!$AG$25:$AG$30,$AK7,'19'!$AF$25:$AF$30,1)=0,"",SUMIFS('19'!$AC$25:$AC$30,'19'!$AG$25:$AG$30,$AK7,'19'!$AF$25:$AF$30,1)/COUNTIFS('19'!$AG$25:$AG$30,$AK7,'19'!$AF$25:$AF$30,1))</f>
        <v/>
      </c>
      <c r="BO7" s="102" t="str">
        <f>IF(COUNTIFS('20'!$AG$25:$AG$30,$AK7,'20'!$AF$25:$AF$30,1)=0,"",SUMIFS('20'!$AC$25:$AC$30,'20'!$AG$25:$AG$30,$AK7,'20'!$AF$25:$AF$30,1)/COUNTIFS('20'!$AG$25:$AG$30,$AK7,'20'!$AF$25:$AF$30,1))</f>
        <v/>
      </c>
      <c r="BP7" s="102" t="str">
        <f>IF(COUNTIFS('21'!$AG$25:$AG$30,$AK7,'21'!$AF$25:$AF$30,1)=0,"",SUMIFS('21'!$AC$25:$AC$30,'21'!$AG$25:$AG$30,$AK7,'21'!$AF$25:$AF$30,1)/COUNTIFS('21'!$AG$25:$AG$30,$AK7,'21'!$AF$25:$AF$30,1))</f>
        <v/>
      </c>
      <c r="BQ7" s="102" t="str">
        <f>IF(COUNTIFS('22'!$AG$25:$AG$30,$AK7,'22'!$AF$25:$AF$30,1)=0,"",SUMIFS('22'!$AC$25:$AC$30,'22'!$AG$25:$AG$30,$AK7,'22'!$AF$25:$AF$30,1)/COUNTIFS('22'!$AG$25:$AG$30,$AK7,'22'!$AF$25:$AF$30,1))</f>
        <v/>
      </c>
      <c r="BR7" s="102" t="str">
        <f>IF(COUNTIFS('23'!$AG$25:$AG$30,$AK7,'23'!$AF$25:$AF$30,1)=0,"",SUMIFS('23'!$AC$25:$AC$30,'23'!$AG$25:$AG$30,$AK7,'23'!$AF$25:$AF$30,1)/COUNTIFS('23'!$AG$25:$AG$30,$AK7,'23'!$AF$25:$AF$30,1))</f>
        <v/>
      </c>
      <c r="BS7" s="102" t="str">
        <f>IF(COUNTIFS('24'!$AG$25:$AG$30,$AK7,'24'!$AF$25:$AF$30,1)=0,"",SUMIFS('24'!$AC$25:$AC$30,'24'!$AG$25:$AG$30,$AK7,'24'!$AF$25:$AF$30,1)/COUNTIFS('24'!$AG$25:$AG$30,$AK7,'24'!$AF$25:$AF$30,1))</f>
        <v/>
      </c>
      <c r="BT7" s="102" t="str">
        <f>IF(COUNTIFS('25'!$AG$25:$AG$30,$AK7,'25'!$AF$25:$AF$30,1)=0,"",SUMIFS('25'!$AC$25:$AC$30,'25'!$AG$25:$AG$30,$AK7,'25'!$AF$25:$AF$30,1)/COUNTIFS('25'!$AG$25:$AG$30,$AK7,'25'!$AF$25:$AF$30,1))</f>
        <v/>
      </c>
      <c r="BU7" s="102" t="str">
        <f>IF(COUNTIFS('26'!$AG$25:$AG$30,$AK7,'26'!$AF$25:$AF$30,1)=0,"",SUMIFS('26'!$AC$25:$AC$30,'26'!$AG$25:$AG$30,$AK7,'26'!$AF$25:$AF$30,1)/COUNTIFS('26'!$AG$25:$AG$30,$AK7,'26'!$AF$25:$AF$30,1))</f>
        <v/>
      </c>
      <c r="BV7" s="102" t="str">
        <f>IF(COUNTIFS('27'!$AG$25:$AG$30,$AK7,'27'!$AF$25:$AF$30,1)=0,"",SUMIFS('27'!$AC$25:$AC$30,'27'!$AG$25:$AG$30,$AK7,'27'!$AF$25:$AF$30,1)/COUNTIFS('27'!$AG$25:$AG$30,$AK7,'27'!$AF$25:$AF$30,1))</f>
        <v/>
      </c>
      <c r="BW7" s="102" t="str">
        <f>IF(COUNTIFS('28'!$AG$25:$AG$30,$AK7,'28'!$AF$25:$AF$30,1)=0,"",SUMIFS('28'!$AC$25:$AC$30,'28'!$AG$25:$AG$30,$AK7,'28'!$AF$25:$AF$30,1)/COUNTIFS('28'!$AG$25:$AG$30,$AK7,'28'!$AF$25:$AF$30,1))</f>
        <v/>
      </c>
      <c r="BX7" s="102" t="str">
        <f>IF(COUNTIFS('29'!$AG$25:$AG$30,$AK7,'29'!$AF$25:$AF$30,1)=0,"",SUMIFS('29'!$AC$25:$AC$30,'29'!$AG$25:$AG$30,$AK7,'29'!$AF$25:$AF$30,1)/COUNTIFS('29'!$AG$25:$AG$30,$AK7,'29'!$AF$25:$AF$30,1))</f>
        <v/>
      </c>
      <c r="BY7" s="102" t="str">
        <f>IF(COUNTIFS('30'!$AG$25:$AG$30,$AK7,'30'!$AF$25:$AF$30,1)=0,"",SUMIFS('30'!$AC$25:$AC$30,'30'!$AG$25:$AG$30,$AK7,'30'!$AF$25:$AF$30,1)/COUNTIFS('30'!$AG$25:$AG$30,$AK7,'30'!$AF$25:$AF$30,1))</f>
        <v/>
      </c>
      <c r="BZ7" s="102" t="str">
        <f>IF(COUNTIFS('31'!$AG$28:$AG$33,$AK7,'31'!$AF$28:$AF$33,1)=0,"",SUMIFS('31'!$AC$28:$AC$33,'31'!$AG$28:$AG$33,$AK7,'31'!$AF$28:$AF$33,1)/COUNTIFS('31'!$AG$28:$AG$33,$AK7,'31'!$AF$28:$AF$33,1))</f>
        <v/>
      </c>
      <c r="CA7" s="102" t="s">
        <v>448</v>
      </c>
      <c r="CB7" s="102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16</v>
      </c>
      <c r="D8" s="209">
        <f t="shared" si="9"/>
        <v>0.06425702811</v>
      </c>
      <c r="E8" s="209">
        <f t="shared" si="10"/>
        <v>0.7630522088</v>
      </c>
      <c r="X8" s="102" t="s">
        <v>82</v>
      </c>
      <c r="Y8" s="102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102">
        <f t="shared" si="1"/>
        <v>13.0001</v>
      </c>
      <c r="AA8" s="102" t="s">
        <v>449</v>
      </c>
      <c r="AB8" s="102" t="s">
        <v>443</v>
      </c>
      <c r="AC8" s="102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2">
        <f t="shared" si="2"/>
        <v>0.00008</v>
      </c>
      <c r="AE8" s="102" t="s">
        <v>449</v>
      </c>
      <c r="AF8" s="102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2">
        <f t="shared" si="3"/>
        <v>0.00002</v>
      </c>
      <c r="AH8" s="102" t="s">
        <v>95</v>
      </c>
      <c r="AI8" s="102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2">
        <f t="shared" si="4"/>
        <v>11.00003</v>
      </c>
      <c r="AK8" s="102" t="s">
        <v>449</v>
      </c>
      <c r="AL8" s="102" t="s">
        <v>443</v>
      </c>
      <c r="AM8" s="102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2" t="str">
        <f t="shared" si="5"/>
        <v/>
      </c>
      <c r="AO8" s="102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2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2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2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2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2" t="str">
        <f>IF(COUNTIFS('1'!$AG$29:$AG$34,$AK8,'1'!$AF$29:$AF$34,1)=0,"",SUMIFS('1'!$AC$29:$AC$34,'1'!$AG$29:$AG$34,$AK8,'1'!$AF$29:$AF$34,1)/COUNTIFS('1'!$AG$29:$AG$34,$AK8,'1'!$AF$29:$AF$34,1))</f>
        <v/>
      </c>
      <c r="AW8" s="102" t="str">
        <f>IF(COUNTIFS('2'!$AG$27:$AG$32,$AK8,'2'!$AF$27:$AF$32,1)=0,"",SUMIFS('2'!$AC$27:$AC$32,'2'!$AG$27:$AG$32,$AK8,'2'!$AF$27:$AF$32,1)/COUNTIFS('2'!$AG$27:$AG$32,$AK8,'2'!$AF$27:$AF$32,1))</f>
        <v/>
      </c>
      <c r="AX8" s="102" t="str">
        <f>IF(COUNTIFS('3'!$AG$74:$AG$79,$AK8,'3'!$AF$74:$AF$79,1)=0,"",SUMIFS('3'!$AC$74:$AC$79,'3'!$AG$74:$AG$79,$AK8,'3'!$AF$74:$AF$79,1)/COUNTIFS('3'!$AG$74:$AG$79,$AK8,'3'!$AF$74:$AF$79,1))</f>
        <v/>
      </c>
      <c r="AY8" s="102" t="str">
        <f>IF(COUNTIFS('4'!$AG$86:$AG$91,$AK8,'4'!$AF$86:$AF$91,1)=0,"",SUMIFS('4'!$AC$86:$AC$91,'4'!$AG$86:$AG$91,$AK8,'4'!$AF$86:$AF$91,1)/COUNTIFS('4'!$AG$86:$AG$91,$AK8,'4'!$AF$86:$AF$91,1))</f>
        <v/>
      </c>
      <c r="AZ8" s="102" t="str">
        <f>IF(COUNTIFS('5'!$AG$27:$AG$32,$AK8,'5'!$AF$27:$AF$32,1)=0,"",SUMIFS('5'!$AC$27:$AC$32,'5'!$AG$27:$AG$32,$AK8,'5'!$AF$27:$AF$32,1)/COUNTIFS('5'!$AG$27:$AG$32,$AK8,'5'!$AF$27:$AF$32,1))</f>
        <v/>
      </c>
      <c r="BA8" s="102" t="str">
        <f>IF(COUNTIFS('6'!$AG$31:$AG$36,$AK8,'6'!$AF$31:$AF$36,1)=0,"",SUMIFS('6'!$AC$31:$AC$36,'6'!$AG$31:$AG$36,$AK8,'6'!$AF$31:$AF$36,1)/COUNTIFS('6'!$AG$31:$AG$36,$AK8,'6'!$AF$31:$AF$36,1))</f>
        <v/>
      </c>
      <c r="BB8" s="102" t="str">
        <f>IF(COUNTIFS('7'!$AG$30:$AG$35,$AK8,'7'!$AF$30:$AF$35,1)=0,"",SUMIFS('7'!$AC$30:$AC$35,'7'!$AG$30:$AG$35,$AK8,'7'!$AF$30:$AF$35,1)/COUNTIFS('7'!$AG$30:$AG$35,$AK8,'7'!$AF$30:$AF$35,1))</f>
        <v/>
      </c>
      <c r="BC8" s="102" t="str">
        <f>IF(COUNTIFS('8'!$AG$31:$AG$36,$AK8,'8'!$AF$31:$AF$36,1)=0,"",SUMIFS('8'!$AC$31:$AC$36,'8'!$AG$31:$AG$36,$AK8,'8'!$AF$31:$AF$36,1)/COUNTIFS('8'!$AG$31:$AG$36,$AK8,'8'!$AF$31:$AF$36,1))</f>
        <v/>
      </c>
      <c r="BD8" s="102" t="str">
        <f>IF(COUNTIFS('9'!$AG$33:$AG$38,$AK8,'9'!$AF$33:$AF$38,1)=0,"",SUMIFS('9'!$AC$33:$AC$38,'9'!$AG$33:$AG$38,$AK8,'9'!$AF$33:$AF$38,1)/COUNTIFS('9'!$AG$33:$AG$38,$AK8,'9'!$AF$33:$AF$38,1))</f>
        <v/>
      </c>
      <c r="BE8" s="102" t="str">
        <f>IF(COUNTIFS('10'!$AG$33:$AG$38,$AK8,'10'!$AF$33:$AF$38,1)=0,"",SUMIFS('10'!$AC$33:$AC$38,'10'!$AG$33:$AG$38,$AK8,'10'!$AF$33:$AF$38,1)/COUNTIFS('10'!$AG$33:$AG$38,$AK8,'10'!$AF$33:$AF$38,1))</f>
        <v/>
      </c>
      <c r="BF8" s="102" t="str">
        <f>IF(COUNTIFS('11'!$AG$29:$AG$34,$AK8,'11'!$AF$29:$AF$34,1)=0,"",SUMIFS('11'!$AC$29:$AC$34,'11'!$AG$29:$AG$34,$AK8,'11'!$AF$29:$AF$34,1)/COUNTIFS('11'!$AG$29:$AG$34,$AK8,'11'!$AF$29:$AF$34,1))</f>
        <v/>
      </c>
      <c r="BG8" s="102" t="str">
        <f>IF(COUNTIFS('12'!$AG$26:$AG$31,$AK8,'12'!$AF$26:$AF$31,1)=0,"",SUMIFS('12'!$AC$26:$AC$31,'12'!$AG$26:$AG$31,$AK8,'12'!$AF$26:$AF$31,1)/COUNTIFS('12'!$AG$26:$AG$31,$AK8,'12'!$AF$26:$AF$31,1))</f>
        <v/>
      </c>
      <c r="BH8" s="102" t="str">
        <f>IF(COUNTIFS('13'!$AG$25:$AG$30,$AK8,'13'!$AF$25:$AF$30,1)=0,"",SUMIFS('13'!$AC$25:$AC$30,'13'!$AG$25:$AG$30,$AK8,'13'!$AF$25:$AF$30,1)/COUNTIFS('13'!$AG$25:$AG$30,$AK8,'13'!$AF$25:$AF$30,1))</f>
        <v/>
      </c>
      <c r="BI8" s="102" t="str">
        <f>IF(COUNTIFS('14'!$AG$25:$AG$30,$AK8,'14'!$AF$25:$AF$30,1)=0,"",SUMIFS('14'!$AC$25:$AC$30,'14'!$AG$25:$AG$30,$AK8,'14'!$AF$25:$AF$30,1)/COUNTIFS('14'!$AG$25:$AG$30,$AK8,'14'!$AF$25:$AF$30,1))</f>
        <v/>
      </c>
      <c r="BJ8" s="102" t="str">
        <f>IF(COUNTIFS('15'!$AG$29:$AG$34,$AK8,'15'!$AF$29:$AF$34,1)=0,"",SUMIFS('15'!$AC$29:$AC$34,'15'!$AG$29:$AG$34,$AK8,'15'!$AF$29:$AF$34,1)/COUNTIFS('15'!$AG$29:$AG$34,$AK8,'15'!$AF$29:$AF$34,1))</f>
        <v/>
      </c>
      <c r="BK8" s="102" t="str">
        <f>IF(COUNTIFS('16'!$AG$28:$AG$33,$AK8,'16'!$AF$28:$AF$33,1)=0,"",SUMIFS('16'!$AC$28:$AC$33,'16'!$AG$28:$AG$33,$AK8,'16'!$AF$28:$AF$33,1)/COUNTIFS('16'!$AG$28:$AG$33,$AK8,'16'!$AF$28:$AF$33,1))</f>
        <v/>
      </c>
      <c r="BL8" s="102" t="str">
        <f>IF(COUNTIFS('17'!$AG$44:$AG$49,$AK8,'17'!$AF$44:$AF$49,1)=0,"",SUMIFS('17'!$AC$44:$AC$49,'17'!$AG$44:$AG$49,$AK8,'17'!$AF$44:$AF$49,1)/COUNTIFS('17'!$AG$44:$AG$49,$AK8,'17'!$AF$44:$AF$49,1))</f>
        <v/>
      </c>
      <c r="BM8" s="102" t="str">
        <f>IF(COUNTIFS('18'!$AG$28:$AG$33,$AK8,'18'!$AF$28:$AF$33,1)=0,"",SUMIFS('18'!$AC$28:$AC$33,'18'!$AG$28:$AG$33,$AK8,'18'!$AF$28:$AF$33,1)/COUNTIFS('18'!$AG$28:$AG$33,$AK8,'18'!$AF$28:$AF$33,1))</f>
        <v/>
      </c>
      <c r="BN8" s="102" t="str">
        <f>IF(COUNTIFS('19'!$AG$25:$AG$30,$AK8,'19'!$AF$25:$AF$30,1)=0,"",SUMIFS('19'!$AC$25:$AC$30,'19'!$AG$25:$AG$30,$AK8,'19'!$AF$25:$AF$30,1)/COUNTIFS('19'!$AG$25:$AG$30,$AK8,'19'!$AF$25:$AF$30,1))</f>
        <v/>
      </c>
      <c r="BO8" s="102" t="str">
        <f>IF(COUNTIFS('20'!$AG$25:$AG$30,$AK8,'20'!$AF$25:$AF$30,1)=0,"",SUMIFS('20'!$AC$25:$AC$30,'20'!$AG$25:$AG$30,$AK8,'20'!$AF$25:$AF$30,1)/COUNTIFS('20'!$AG$25:$AG$30,$AK8,'20'!$AF$25:$AF$30,1))</f>
        <v/>
      </c>
      <c r="BP8" s="102" t="str">
        <f>IF(COUNTIFS('21'!$AG$25:$AG$30,$AK8,'21'!$AF$25:$AF$30,1)=0,"",SUMIFS('21'!$AC$25:$AC$30,'21'!$AG$25:$AG$30,$AK8,'21'!$AF$25:$AF$30,1)/COUNTIFS('21'!$AG$25:$AG$30,$AK8,'21'!$AF$25:$AF$30,1))</f>
        <v/>
      </c>
      <c r="BQ8" s="102" t="str">
        <f>IF(COUNTIFS('22'!$AG$25:$AG$30,$AK8,'22'!$AF$25:$AF$30,1)=0,"",SUMIFS('22'!$AC$25:$AC$30,'22'!$AG$25:$AG$30,$AK8,'22'!$AF$25:$AF$30,1)/COUNTIFS('22'!$AG$25:$AG$30,$AK8,'22'!$AF$25:$AF$30,1))</f>
        <v/>
      </c>
      <c r="BR8" s="102" t="str">
        <f>IF(COUNTIFS('23'!$AG$25:$AG$30,$AK8,'23'!$AF$25:$AF$30,1)=0,"",SUMIFS('23'!$AC$25:$AC$30,'23'!$AG$25:$AG$30,$AK8,'23'!$AF$25:$AF$30,1)/COUNTIFS('23'!$AG$25:$AG$30,$AK8,'23'!$AF$25:$AF$30,1))</f>
        <v/>
      </c>
      <c r="BS8" s="102" t="str">
        <f>IF(COUNTIFS('24'!$AG$25:$AG$30,$AK8,'24'!$AF$25:$AF$30,1)=0,"",SUMIFS('24'!$AC$25:$AC$30,'24'!$AG$25:$AG$30,$AK8,'24'!$AF$25:$AF$30,1)/COUNTIFS('24'!$AG$25:$AG$30,$AK8,'24'!$AF$25:$AF$30,1))</f>
        <v/>
      </c>
      <c r="BT8" s="102" t="str">
        <f>IF(COUNTIFS('25'!$AG$25:$AG$30,$AK8,'25'!$AF$25:$AF$30,1)=0,"",SUMIFS('25'!$AC$25:$AC$30,'25'!$AG$25:$AG$30,$AK8,'25'!$AF$25:$AF$30,1)/COUNTIFS('25'!$AG$25:$AG$30,$AK8,'25'!$AF$25:$AF$30,1))</f>
        <v/>
      </c>
      <c r="BU8" s="102" t="str">
        <f>IF(COUNTIFS('26'!$AG$25:$AG$30,$AK8,'26'!$AF$25:$AF$30,1)=0,"",SUMIFS('26'!$AC$25:$AC$30,'26'!$AG$25:$AG$30,$AK8,'26'!$AF$25:$AF$30,1)/COUNTIFS('26'!$AG$25:$AG$30,$AK8,'26'!$AF$25:$AF$30,1))</f>
        <v/>
      </c>
      <c r="BV8" s="102" t="str">
        <f>IF(COUNTIFS('27'!$AG$25:$AG$30,$AK8,'27'!$AF$25:$AF$30,1)=0,"",SUMIFS('27'!$AC$25:$AC$30,'27'!$AG$25:$AG$30,$AK8,'27'!$AF$25:$AF$30,1)/COUNTIFS('27'!$AG$25:$AG$30,$AK8,'27'!$AF$25:$AF$30,1))</f>
        <v/>
      </c>
      <c r="BW8" s="102" t="str">
        <f>IF(COUNTIFS('28'!$AG$25:$AG$30,$AK8,'28'!$AF$25:$AF$30,1)=0,"",SUMIFS('28'!$AC$25:$AC$30,'28'!$AG$25:$AG$30,$AK8,'28'!$AF$25:$AF$30,1)/COUNTIFS('28'!$AG$25:$AG$30,$AK8,'28'!$AF$25:$AF$30,1))</f>
        <v/>
      </c>
      <c r="BX8" s="102" t="str">
        <f>IF(COUNTIFS('29'!$AG$25:$AG$30,$AK8,'29'!$AF$25:$AF$30,1)=0,"",SUMIFS('29'!$AC$25:$AC$30,'29'!$AG$25:$AG$30,$AK8,'29'!$AF$25:$AF$30,1)/COUNTIFS('29'!$AG$25:$AG$30,$AK8,'29'!$AF$25:$AF$30,1))</f>
        <v/>
      </c>
      <c r="BY8" s="102" t="str">
        <f>IF(COUNTIFS('30'!$AG$25:$AG$30,$AK8,'30'!$AF$25:$AF$30,1)=0,"",SUMIFS('30'!$AC$25:$AC$30,'30'!$AG$25:$AG$30,$AK8,'30'!$AF$25:$AF$30,1)/COUNTIFS('30'!$AG$25:$AG$30,$AK8,'30'!$AF$25:$AF$30,1))</f>
        <v/>
      </c>
      <c r="BZ8" s="102" t="str">
        <f>IF(COUNTIFS('31'!$AG$28:$AG$33,$AK8,'31'!$AF$28:$AF$33,1)=0,"",SUMIFS('31'!$AC$28:$AC$33,'31'!$AG$28:$AG$33,$AK8,'31'!$AF$28:$AF$33,1)/COUNTIFS('31'!$AG$28:$AG$33,$AK8,'31'!$AF$28:$AF$33,1))</f>
        <v/>
      </c>
      <c r="CA8" s="102" t="s">
        <v>457</v>
      </c>
      <c r="CB8" s="102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14</v>
      </c>
      <c r="D9" s="209">
        <f t="shared" si="9"/>
        <v>0.0562248996</v>
      </c>
      <c r="E9" s="209">
        <f t="shared" si="10"/>
        <v>0.8192771084</v>
      </c>
      <c r="X9" s="102" t="s">
        <v>277</v>
      </c>
      <c r="Y9" s="102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2">
        <f t="shared" si="1"/>
        <v>8.00009</v>
      </c>
      <c r="AA9" s="102" t="s">
        <v>454</v>
      </c>
      <c r="AB9" s="102" t="s">
        <v>443</v>
      </c>
      <c r="AC9" s="102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2">
        <f t="shared" si="2"/>
        <v>0.00007</v>
      </c>
      <c r="AE9" s="102" t="s">
        <v>454</v>
      </c>
      <c r="AF9" s="102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2">
        <f t="shared" si="3"/>
        <v>0.00001</v>
      </c>
      <c r="AH9" s="102" t="s">
        <v>456</v>
      </c>
      <c r="AI9" s="102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2">
        <f t="shared" si="4"/>
        <v>0.00002</v>
      </c>
      <c r="AK9" s="102" t="s">
        <v>454</v>
      </c>
      <c r="AL9" s="102" t="s">
        <v>443</v>
      </c>
      <c r="AM9" s="102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2" t="str">
        <f t="shared" si="5"/>
        <v/>
      </c>
      <c r="AO9" s="102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2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2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2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2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2" t="str">
        <f>IF(COUNTIFS('1'!$AG$29:$AG$34,$AK9,'1'!$AF$29:$AF$34,1)=0,"",SUMIFS('1'!$AC$29:$AC$34,'1'!$AG$29:$AG$34,$AK9,'1'!$AF$29:$AF$34,1)/COUNTIFS('1'!$AG$29:$AG$34,$AK9,'1'!$AF$29:$AF$34,1))</f>
        <v/>
      </c>
      <c r="AW9" s="102" t="str">
        <f>IF(COUNTIFS('2'!$AG$27:$AG$32,$AK9,'2'!$AF$27:$AF$32,1)=0,"",SUMIFS('2'!$AC$27:$AC$32,'2'!$AG$27:$AG$32,$AK9,'2'!$AF$27:$AF$32,1)/COUNTIFS('2'!$AG$27:$AG$32,$AK9,'2'!$AF$27:$AF$32,1))</f>
        <v/>
      </c>
      <c r="AX9" s="102" t="str">
        <f>IF(COUNTIFS('3'!$AG$74:$AG$79,$AK9,'3'!$AF$74:$AF$79,1)=0,"",SUMIFS('3'!$AC$74:$AC$79,'3'!$AG$74:$AG$79,$AK9,'3'!$AF$74:$AF$79,1)/COUNTIFS('3'!$AG$74:$AG$79,$AK9,'3'!$AF$74:$AF$79,1))</f>
        <v/>
      </c>
      <c r="AY9" s="102" t="str">
        <f>IF(COUNTIFS('4'!$AG$86:$AG$91,$AK9,'4'!$AF$86:$AF$91,1)=0,"",SUMIFS('4'!$AC$86:$AC$91,'4'!$AG$86:$AG$91,$AK9,'4'!$AF$86:$AF$91,1)/COUNTIFS('4'!$AG$86:$AG$91,$AK9,'4'!$AF$86:$AF$91,1))</f>
        <v/>
      </c>
      <c r="AZ9" s="102" t="str">
        <f>IF(COUNTIFS('5'!$AG$27:$AG$32,$AK9,'5'!$AF$27:$AF$32,1)=0,"",SUMIFS('5'!$AC$27:$AC$32,'5'!$AG$27:$AG$32,$AK9,'5'!$AF$27:$AF$32,1)/COUNTIFS('5'!$AG$27:$AG$32,$AK9,'5'!$AF$27:$AF$32,1))</f>
        <v/>
      </c>
      <c r="BA9" s="102" t="str">
        <f>IF(COUNTIFS('6'!$AG$31:$AG$36,$AK9,'6'!$AF$31:$AF$36,1)=0,"",SUMIFS('6'!$AC$31:$AC$36,'6'!$AG$31:$AG$36,$AK9,'6'!$AF$31:$AF$36,1)/COUNTIFS('6'!$AG$31:$AG$36,$AK9,'6'!$AF$31:$AF$36,1))</f>
        <v/>
      </c>
      <c r="BB9" s="102" t="str">
        <f>IF(COUNTIFS('7'!$AG$30:$AG$35,$AK9,'7'!$AF$30:$AF$35,1)=0,"",SUMIFS('7'!$AC$30:$AC$35,'7'!$AG$30:$AG$35,$AK9,'7'!$AF$30:$AF$35,1)/COUNTIFS('7'!$AG$30:$AG$35,$AK9,'7'!$AF$30:$AF$35,1))</f>
        <v/>
      </c>
      <c r="BC9" s="102" t="str">
        <f>IF(COUNTIFS('8'!$AG$31:$AG$36,$AK9,'8'!$AF$31:$AF$36,1)=0,"",SUMIFS('8'!$AC$31:$AC$36,'8'!$AG$31:$AG$36,$AK9,'8'!$AF$31:$AF$36,1)/COUNTIFS('8'!$AG$31:$AG$36,$AK9,'8'!$AF$31:$AF$36,1))</f>
        <v/>
      </c>
      <c r="BD9" s="102" t="str">
        <f>IF(COUNTIFS('9'!$AG$33:$AG$38,$AK9,'9'!$AF$33:$AF$38,1)=0,"",SUMIFS('9'!$AC$33:$AC$38,'9'!$AG$33:$AG$38,$AK9,'9'!$AF$33:$AF$38,1)/COUNTIFS('9'!$AG$33:$AG$38,$AK9,'9'!$AF$33:$AF$38,1))</f>
        <v/>
      </c>
      <c r="BE9" s="102" t="str">
        <f>IF(COUNTIFS('10'!$AG$33:$AG$38,$AK9,'10'!$AF$33:$AF$38,1)=0,"",SUMIFS('10'!$AC$33:$AC$38,'10'!$AG$33:$AG$38,$AK9,'10'!$AF$33:$AF$38,1)/COUNTIFS('10'!$AG$33:$AG$38,$AK9,'10'!$AF$33:$AF$38,1))</f>
        <v/>
      </c>
      <c r="BF9" s="102" t="str">
        <f>IF(COUNTIFS('11'!$AG$29:$AG$34,$AK9,'11'!$AF$29:$AF$34,1)=0,"",SUMIFS('11'!$AC$29:$AC$34,'11'!$AG$29:$AG$34,$AK9,'11'!$AF$29:$AF$34,1)/COUNTIFS('11'!$AG$29:$AG$34,$AK9,'11'!$AF$29:$AF$34,1))</f>
        <v/>
      </c>
      <c r="BG9" s="102" t="str">
        <f>IF(COUNTIFS('12'!$AG$26:$AG$31,$AK9,'12'!$AF$26:$AF$31,1)=0,"",SUMIFS('12'!$AC$26:$AC$31,'12'!$AG$26:$AG$31,$AK9,'12'!$AF$26:$AF$31,1)/COUNTIFS('12'!$AG$26:$AG$31,$AK9,'12'!$AF$26:$AF$31,1))</f>
        <v/>
      </c>
      <c r="BH9" s="102" t="str">
        <f>IF(COUNTIFS('13'!$AG$25:$AG$30,$AK9,'13'!$AF$25:$AF$30,1)=0,"",SUMIFS('13'!$AC$25:$AC$30,'13'!$AG$25:$AG$30,$AK9,'13'!$AF$25:$AF$30,1)/COUNTIFS('13'!$AG$25:$AG$30,$AK9,'13'!$AF$25:$AF$30,1))</f>
        <v/>
      </c>
      <c r="BI9" s="102" t="str">
        <f>IF(COUNTIFS('14'!$AG$25:$AG$30,$AK9,'14'!$AF$25:$AF$30,1)=0,"",SUMIFS('14'!$AC$25:$AC$30,'14'!$AG$25:$AG$30,$AK9,'14'!$AF$25:$AF$30,1)/COUNTIFS('14'!$AG$25:$AG$30,$AK9,'14'!$AF$25:$AF$30,1))</f>
        <v/>
      </c>
      <c r="BJ9" s="102" t="str">
        <f>IF(COUNTIFS('15'!$AG$29:$AG$34,$AK9,'15'!$AF$29:$AF$34,1)=0,"",SUMIFS('15'!$AC$29:$AC$34,'15'!$AG$29:$AG$34,$AK9,'15'!$AF$29:$AF$34,1)/COUNTIFS('15'!$AG$29:$AG$34,$AK9,'15'!$AF$29:$AF$34,1))</f>
        <v/>
      </c>
      <c r="BK9" s="102" t="str">
        <f>IF(COUNTIFS('16'!$AG$28:$AG$33,$AK9,'16'!$AF$28:$AF$33,1)=0,"",SUMIFS('16'!$AC$28:$AC$33,'16'!$AG$28:$AG$33,$AK9,'16'!$AF$28:$AF$33,1)/COUNTIFS('16'!$AG$28:$AG$33,$AK9,'16'!$AF$28:$AF$33,1))</f>
        <v/>
      </c>
      <c r="BL9" s="102" t="str">
        <f>IF(COUNTIFS('17'!$AG$44:$AG$49,$AK9,'17'!$AF$44:$AF$49,1)=0,"",SUMIFS('17'!$AC$44:$AC$49,'17'!$AG$44:$AG$49,$AK9,'17'!$AF$44:$AF$49,1)/COUNTIFS('17'!$AG$44:$AG$49,$AK9,'17'!$AF$44:$AF$49,1))</f>
        <v/>
      </c>
      <c r="BM9" s="102" t="str">
        <f>IF(COUNTIFS('18'!$AG$28:$AG$33,$AK9,'18'!$AF$28:$AF$33,1)=0,"",SUMIFS('18'!$AC$28:$AC$33,'18'!$AG$28:$AG$33,$AK9,'18'!$AF$28:$AF$33,1)/COUNTIFS('18'!$AG$28:$AG$33,$AK9,'18'!$AF$28:$AF$33,1))</f>
        <v/>
      </c>
      <c r="BN9" s="102" t="str">
        <f>IF(COUNTIFS('19'!$AG$25:$AG$30,$AK9,'19'!$AF$25:$AF$30,1)=0,"",SUMIFS('19'!$AC$25:$AC$30,'19'!$AG$25:$AG$30,$AK9,'19'!$AF$25:$AF$30,1)/COUNTIFS('19'!$AG$25:$AG$30,$AK9,'19'!$AF$25:$AF$30,1))</f>
        <v/>
      </c>
      <c r="BO9" s="102" t="str">
        <f>IF(COUNTIFS('20'!$AG$25:$AG$30,$AK9,'20'!$AF$25:$AF$30,1)=0,"",SUMIFS('20'!$AC$25:$AC$30,'20'!$AG$25:$AG$30,$AK9,'20'!$AF$25:$AF$30,1)/COUNTIFS('20'!$AG$25:$AG$30,$AK9,'20'!$AF$25:$AF$30,1))</f>
        <v/>
      </c>
      <c r="BP9" s="102" t="str">
        <f>IF(COUNTIFS('21'!$AG$25:$AG$30,$AK9,'21'!$AF$25:$AF$30,1)=0,"",SUMIFS('21'!$AC$25:$AC$30,'21'!$AG$25:$AG$30,$AK9,'21'!$AF$25:$AF$30,1)/COUNTIFS('21'!$AG$25:$AG$30,$AK9,'21'!$AF$25:$AF$30,1))</f>
        <v/>
      </c>
      <c r="BQ9" s="102" t="str">
        <f>IF(COUNTIFS('22'!$AG$25:$AG$30,$AK9,'22'!$AF$25:$AF$30,1)=0,"",SUMIFS('22'!$AC$25:$AC$30,'22'!$AG$25:$AG$30,$AK9,'22'!$AF$25:$AF$30,1)/COUNTIFS('22'!$AG$25:$AG$30,$AK9,'22'!$AF$25:$AF$30,1))</f>
        <v/>
      </c>
      <c r="BR9" s="102" t="str">
        <f>IF(COUNTIFS('23'!$AG$25:$AG$30,$AK9,'23'!$AF$25:$AF$30,1)=0,"",SUMIFS('23'!$AC$25:$AC$30,'23'!$AG$25:$AG$30,$AK9,'23'!$AF$25:$AF$30,1)/COUNTIFS('23'!$AG$25:$AG$30,$AK9,'23'!$AF$25:$AF$30,1))</f>
        <v/>
      </c>
      <c r="BS9" s="102" t="str">
        <f>IF(COUNTIFS('24'!$AG$25:$AG$30,$AK9,'24'!$AF$25:$AF$30,1)=0,"",SUMIFS('24'!$AC$25:$AC$30,'24'!$AG$25:$AG$30,$AK9,'24'!$AF$25:$AF$30,1)/COUNTIFS('24'!$AG$25:$AG$30,$AK9,'24'!$AF$25:$AF$30,1))</f>
        <v/>
      </c>
      <c r="BT9" s="102" t="str">
        <f>IF(COUNTIFS('25'!$AG$25:$AG$30,$AK9,'25'!$AF$25:$AF$30,1)=0,"",SUMIFS('25'!$AC$25:$AC$30,'25'!$AG$25:$AG$30,$AK9,'25'!$AF$25:$AF$30,1)/COUNTIFS('25'!$AG$25:$AG$30,$AK9,'25'!$AF$25:$AF$30,1))</f>
        <v/>
      </c>
      <c r="BU9" s="102" t="str">
        <f>IF(COUNTIFS('26'!$AG$25:$AG$30,$AK9,'26'!$AF$25:$AF$30,1)=0,"",SUMIFS('26'!$AC$25:$AC$30,'26'!$AG$25:$AG$30,$AK9,'26'!$AF$25:$AF$30,1)/COUNTIFS('26'!$AG$25:$AG$30,$AK9,'26'!$AF$25:$AF$30,1))</f>
        <v/>
      </c>
      <c r="BV9" s="102" t="str">
        <f>IF(COUNTIFS('27'!$AG$25:$AG$30,$AK9,'27'!$AF$25:$AF$30,1)=0,"",SUMIFS('27'!$AC$25:$AC$30,'27'!$AG$25:$AG$30,$AK9,'27'!$AF$25:$AF$30,1)/COUNTIFS('27'!$AG$25:$AG$30,$AK9,'27'!$AF$25:$AF$30,1))</f>
        <v/>
      </c>
      <c r="BW9" s="102" t="str">
        <f>IF(COUNTIFS('28'!$AG$25:$AG$30,$AK9,'28'!$AF$25:$AF$30,1)=0,"",SUMIFS('28'!$AC$25:$AC$30,'28'!$AG$25:$AG$30,$AK9,'28'!$AF$25:$AF$30,1)/COUNTIFS('28'!$AG$25:$AG$30,$AK9,'28'!$AF$25:$AF$30,1))</f>
        <v/>
      </c>
      <c r="BX9" s="102" t="str">
        <f>IF(COUNTIFS('29'!$AG$25:$AG$30,$AK9,'29'!$AF$25:$AF$30,1)=0,"",SUMIFS('29'!$AC$25:$AC$30,'29'!$AG$25:$AG$30,$AK9,'29'!$AF$25:$AF$30,1)/COUNTIFS('29'!$AG$25:$AG$30,$AK9,'29'!$AF$25:$AF$30,1))</f>
        <v/>
      </c>
      <c r="BY9" s="102" t="str">
        <f>IF(COUNTIFS('30'!$AG$25:$AG$30,$AK9,'30'!$AF$25:$AF$30,1)=0,"",SUMIFS('30'!$AC$25:$AC$30,'30'!$AG$25:$AG$30,$AK9,'30'!$AF$25:$AF$30,1)/COUNTIFS('30'!$AG$25:$AG$30,$AK9,'30'!$AF$25:$AF$30,1))</f>
        <v/>
      </c>
      <c r="BZ9" s="102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13</v>
      </c>
      <c r="D10" s="209">
        <f t="shared" si="9"/>
        <v>0.05220883534</v>
      </c>
      <c r="E10" s="209">
        <f t="shared" si="10"/>
        <v>0.8714859438</v>
      </c>
      <c r="X10" s="102" t="s">
        <v>39</v>
      </c>
      <c r="Y10" s="102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16</v>
      </c>
      <c r="Z10" s="102">
        <f t="shared" si="1"/>
        <v>16.00008</v>
      </c>
      <c r="AA10" s="102" t="s">
        <v>444</v>
      </c>
      <c r="AB10" s="102" t="s">
        <v>455</v>
      </c>
      <c r="AC10" s="102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2">
        <f t="shared" si="2"/>
        <v>0.00006</v>
      </c>
      <c r="AH10" s="102" t="s">
        <v>60</v>
      </c>
      <c r="AI10" s="102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66</v>
      </c>
      <c r="AJ10" s="102">
        <f t="shared" si="4"/>
        <v>66.00001</v>
      </c>
      <c r="AK10" s="102" t="s">
        <v>444</v>
      </c>
      <c r="AL10" s="102" t="s">
        <v>455</v>
      </c>
      <c r="AM10" s="102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2" t="str">
        <f t="shared" si="5"/>
        <v/>
      </c>
      <c r="AO10" s="102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2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2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2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2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2" t="str">
        <f>IF(COUNTIFS('1'!$AG$29:$AG$34,$AK10,'1'!$AF$29:$AF$34,1)=0,"",SUMIFS('1'!$AC$29:$AC$34,'1'!$AG$29:$AG$34,$AK10,'1'!$AF$29:$AF$34,1)/COUNTIFS('1'!$AG$29:$AG$34,$AK10,'1'!$AF$29:$AF$34,1))</f>
        <v/>
      </c>
      <c r="AW10" s="102" t="str">
        <f>IF(COUNTIFS('2'!$AG$27:$AG$32,$AK10,'2'!$AF$27:$AF$32,1)=0,"",SUMIFS('2'!$AC$27:$AC$32,'2'!$AG$27:$AG$32,$AK10,'2'!$AF$27:$AF$32,1)/COUNTIFS('2'!$AG$27:$AG$32,$AK10,'2'!$AF$27:$AF$32,1))</f>
        <v/>
      </c>
      <c r="AX10" s="102" t="str">
        <f>IF(COUNTIFS('3'!$AG$74:$AG$79,$AK10,'3'!$AF$74:$AF$79,1)=0,"",SUMIFS('3'!$AC$74:$AC$79,'3'!$AG$74:$AG$79,$AK10,'3'!$AF$74:$AF$79,1)/COUNTIFS('3'!$AG$74:$AG$79,$AK10,'3'!$AF$74:$AF$79,1))</f>
        <v/>
      </c>
      <c r="AY10" s="102" t="str">
        <f>IF(COUNTIFS('4'!$AG$86:$AG$91,$AK10,'4'!$AF$86:$AF$91,1)=0,"",SUMIFS('4'!$AC$86:$AC$91,'4'!$AG$86:$AG$91,$AK10,'4'!$AF$86:$AF$91,1)/COUNTIFS('4'!$AG$86:$AG$91,$AK10,'4'!$AF$86:$AF$91,1))</f>
        <v/>
      </c>
      <c r="AZ10" s="102" t="str">
        <f>IF(COUNTIFS('5'!$AG$27:$AG$32,$AK10,'5'!$AF$27:$AF$32,1)=0,"",SUMIFS('5'!$AC$27:$AC$32,'5'!$AG$27:$AG$32,$AK10,'5'!$AF$27:$AF$32,1)/COUNTIFS('5'!$AG$27:$AG$32,$AK10,'5'!$AF$27:$AF$32,1))</f>
        <v/>
      </c>
      <c r="BA10" s="102" t="str">
        <f>IF(COUNTIFS('6'!$AG$31:$AG$36,$AK10,'6'!$AF$31:$AF$36,1)=0,"",SUMIFS('6'!$AC$31:$AC$36,'6'!$AG$31:$AG$36,$AK10,'6'!$AF$31:$AF$36,1)/COUNTIFS('6'!$AG$31:$AG$36,$AK10,'6'!$AF$31:$AF$36,1))</f>
        <v/>
      </c>
      <c r="BB10" s="102" t="str">
        <f>IF(COUNTIFS('7'!$AG$30:$AG$35,$AK10,'7'!$AF$30:$AF$35,1)=0,"",SUMIFS('7'!$AC$30:$AC$35,'7'!$AG$30:$AG$35,$AK10,'7'!$AF$30:$AF$35,1)/COUNTIFS('7'!$AG$30:$AG$35,$AK10,'7'!$AF$30:$AF$35,1))</f>
        <v/>
      </c>
      <c r="BC10" s="102" t="str">
        <f>IF(COUNTIFS('8'!$AG$31:$AG$36,$AK10,'8'!$AF$31:$AF$36,1)=0,"",SUMIFS('8'!$AC$31:$AC$36,'8'!$AG$31:$AG$36,$AK10,'8'!$AF$31:$AF$36,1)/COUNTIFS('8'!$AG$31:$AG$36,$AK10,'8'!$AF$31:$AF$36,1))</f>
        <v/>
      </c>
      <c r="BD10" s="102" t="str">
        <f>IF(COUNTIFS('9'!$AG$33:$AG$38,$AK10,'9'!$AF$33:$AF$38,1)=0,"",SUMIFS('9'!$AC$33:$AC$38,'9'!$AG$33:$AG$38,$AK10,'9'!$AF$33:$AF$38,1)/COUNTIFS('9'!$AG$33:$AG$38,$AK10,'9'!$AF$33:$AF$38,1))</f>
        <v/>
      </c>
      <c r="BE10" s="102" t="str">
        <f>IF(COUNTIFS('10'!$AG$33:$AG$38,$AK10,'10'!$AF$33:$AF$38,1)=0,"",SUMIFS('10'!$AC$33:$AC$38,'10'!$AG$33:$AG$38,$AK10,'10'!$AF$33:$AF$38,1)/COUNTIFS('10'!$AG$33:$AG$38,$AK10,'10'!$AF$33:$AF$38,1))</f>
        <v/>
      </c>
      <c r="BF10" s="102" t="str">
        <f>IF(COUNTIFS('11'!$AG$29:$AG$34,$AK10,'11'!$AF$29:$AF$34,1)=0,"",SUMIFS('11'!$AC$29:$AC$34,'11'!$AG$29:$AG$34,$AK10,'11'!$AF$29:$AF$34,1)/COUNTIFS('11'!$AG$29:$AG$34,$AK10,'11'!$AF$29:$AF$34,1))</f>
        <v/>
      </c>
      <c r="BG10" s="102" t="str">
        <f>IF(COUNTIFS('12'!$AG$26:$AG$31,$AK10,'12'!$AF$26:$AF$31,1)=0,"",SUMIFS('12'!$AC$26:$AC$31,'12'!$AG$26:$AG$31,$AK10,'12'!$AF$26:$AF$31,1)/COUNTIFS('12'!$AG$26:$AG$31,$AK10,'12'!$AF$26:$AF$31,1))</f>
        <v/>
      </c>
      <c r="BH10" s="102" t="str">
        <f>IF(COUNTIFS('13'!$AG$25:$AG$30,$AK10,'13'!$AF$25:$AF$30,1)=0,"",SUMIFS('13'!$AC$25:$AC$30,'13'!$AG$25:$AG$30,$AK10,'13'!$AF$25:$AF$30,1)/COUNTIFS('13'!$AG$25:$AG$30,$AK10,'13'!$AF$25:$AF$30,1))</f>
        <v/>
      </c>
      <c r="BI10" s="102" t="str">
        <f>IF(COUNTIFS('14'!$AG$25:$AG$30,$AK10,'14'!$AF$25:$AF$30,1)=0,"",SUMIFS('14'!$AC$25:$AC$30,'14'!$AG$25:$AG$30,$AK10,'14'!$AF$25:$AF$30,1)/COUNTIFS('14'!$AG$25:$AG$30,$AK10,'14'!$AF$25:$AF$30,1))</f>
        <v/>
      </c>
      <c r="BJ10" s="102" t="str">
        <f>IF(COUNTIFS('15'!$AG$29:$AG$34,$AK10,'15'!$AF$29:$AF$34,1)=0,"",SUMIFS('15'!$AC$29:$AC$34,'15'!$AG$29:$AG$34,$AK10,'15'!$AF$29:$AF$34,1)/COUNTIFS('15'!$AG$29:$AG$34,$AK10,'15'!$AF$29:$AF$34,1))</f>
        <v/>
      </c>
      <c r="BK10" s="102" t="str">
        <f>IF(COUNTIFS('16'!$AG$28:$AG$33,$AK10,'16'!$AF$28:$AF$33,1)=0,"",SUMIFS('16'!$AC$28:$AC$33,'16'!$AG$28:$AG$33,$AK10,'16'!$AF$28:$AF$33,1)/COUNTIFS('16'!$AG$28:$AG$33,$AK10,'16'!$AF$28:$AF$33,1))</f>
        <v/>
      </c>
      <c r="BL10" s="102" t="str">
        <f>IF(COUNTIFS('17'!$AG$44:$AG$49,$AK10,'17'!$AF$44:$AF$49,1)=0,"",SUMIFS('17'!$AC$44:$AC$49,'17'!$AG$44:$AG$49,$AK10,'17'!$AF$44:$AF$49,1)/COUNTIFS('17'!$AG$44:$AG$49,$AK10,'17'!$AF$44:$AF$49,1))</f>
        <v/>
      </c>
      <c r="BM10" s="102" t="str">
        <f>IF(COUNTIFS('18'!$AG$28:$AG$33,$AK10,'18'!$AF$28:$AF$33,1)=0,"",SUMIFS('18'!$AC$28:$AC$33,'18'!$AG$28:$AG$33,$AK10,'18'!$AF$28:$AF$33,1)/COUNTIFS('18'!$AG$28:$AG$33,$AK10,'18'!$AF$28:$AF$33,1))</f>
        <v/>
      </c>
      <c r="BN10" s="102" t="str">
        <f>IF(COUNTIFS('19'!$AG$25:$AG$30,$AK10,'19'!$AF$25:$AF$30,1)=0,"",SUMIFS('19'!$AC$25:$AC$30,'19'!$AG$25:$AG$30,$AK10,'19'!$AF$25:$AF$30,1)/COUNTIFS('19'!$AG$25:$AG$30,$AK10,'19'!$AF$25:$AF$30,1))</f>
        <v/>
      </c>
      <c r="BO10" s="102" t="str">
        <f>IF(COUNTIFS('20'!$AG$25:$AG$30,$AK10,'20'!$AF$25:$AF$30,1)=0,"",SUMIFS('20'!$AC$25:$AC$30,'20'!$AG$25:$AG$30,$AK10,'20'!$AF$25:$AF$30,1)/COUNTIFS('20'!$AG$25:$AG$30,$AK10,'20'!$AF$25:$AF$30,1))</f>
        <v/>
      </c>
      <c r="BP10" s="102" t="str">
        <f>IF(COUNTIFS('21'!$AG$25:$AG$30,$AK10,'21'!$AF$25:$AF$30,1)=0,"",SUMIFS('21'!$AC$25:$AC$30,'21'!$AG$25:$AG$30,$AK10,'21'!$AF$25:$AF$30,1)/COUNTIFS('21'!$AG$25:$AG$30,$AK10,'21'!$AF$25:$AF$30,1))</f>
        <v/>
      </c>
      <c r="BQ10" s="102" t="str">
        <f>IF(COUNTIFS('22'!$AG$25:$AG$30,$AK10,'22'!$AF$25:$AF$30,1)=0,"",SUMIFS('22'!$AC$25:$AC$30,'22'!$AG$25:$AG$30,$AK10,'22'!$AF$25:$AF$30,1)/COUNTIFS('22'!$AG$25:$AG$30,$AK10,'22'!$AF$25:$AF$30,1))</f>
        <v/>
      </c>
      <c r="BR10" s="102" t="str">
        <f>IF(COUNTIFS('23'!$AG$25:$AG$30,$AK10,'23'!$AF$25:$AF$30,1)=0,"",SUMIFS('23'!$AC$25:$AC$30,'23'!$AG$25:$AG$30,$AK10,'23'!$AF$25:$AF$30,1)/COUNTIFS('23'!$AG$25:$AG$30,$AK10,'23'!$AF$25:$AF$30,1))</f>
        <v/>
      </c>
      <c r="BS10" s="102" t="str">
        <f>IF(COUNTIFS('24'!$AG$25:$AG$30,$AK10,'24'!$AF$25:$AF$30,1)=0,"",SUMIFS('24'!$AC$25:$AC$30,'24'!$AG$25:$AG$30,$AK10,'24'!$AF$25:$AF$30,1)/COUNTIFS('24'!$AG$25:$AG$30,$AK10,'24'!$AF$25:$AF$30,1))</f>
        <v/>
      </c>
      <c r="BT10" s="102" t="str">
        <f>IF(COUNTIFS('25'!$AG$25:$AG$30,$AK10,'25'!$AF$25:$AF$30,1)=0,"",SUMIFS('25'!$AC$25:$AC$30,'25'!$AG$25:$AG$30,$AK10,'25'!$AF$25:$AF$30,1)/COUNTIFS('25'!$AG$25:$AG$30,$AK10,'25'!$AF$25:$AF$30,1))</f>
        <v/>
      </c>
      <c r="BU10" s="102" t="str">
        <f>IF(COUNTIFS('26'!$AG$25:$AG$30,$AK10,'26'!$AF$25:$AF$30,1)=0,"",SUMIFS('26'!$AC$25:$AC$30,'26'!$AG$25:$AG$30,$AK10,'26'!$AF$25:$AF$30,1)/COUNTIFS('26'!$AG$25:$AG$30,$AK10,'26'!$AF$25:$AF$30,1))</f>
        <v/>
      </c>
      <c r="BV10" s="102" t="str">
        <f>IF(COUNTIFS('27'!$AG$25:$AG$30,$AK10,'27'!$AF$25:$AF$30,1)=0,"",SUMIFS('27'!$AC$25:$AC$30,'27'!$AG$25:$AG$30,$AK10,'27'!$AF$25:$AF$30,1)/COUNTIFS('27'!$AG$25:$AG$30,$AK10,'27'!$AF$25:$AF$30,1))</f>
        <v/>
      </c>
      <c r="BW10" s="102" t="str">
        <f>IF(COUNTIFS('28'!$AG$25:$AG$30,$AK10,'28'!$AF$25:$AF$30,1)=0,"",SUMIFS('28'!$AC$25:$AC$30,'28'!$AG$25:$AG$30,$AK10,'28'!$AF$25:$AF$30,1)/COUNTIFS('28'!$AG$25:$AG$30,$AK10,'28'!$AF$25:$AF$30,1))</f>
        <v/>
      </c>
      <c r="BX10" s="102" t="str">
        <f>IF(COUNTIFS('29'!$AG$25:$AG$30,$AK10,'29'!$AF$25:$AF$30,1)=0,"",SUMIFS('29'!$AC$25:$AC$30,'29'!$AG$25:$AG$30,$AK10,'29'!$AF$25:$AF$30,1)/COUNTIFS('29'!$AG$25:$AG$30,$AK10,'29'!$AF$25:$AF$30,1))</f>
        <v/>
      </c>
      <c r="BY10" s="102" t="str">
        <f>IF(COUNTIFS('30'!$AG$25:$AG$30,$AK10,'30'!$AF$25:$AF$30,1)=0,"",SUMIFS('30'!$AC$25:$AC$30,'30'!$AG$25:$AG$30,$AK10,'30'!$AF$25:$AF$30,1)/COUNTIFS('30'!$AG$25:$AG$30,$AK10,'30'!$AF$25:$AF$30,1))</f>
        <v/>
      </c>
      <c r="BZ10" s="102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0.03614457831</v>
      </c>
      <c r="E11" s="209">
        <f t="shared" si="10"/>
        <v>0.9076305221</v>
      </c>
      <c r="X11" s="102" t="s">
        <v>230</v>
      </c>
      <c r="Y11" s="102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102">
        <f t="shared" si="1"/>
        <v>5.00007</v>
      </c>
      <c r="AA11" s="102" t="s">
        <v>84</v>
      </c>
      <c r="AB11" s="102" t="s">
        <v>455</v>
      </c>
      <c r="AC11" s="102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2">
        <f t="shared" si="2"/>
        <v>0.00005</v>
      </c>
      <c r="AK11" s="102" t="s">
        <v>84</v>
      </c>
      <c r="AL11" s="102" t="s">
        <v>455</v>
      </c>
      <c r="AM11" s="102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2" t="str">
        <f t="shared" si="5"/>
        <v/>
      </c>
      <c r="AO11" s="102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2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2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2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2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2" t="str">
        <f>IF(COUNTIFS('1'!$AG$29:$AG$34,$AK11,'1'!$AF$29:$AF$34,1)=0,"",SUMIFS('1'!$AC$29:$AC$34,'1'!$AG$29:$AG$34,$AK11,'1'!$AF$29:$AF$34,1)/COUNTIFS('1'!$AG$29:$AG$34,$AK11,'1'!$AF$29:$AF$34,1))</f>
        <v/>
      </c>
      <c r="AW11" s="102" t="str">
        <f>IF(COUNTIFS('2'!$AG$27:$AG$32,$AK11,'2'!$AF$27:$AF$32,1)=0,"",SUMIFS('2'!$AC$27:$AC$32,'2'!$AG$27:$AG$32,$AK11,'2'!$AF$27:$AF$32,1)/COUNTIFS('2'!$AG$27:$AG$32,$AK11,'2'!$AF$27:$AF$32,1))</f>
        <v/>
      </c>
      <c r="AX11" s="102" t="str">
        <f>IF(COUNTIFS('3'!$AG$74:$AG$79,$AK11,'3'!$AF$74:$AF$79,1)=0,"",SUMIFS('3'!$AC$74:$AC$79,'3'!$AG$74:$AG$79,$AK11,'3'!$AF$74:$AF$79,1)/COUNTIFS('3'!$AG$74:$AG$79,$AK11,'3'!$AF$74:$AF$79,1))</f>
        <v/>
      </c>
      <c r="AY11" s="102" t="str">
        <f>IF(COUNTIFS('4'!$AG$86:$AG$91,$AK11,'4'!$AF$86:$AF$91,1)=0,"",SUMIFS('4'!$AC$86:$AC$91,'4'!$AG$86:$AG$91,$AK11,'4'!$AF$86:$AF$91,1)/COUNTIFS('4'!$AG$86:$AG$91,$AK11,'4'!$AF$86:$AF$91,1))</f>
        <v/>
      </c>
      <c r="AZ11" s="102" t="str">
        <f>IF(COUNTIFS('5'!$AG$27:$AG$32,$AK11,'5'!$AF$27:$AF$32,1)=0,"",SUMIFS('5'!$AC$27:$AC$32,'5'!$AG$27:$AG$32,$AK11,'5'!$AF$27:$AF$32,1)/COUNTIFS('5'!$AG$27:$AG$32,$AK11,'5'!$AF$27:$AF$32,1))</f>
        <v/>
      </c>
      <c r="BA11" s="102" t="str">
        <f>IF(COUNTIFS('6'!$AG$31:$AG$36,$AK11,'6'!$AF$31:$AF$36,1)=0,"",SUMIFS('6'!$AC$31:$AC$36,'6'!$AG$31:$AG$36,$AK11,'6'!$AF$31:$AF$36,1)/COUNTIFS('6'!$AG$31:$AG$36,$AK11,'6'!$AF$31:$AF$36,1))</f>
        <v/>
      </c>
      <c r="BB11" s="102" t="str">
        <f>IF(COUNTIFS('7'!$AG$30:$AG$35,$AK11,'7'!$AF$30:$AF$35,1)=0,"",SUMIFS('7'!$AC$30:$AC$35,'7'!$AG$30:$AG$35,$AK11,'7'!$AF$30:$AF$35,1)/COUNTIFS('7'!$AG$30:$AG$35,$AK11,'7'!$AF$30:$AF$35,1))</f>
        <v/>
      </c>
      <c r="BC11" s="102" t="str">
        <f>IF(COUNTIFS('8'!$AG$31:$AG$36,$AK11,'8'!$AF$31:$AF$36,1)=0,"",SUMIFS('8'!$AC$31:$AC$36,'8'!$AG$31:$AG$36,$AK11,'8'!$AF$31:$AF$36,1)/COUNTIFS('8'!$AG$31:$AG$36,$AK11,'8'!$AF$31:$AF$36,1))</f>
        <v/>
      </c>
      <c r="BD11" s="102" t="str">
        <f>IF(COUNTIFS('9'!$AG$33:$AG$38,$AK11,'9'!$AF$33:$AF$38,1)=0,"",SUMIFS('9'!$AC$33:$AC$38,'9'!$AG$33:$AG$38,$AK11,'9'!$AF$33:$AF$38,1)/COUNTIFS('9'!$AG$33:$AG$38,$AK11,'9'!$AF$33:$AF$38,1))</f>
        <v/>
      </c>
      <c r="BE11" s="102" t="str">
        <f>IF(COUNTIFS('10'!$AG$33:$AG$38,$AK11,'10'!$AF$33:$AF$38,1)=0,"",SUMIFS('10'!$AC$33:$AC$38,'10'!$AG$33:$AG$38,$AK11,'10'!$AF$33:$AF$38,1)/COUNTIFS('10'!$AG$33:$AG$38,$AK11,'10'!$AF$33:$AF$38,1))</f>
        <v/>
      </c>
      <c r="BF11" s="102" t="str">
        <f>IF(COUNTIFS('11'!$AG$29:$AG$34,$AK11,'11'!$AF$29:$AF$34,1)=0,"",SUMIFS('11'!$AC$29:$AC$34,'11'!$AG$29:$AG$34,$AK11,'11'!$AF$29:$AF$34,1)/COUNTIFS('11'!$AG$29:$AG$34,$AK11,'11'!$AF$29:$AF$34,1))</f>
        <v/>
      </c>
      <c r="BG11" s="102" t="str">
        <f>IF(COUNTIFS('12'!$AG$26:$AG$31,$AK11,'12'!$AF$26:$AF$31,1)=0,"",SUMIFS('12'!$AC$26:$AC$31,'12'!$AG$26:$AG$31,$AK11,'12'!$AF$26:$AF$31,1)/COUNTIFS('12'!$AG$26:$AG$31,$AK11,'12'!$AF$26:$AF$31,1))</f>
        <v/>
      </c>
      <c r="BH11" s="102" t="str">
        <f>IF(COUNTIFS('13'!$AG$25:$AG$30,$AK11,'13'!$AF$25:$AF$30,1)=0,"",SUMIFS('13'!$AC$25:$AC$30,'13'!$AG$25:$AG$30,$AK11,'13'!$AF$25:$AF$30,1)/COUNTIFS('13'!$AG$25:$AG$30,$AK11,'13'!$AF$25:$AF$30,1))</f>
        <v/>
      </c>
      <c r="BI11" s="102" t="str">
        <f>IF(COUNTIFS('14'!$AG$25:$AG$30,$AK11,'14'!$AF$25:$AF$30,1)=0,"",SUMIFS('14'!$AC$25:$AC$30,'14'!$AG$25:$AG$30,$AK11,'14'!$AF$25:$AF$30,1)/COUNTIFS('14'!$AG$25:$AG$30,$AK11,'14'!$AF$25:$AF$30,1))</f>
        <v/>
      </c>
      <c r="BJ11" s="102" t="str">
        <f>IF(COUNTIFS('15'!$AG$29:$AG$34,$AK11,'15'!$AF$29:$AF$34,1)=0,"",SUMIFS('15'!$AC$29:$AC$34,'15'!$AG$29:$AG$34,$AK11,'15'!$AF$29:$AF$34,1)/COUNTIFS('15'!$AG$29:$AG$34,$AK11,'15'!$AF$29:$AF$34,1))</f>
        <v/>
      </c>
      <c r="BK11" s="102" t="str">
        <f>IF(COUNTIFS('16'!$AG$28:$AG$33,$AK11,'16'!$AF$28:$AF$33,1)=0,"",SUMIFS('16'!$AC$28:$AC$33,'16'!$AG$28:$AG$33,$AK11,'16'!$AF$28:$AF$33,1)/COUNTIFS('16'!$AG$28:$AG$33,$AK11,'16'!$AF$28:$AF$33,1))</f>
        <v/>
      </c>
      <c r="BL11" s="102" t="str">
        <f>IF(COUNTIFS('17'!$AG$44:$AG$49,$AK11,'17'!$AF$44:$AF$49,1)=0,"",SUMIFS('17'!$AC$44:$AC$49,'17'!$AG$44:$AG$49,$AK11,'17'!$AF$44:$AF$49,1)/COUNTIFS('17'!$AG$44:$AG$49,$AK11,'17'!$AF$44:$AF$49,1))</f>
        <v/>
      </c>
      <c r="BM11" s="102" t="str">
        <f>IF(COUNTIFS('18'!$AG$28:$AG$33,$AK11,'18'!$AF$28:$AF$33,1)=0,"",SUMIFS('18'!$AC$28:$AC$33,'18'!$AG$28:$AG$33,$AK11,'18'!$AF$28:$AF$33,1)/COUNTIFS('18'!$AG$28:$AG$33,$AK11,'18'!$AF$28:$AF$33,1))</f>
        <v/>
      </c>
      <c r="BN11" s="102" t="str">
        <f>IF(COUNTIFS('19'!$AG$25:$AG$30,$AK11,'19'!$AF$25:$AF$30,1)=0,"",SUMIFS('19'!$AC$25:$AC$30,'19'!$AG$25:$AG$30,$AK11,'19'!$AF$25:$AF$30,1)/COUNTIFS('19'!$AG$25:$AG$30,$AK11,'19'!$AF$25:$AF$30,1))</f>
        <v/>
      </c>
      <c r="BO11" s="102" t="str">
        <f>IF(COUNTIFS('20'!$AG$25:$AG$30,$AK11,'20'!$AF$25:$AF$30,1)=0,"",SUMIFS('20'!$AC$25:$AC$30,'20'!$AG$25:$AG$30,$AK11,'20'!$AF$25:$AF$30,1)/COUNTIFS('20'!$AG$25:$AG$30,$AK11,'20'!$AF$25:$AF$30,1))</f>
        <v/>
      </c>
      <c r="BP11" s="102" t="str">
        <f>IF(COUNTIFS('21'!$AG$25:$AG$30,$AK11,'21'!$AF$25:$AF$30,1)=0,"",SUMIFS('21'!$AC$25:$AC$30,'21'!$AG$25:$AG$30,$AK11,'21'!$AF$25:$AF$30,1)/COUNTIFS('21'!$AG$25:$AG$30,$AK11,'21'!$AF$25:$AF$30,1))</f>
        <v/>
      </c>
      <c r="BQ11" s="102" t="str">
        <f>IF(COUNTIFS('22'!$AG$25:$AG$30,$AK11,'22'!$AF$25:$AF$30,1)=0,"",SUMIFS('22'!$AC$25:$AC$30,'22'!$AG$25:$AG$30,$AK11,'22'!$AF$25:$AF$30,1)/COUNTIFS('22'!$AG$25:$AG$30,$AK11,'22'!$AF$25:$AF$30,1))</f>
        <v/>
      </c>
      <c r="BR11" s="102" t="str">
        <f>IF(COUNTIFS('23'!$AG$25:$AG$30,$AK11,'23'!$AF$25:$AF$30,1)=0,"",SUMIFS('23'!$AC$25:$AC$30,'23'!$AG$25:$AG$30,$AK11,'23'!$AF$25:$AF$30,1)/COUNTIFS('23'!$AG$25:$AG$30,$AK11,'23'!$AF$25:$AF$30,1))</f>
        <v/>
      </c>
      <c r="BS11" s="102" t="str">
        <f>IF(COUNTIFS('24'!$AG$25:$AG$30,$AK11,'24'!$AF$25:$AF$30,1)=0,"",SUMIFS('24'!$AC$25:$AC$30,'24'!$AG$25:$AG$30,$AK11,'24'!$AF$25:$AF$30,1)/COUNTIFS('24'!$AG$25:$AG$30,$AK11,'24'!$AF$25:$AF$30,1))</f>
        <v/>
      </c>
      <c r="BT11" s="102" t="str">
        <f>IF(COUNTIFS('25'!$AG$25:$AG$30,$AK11,'25'!$AF$25:$AF$30,1)=0,"",SUMIFS('25'!$AC$25:$AC$30,'25'!$AG$25:$AG$30,$AK11,'25'!$AF$25:$AF$30,1)/COUNTIFS('25'!$AG$25:$AG$30,$AK11,'25'!$AF$25:$AF$30,1))</f>
        <v/>
      </c>
      <c r="BU11" s="102" t="str">
        <f>IF(COUNTIFS('26'!$AG$25:$AG$30,$AK11,'26'!$AF$25:$AF$30,1)=0,"",SUMIFS('26'!$AC$25:$AC$30,'26'!$AG$25:$AG$30,$AK11,'26'!$AF$25:$AF$30,1)/COUNTIFS('26'!$AG$25:$AG$30,$AK11,'26'!$AF$25:$AF$30,1))</f>
        <v/>
      </c>
      <c r="BV11" s="102" t="str">
        <f>IF(COUNTIFS('27'!$AG$25:$AG$30,$AK11,'27'!$AF$25:$AF$30,1)=0,"",SUMIFS('27'!$AC$25:$AC$30,'27'!$AG$25:$AG$30,$AK11,'27'!$AF$25:$AF$30,1)/COUNTIFS('27'!$AG$25:$AG$30,$AK11,'27'!$AF$25:$AF$30,1))</f>
        <v/>
      </c>
      <c r="BW11" s="102" t="str">
        <f>IF(COUNTIFS('28'!$AG$25:$AG$30,$AK11,'28'!$AF$25:$AF$30,1)=0,"",SUMIFS('28'!$AC$25:$AC$30,'28'!$AG$25:$AG$30,$AK11,'28'!$AF$25:$AF$30,1)/COUNTIFS('28'!$AG$25:$AG$30,$AK11,'28'!$AF$25:$AF$30,1))</f>
        <v/>
      </c>
      <c r="BX11" s="102" t="str">
        <f>IF(COUNTIFS('29'!$AG$25:$AG$30,$AK11,'29'!$AF$25:$AF$30,1)=0,"",SUMIFS('29'!$AC$25:$AC$30,'29'!$AG$25:$AG$30,$AK11,'29'!$AF$25:$AF$30,1)/COUNTIFS('29'!$AG$25:$AG$30,$AK11,'29'!$AF$25:$AF$30,1))</f>
        <v/>
      </c>
      <c r="BY11" s="102" t="str">
        <f>IF(COUNTIFS('30'!$AG$25:$AG$30,$AK11,'30'!$AF$25:$AF$30,1)=0,"",SUMIFS('30'!$AC$25:$AC$30,'30'!$AG$25:$AG$30,$AK11,'30'!$AF$25:$AF$30,1)/COUNTIFS('30'!$AG$25:$AG$30,$AK11,'30'!$AF$25:$AF$30,1))</f>
        <v/>
      </c>
      <c r="BZ11" s="102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0.03212851406</v>
      </c>
      <c r="E12" s="209">
        <f t="shared" si="10"/>
        <v>0.9397590361</v>
      </c>
      <c r="X12" s="102" t="s">
        <v>69</v>
      </c>
      <c r="Y12" s="102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2">
        <f t="shared" si="1"/>
        <v>1.00006</v>
      </c>
      <c r="AA12" s="102" t="s">
        <v>43</v>
      </c>
      <c r="AB12" s="102" t="s">
        <v>455</v>
      </c>
      <c r="AC12" s="102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20</v>
      </c>
      <c r="AD12" s="102">
        <f t="shared" si="2"/>
        <v>20.00004</v>
      </c>
      <c r="AK12" s="102" t="s">
        <v>43</v>
      </c>
      <c r="AL12" s="102" t="s">
        <v>455</v>
      </c>
      <c r="AM12" s="102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102">
        <f t="shared" si="5"/>
        <v>99.52941176</v>
      </c>
      <c r="AO12" s="102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102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2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2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2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2">
        <f>IF(COUNTIFS('1'!$AG$29:$AG$34,$AK12,'1'!$AF$29:$AF$34,1)=0,"",SUMIFS('1'!$AC$29:$AC$34,'1'!$AG$29:$AG$34,$AK12,'1'!$AF$29:$AF$34,1)/COUNTIFS('1'!$AG$29:$AG$34,$AK12,'1'!$AF$29:$AF$34,1))</f>
        <v>96</v>
      </c>
      <c r="AW12" s="102">
        <f>IF(COUNTIFS('2'!$AG$27:$AG$32,$AK12,'2'!$AF$27:$AF$32,1)=0,"",SUMIFS('2'!$AC$27:$AC$32,'2'!$AG$27:$AG$32,$AK12,'2'!$AF$27:$AF$32,1)/COUNTIFS('2'!$AG$27:$AG$32,$AK12,'2'!$AF$27:$AF$32,1))</f>
        <v>100</v>
      </c>
      <c r="AX12" s="102">
        <f>IF(COUNTIFS('3'!$AG$74:$AG$79,$AK12,'3'!$AF$74:$AF$79,1)=0,"",SUMIFS('3'!$AC$74:$AC$79,'3'!$AG$74:$AG$79,$AK12,'3'!$AF$74:$AF$79,1)/COUNTIFS('3'!$AG$74:$AG$79,$AK12,'3'!$AF$74:$AF$79,1))</f>
        <v>100</v>
      </c>
      <c r="AY12" s="102">
        <f>IF(COUNTIFS('4'!$AG$86:$AG$91,$AK12,'4'!$AF$86:$AF$91,1)=0,"",SUMIFS('4'!$AC$86:$AC$91,'4'!$AG$86:$AG$91,$AK12,'4'!$AF$86:$AF$91,1)/COUNTIFS('4'!$AG$86:$AG$91,$AK12,'4'!$AF$86:$AF$91,1))</f>
        <v>100</v>
      </c>
      <c r="AZ12" s="102">
        <f>IF(COUNTIFS('5'!$AG$27:$AG$32,$AK12,'5'!$AF$27:$AF$32,1)=0,"",SUMIFS('5'!$AC$27:$AC$32,'5'!$AG$27:$AG$32,$AK12,'5'!$AF$27:$AF$32,1)/COUNTIFS('5'!$AG$27:$AG$32,$AK12,'5'!$AF$27:$AF$32,1))</f>
        <v>100</v>
      </c>
      <c r="BA12" s="102">
        <f>IF(COUNTIFS('6'!$AG$31:$AG$36,$AK12,'6'!$AF$31:$AF$36,1)=0,"",SUMIFS('6'!$AC$31:$AC$36,'6'!$AG$31:$AG$36,$AK12,'6'!$AF$31:$AF$36,1)/COUNTIFS('6'!$AG$31:$AG$36,$AK12,'6'!$AF$31:$AF$36,1))</f>
        <v>100</v>
      </c>
      <c r="BB12" s="102" t="str">
        <f>IF(COUNTIFS('7'!$AG$30:$AG$35,$AK12,'7'!$AF$30:$AF$35,1)=0,"",SUMIFS('7'!$AC$30:$AC$35,'7'!$AG$30:$AG$35,$AK12,'7'!$AF$30:$AF$35,1)/COUNTIFS('7'!$AG$30:$AG$35,$AK12,'7'!$AF$30:$AF$35,1))</f>
        <v/>
      </c>
      <c r="BC12" s="102">
        <f>IF(COUNTIFS('8'!$AG$31:$AG$36,$AK12,'8'!$AF$31:$AF$36,1)=0,"",SUMIFS('8'!$AC$31:$AC$36,'8'!$AG$31:$AG$36,$AK12,'8'!$AF$31:$AF$36,1)/COUNTIFS('8'!$AG$31:$AG$36,$AK12,'8'!$AF$31:$AF$36,1))</f>
        <v>100</v>
      </c>
      <c r="BD12" s="102">
        <f>IF(COUNTIFS('9'!$AG$33:$AG$38,$AK12,'9'!$AF$33:$AF$38,1)=0,"",SUMIFS('9'!$AC$33:$AC$38,'9'!$AG$33:$AG$38,$AK12,'9'!$AF$33:$AF$38,1)/COUNTIFS('9'!$AG$33:$AG$38,$AK12,'9'!$AF$33:$AF$38,1))</f>
        <v>100</v>
      </c>
      <c r="BE12" s="102">
        <f>IF(COUNTIFS('10'!$AG$33:$AG$38,$AK12,'10'!$AF$33:$AF$38,1)=0,"",SUMIFS('10'!$AC$33:$AC$38,'10'!$AG$33:$AG$38,$AK12,'10'!$AF$33:$AF$38,1)/COUNTIFS('10'!$AG$33:$AG$38,$AK12,'10'!$AF$33:$AF$38,1))</f>
        <v>100</v>
      </c>
      <c r="BF12" s="102">
        <f>IF(COUNTIFS('11'!$AG$29:$AG$34,$AK12,'11'!$AF$29:$AF$34,1)=0,"",SUMIFS('11'!$AC$29:$AC$34,'11'!$AG$29:$AG$34,$AK12,'11'!$AF$29:$AF$34,1)/COUNTIFS('11'!$AG$29:$AG$34,$AK12,'11'!$AF$29:$AF$34,1))</f>
        <v>100</v>
      </c>
      <c r="BG12" s="102">
        <f>IF(COUNTIFS('12'!$AG$26:$AG$31,$AK12,'12'!$AF$26:$AF$31,1)=0,"",SUMIFS('12'!$AC$26:$AC$31,'12'!$AG$26:$AG$31,$AK12,'12'!$AF$26:$AF$31,1)/COUNTIFS('12'!$AG$26:$AG$31,$AK12,'12'!$AF$26:$AF$31,1))</f>
        <v>100</v>
      </c>
      <c r="BH12" s="102">
        <f>IF(COUNTIFS('13'!$AG$25:$AG$30,$AK12,'13'!$AF$25:$AF$30,1)=0,"",SUMIFS('13'!$AC$25:$AC$30,'13'!$AG$25:$AG$30,$AK12,'13'!$AF$25:$AF$30,1)/COUNTIFS('13'!$AG$25:$AG$30,$AK12,'13'!$AF$25:$AF$30,1))</f>
        <v>100</v>
      </c>
      <c r="BI12" s="102" t="str">
        <f>IF(COUNTIFS('14'!$AG$25:$AG$30,$AK12,'14'!$AF$25:$AF$30,1)=0,"",SUMIFS('14'!$AC$25:$AC$30,'14'!$AG$25:$AG$30,$AK12,'14'!$AF$25:$AF$30,1)/COUNTIFS('14'!$AG$25:$AG$30,$AK12,'14'!$AF$25:$AF$30,1))</f>
        <v/>
      </c>
      <c r="BJ12" s="102" t="str">
        <f>IF(COUNTIFS('15'!$AG$29:$AG$34,$AK12,'15'!$AF$29:$AF$34,1)=0,"",SUMIFS('15'!$AC$29:$AC$34,'15'!$AG$29:$AG$34,$AK12,'15'!$AF$29:$AF$34,1)/COUNTIFS('15'!$AG$29:$AG$34,$AK12,'15'!$AF$29:$AF$34,1))</f>
        <v/>
      </c>
      <c r="BK12" s="102">
        <f>IF(COUNTIFS('16'!$AG$28:$AG$33,$AK12,'16'!$AF$28:$AF$33,1)=0,"",SUMIFS('16'!$AC$28:$AC$33,'16'!$AG$28:$AG$33,$AK12,'16'!$AF$28:$AF$33,1)/COUNTIFS('16'!$AG$28:$AG$33,$AK12,'16'!$AF$28:$AF$33,1))</f>
        <v>100</v>
      </c>
      <c r="BL12" s="102">
        <f>IF(COUNTIFS('17'!$AG$44:$AG$49,$AK12,'17'!$AF$44:$AF$49,1)=0,"",SUMIFS('17'!$AC$44:$AC$49,'17'!$AG$44:$AG$49,$AK12,'17'!$AF$44:$AF$49,1)/COUNTIFS('17'!$AG$44:$AG$49,$AK12,'17'!$AF$44:$AF$49,1))</f>
        <v>100</v>
      </c>
      <c r="BM12" s="102" t="str">
        <f>IF(COUNTIFS('18'!$AG$28:$AG$33,$AK12,'18'!$AF$28:$AF$33,1)=0,"",SUMIFS('18'!$AC$28:$AC$33,'18'!$AG$28:$AG$33,$AK12,'18'!$AF$28:$AF$33,1)/COUNTIFS('18'!$AG$28:$AG$33,$AK12,'18'!$AF$28:$AF$33,1))</f>
        <v/>
      </c>
      <c r="BN12" s="102" t="str">
        <f>IF(COUNTIFS('19'!$AG$25:$AG$30,$AK12,'19'!$AF$25:$AF$30,1)=0,"",SUMIFS('19'!$AC$25:$AC$30,'19'!$AG$25:$AG$30,$AK12,'19'!$AF$25:$AF$30,1)/COUNTIFS('19'!$AG$25:$AG$30,$AK12,'19'!$AF$25:$AF$30,1))</f>
        <v/>
      </c>
      <c r="BO12" s="102" t="str">
        <f>IF(COUNTIFS('20'!$AG$25:$AG$30,$AK12,'20'!$AF$25:$AF$30,1)=0,"",SUMIFS('20'!$AC$25:$AC$30,'20'!$AG$25:$AG$30,$AK12,'20'!$AF$25:$AF$30,1)/COUNTIFS('20'!$AG$25:$AG$30,$AK12,'20'!$AF$25:$AF$30,1))</f>
        <v/>
      </c>
      <c r="BP12" s="102" t="str">
        <f>IF(COUNTIFS('21'!$AG$25:$AG$30,$AK12,'21'!$AF$25:$AF$30,1)=0,"",SUMIFS('21'!$AC$25:$AC$30,'21'!$AG$25:$AG$30,$AK12,'21'!$AF$25:$AF$30,1)/COUNTIFS('21'!$AG$25:$AG$30,$AK12,'21'!$AF$25:$AF$30,1))</f>
        <v/>
      </c>
      <c r="BQ12" s="102" t="str">
        <f>IF(COUNTIFS('22'!$AG$25:$AG$30,$AK12,'22'!$AF$25:$AF$30,1)=0,"",SUMIFS('22'!$AC$25:$AC$30,'22'!$AG$25:$AG$30,$AK12,'22'!$AF$25:$AF$30,1)/COUNTIFS('22'!$AG$25:$AG$30,$AK12,'22'!$AF$25:$AF$30,1))</f>
        <v/>
      </c>
      <c r="BR12" s="102" t="str">
        <f>IF(COUNTIFS('23'!$AG$25:$AG$30,$AK12,'23'!$AF$25:$AF$30,1)=0,"",SUMIFS('23'!$AC$25:$AC$30,'23'!$AG$25:$AG$30,$AK12,'23'!$AF$25:$AF$30,1)/COUNTIFS('23'!$AG$25:$AG$30,$AK12,'23'!$AF$25:$AF$30,1))</f>
        <v/>
      </c>
      <c r="BS12" s="102" t="str">
        <f>IF(COUNTIFS('24'!$AG$25:$AG$30,$AK12,'24'!$AF$25:$AF$30,1)=0,"",SUMIFS('24'!$AC$25:$AC$30,'24'!$AG$25:$AG$30,$AK12,'24'!$AF$25:$AF$30,1)/COUNTIFS('24'!$AG$25:$AG$30,$AK12,'24'!$AF$25:$AF$30,1))</f>
        <v/>
      </c>
      <c r="BT12" s="102" t="str">
        <f>IF(COUNTIFS('25'!$AG$25:$AG$30,$AK12,'25'!$AF$25:$AF$30,1)=0,"",SUMIFS('25'!$AC$25:$AC$30,'25'!$AG$25:$AG$30,$AK12,'25'!$AF$25:$AF$30,1)/COUNTIFS('25'!$AG$25:$AG$30,$AK12,'25'!$AF$25:$AF$30,1))</f>
        <v/>
      </c>
      <c r="BU12" s="102" t="str">
        <f>IF(COUNTIFS('26'!$AG$25:$AG$30,$AK12,'26'!$AF$25:$AF$30,1)=0,"",SUMIFS('26'!$AC$25:$AC$30,'26'!$AG$25:$AG$30,$AK12,'26'!$AF$25:$AF$30,1)/COUNTIFS('26'!$AG$25:$AG$30,$AK12,'26'!$AF$25:$AF$30,1))</f>
        <v/>
      </c>
      <c r="BV12" s="102" t="str">
        <f>IF(COUNTIFS('27'!$AG$25:$AG$30,$AK12,'27'!$AF$25:$AF$30,1)=0,"",SUMIFS('27'!$AC$25:$AC$30,'27'!$AG$25:$AG$30,$AK12,'27'!$AF$25:$AF$30,1)/COUNTIFS('27'!$AG$25:$AG$30,$AK12,'27'!$AF$25:$AF$30,1))</f>
        <v/>
      </c>
      <c r="BW12" s="102" t="str">
        <f>IF(COUNTIFS('28'!$AG$25:$AG$30,$AK12,'28'!$AF$25:$AF$30,1)=0,"",SUMIFS('28'!$AC$25:$AC$30,'28'!$AG$25:$AG$30,$AK12,'28'!$AF$25:$AF$30,1)/COUNTIFS('28'!$AG$25:$AG$30,$AK12,'28'!$AF$25:$AF$30,1))</f>
        <v/>
      </c>
      <c r="BX12" s="102" t="str">
        <f>IF(COUNTIFS('29'!$AG$25:$AG$30,$AK12,'29'!$AF$25:$AF$30,1)=0,"",SUMIFS('29'!$AC$25:$AC$30,'29'!$AG$25:$AG$30,$AK12,'29'!$AF$25:$AF$30,1)/COUNTIFS('29'!$AG$25:$AG$30,$AK12,'29'!$AF$25:$AF$30,1))</f>
        <v/>
      </c>
      <c r="BY12" s="102" t="str">
        <f>IF(COUNTIFS('30'!$AG$25:$AG$30,$AK12,'30'!$AF$25:$AF$30,1)=0,"",SUMIFS('30'!$AC$25:$AC$30,'30'!$AG$25:$AG$30,$AK12,'30'!$AF$25:$AF$30,1)/COUNTIFS('30'!$AG$25:$AG$30,$AK12,'30'!$AF$25:$AF$30,1))</f>
        <v/>
      </c>
      <c r="BZ12" s="102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Studio Rent</v>
      </c>
      <c r="C13" s="208">
        <f t="shared" si="8"/>
        <v>6</v>
      </c>
      <c r="D13" s="209">
        <f t="shared" si="9"/>
        <v>0.02409638554</v>
      </c>
      <c r="E13" s="209">
        <f t="shared" si="10"/>
        <v>0.9638554217</v>
      </c>
      <c r="X13" s="102" t="s">
        <v>281</v>
      </c>
      <c r="Y13" s="102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2">
        <f t="shared" si="1"/>
        <v>2.00005</v>
      </c>
      <c r="AA13" s="102" t="s">
        <v>95</v>
      </c>
      <c r="AB13" s="102" t="s">
        <v>455</v>
      </c>
      <c r="AC13" s="102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2">
        <f t="shared" si="2"/>
        <v>0.00003</v>
      </c>
      <c r="AK13" s="102" t="s">
        <v>95</v>
      </c>
      <c r="AL13" s="102" t="s">
        <v>455</v>
      </c>
      <c r="AM13" s="102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2" t="str">
        <f t="shared" si="5"/>
        <v/>
      </c>
      <c r="AO13" s="102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2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2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2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2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2" t="str">
        <f>IF(COUNTIFS('1'!$AG$29:$AG$34,$AK13,'1'!$AF$29:$AF$34,1)=0,"",SUMIFS('1'!$AC$29:$AC$34,'1'!$AG$29:$AG$34,$AK13,'1'!$AF$29:$AF$34,1)/COUNTIFS('1'!$AG$29:$AG$34,$AK13,'1'!$AF$29:$AF$34,1))</f>
        <v/>
      </c>
      <c r="AW13" s="102" t="str">
        <f>IF(COUNTIFS('2'!$AG$27:$AG$32,$AK13,'2'!$AF$27:$AF$32,1)=0,"",SUMIFS('2'!$AC$27:$AC$32,'2'!$AG$27:$AG$32,$AK13,'2'!$AF$27:$AF$32,1)/COUNTIFS('2'!$AG$27:$AG$32,$AK13,'2'!$AF$27:$AF$32,1))</f>
        <v/>
      </c>
      <c r="AX13" s="102" t="str">
        <f>IF(COUNTIFS('3'!$AG$74:$AG$79,$AK13,'3'!$AF$74:$AF$79,1)=0,"",SUMIFS('3'!$AC$74:$AC$79,'3'!$AG$74:$AG$79,$AK13,'3'!$AF$74:$AF$79,1)/COUNTIFS('3'!$AG$74:$AG$79,$AK13,'3'!$AF$74:$AF$79,1))</f>
        <v/>
      </c>
      <c r="AY13" s="102" t="str">
        <f>IF(COUNTIFS('4'!$AG$86:$AG$91,$AK13,'4'!$AF$86:$AF$91,1)=0,"",SUMIFS('4'!$AC$86:$AC$91,'4'!$AG$86:$AG$91,$AK13,'4'!$AF$86:$AF$91,1)/COUNTIFS('4'!$AG$86:$AG$91,$AK13,'4'!$AF$86:$AF$91,1))</f>
        <v/>
      </c>
      <c r="AZ13" s="102" t="str">
        <f>IF(COUNTIFS('5'!$AG$27:$AG$32,$AK13,'5'!$AF$27:$AF$32,1)=0,"",SUMIFS('5'!$AC$27:$AC$32,'5'!$AG$27:$AG$32,$AK13,'5'!$AF$27:$AF$32,1)/COUNTIFS('5'!$AG$27:$AG$32,$AK13,'5'!$AF$27:$AF$32,1))</f>
        <v/>
      </c>
      <c r="BA13" s="102" t="str">
        <f>IF(COUNTIFS('6'!$AG$31:$AG$36,$AK13,'6'!$AF$31:$AF$36,1)=0,"",SUMIFS('6'!$AC$31:$AC$36,'6'!$AG$31:$AG$36,$AK13,'6'!$AF$31:$AF$36,1)/COUNTIFS('6'!$AG$31:$AG$36,$AK13,'6'!$AF$31:$AF$36,1))</f>
        <v/>
      </c>
      <c r="BB13" s="102" t="str">
        <f>IF(COUNTIFS('7'!$AG$30:$AG$35,$AK13,'7'!$AF$30:$AF$35,1)=0,"",SUMIFS('7'!$AC$30:$AC$35,'7'!$AG$30:$AG$35,$AK13,'7'!$AF$30:$AF$35,1)/COUNTIFS('7'!$AG$30:$AG$35,$AK13,'7'!$AF$30:$AF$35,1))</f>
        <v/>
      </c>
      <c r="BC13" s="102" t="str">
        <f>IF(COUNTIFS('8'!$AG$31:$AG$36,$AK13,'8'!$AF$31:$AF$36,1)=0,"",SUMIFS('8'!$AC$31:$AC$36,'8'!$AG$31:$AG$36,$AK13,'8'!$AF$31:$AF$36,1)/COUNTIFS('8'!$AG$31:$AG$36,$AK13,'8'!$AF$31:$AF$36,1))</f>
        <v/>
      </c>
      <c r="BD13" s="102" t="str">
        <f>IF(COUNTIFS('9'!$AG$33:$AG$38,$AK13,'9'!$AF$33:$AF$38,1)=0,"",SUMIFS('9'!$AC$33:$AC$38,'9'!$AG$33:$AG$38,$AK13,'9'!$AF$33:$AF$38,1)/COUNTIFS('9'!$AG$33:$AG$38,$AK13,'9'!$AF$33:$AF$38,1))</f>
        <v/>
      </c>
      <c r="BE13" s="102" t="str">
        <f>IF(COUNTIFS('10'!$AG$33:$AG$38,$AK13,'10'!$AF$33:$AF$38,1)=0,"",SUMIFS('10'!$AC$33:$AC$38,'10'!$AG$33:$AG$38,$AK13,'10'!$AF$33:$AF$38,1)/COUNTIFS('10'!$AG$33:$AG$38,$AK13,'10'!$AF$33:$AF$38,1))</f>
        <v/>
      </c>
      <c r="BF13" s="102" t="str">
        <f>IF(COUNTIFS('11'!$AG$29:$AG$34,$AK13,'11'!$AF$29:$AF$34,1)=0,"",SUMIFS('11'!$AC$29:$AC$34,'11'!$AG$29:$AG$34,$AK13,'11'!$AF$29:$AF$34,1)/COUNTIFS('11'!$AG$29:$AG$34,$AK13,'11'!$AF$29:$AF$34,1))</f>
        <v/>
      </c>
      <c r="BG13" s="102" t="str">
        <f>IF(COUNTIFS('12'!$AG$26:$AG$31,$AK13,'12'!$AF$26:$AF$31,1)=0,"",SUMIFS('12'!$AC$26:$AC$31,'12'!$AG$26:$AG$31,$AK13,'12'!$AF$26:$AF$31,1)/COUNTIFS('12'!$AG$26:$AG$31,$AK13,'12'!$AF$26:$AF$31,1))</f>
        <v/>
      </c>
      <c r="BH13" s="102" t="str">
        <f>IF(COUNTIFS('13'!$AG$25:$AG$30,$AK13,'13'!$AF$25:$AF$30,1)=0,"",SUMIFS('13'!$AC$25:$AC$30,'13'!$AG$25:$AG$30,$AK13,'13'!$AF$25:$AF$30,1)/COUNTIFS('13'!$AG$25:$AG$30,$AK13,'13'!$AF$25:$AF$30,1))</f>
        <v/>
      </c>
      <c r="BI13" s="102" t="str">
        <f>IF(COUNTIFS('14'!$AG$25:$AG$30,$AK13,'14'!$AF$25:$AF$30,1)=0,"",SUMIFS('14'!$AC$25:$AC$30,'14'!$AG$25:$AG$30,$AK13,'14'!$AF$25:$AF$30,1)/COUNTIFS('14'!$AG$25:$AG$30,$AK13,'14'!$AF$25:$AF$30,1))</f>
        <v/>
      </c>
      <c r="BJ13" s="102" t="str">
        <f>IF(COUNTIFS('15'!$AG$29:$AG$34,$AK13,'15'!$AF$29:$AF$34,1)=0,"",SUMIFS('15'!$AC$29:$AC$34,'15'!$AG$29:$AG$34,$AK13,'15'!$AF$29:$AF$34,1)/COUNTIFS('15'!$AG$29:$AG$34,$AK13,'15'!$AF$29:$AF$34,1))</f>
        <v/>
      </c>
      <c r="BK13" s="102" t="str">
        <f>IF(COUNTIFS('16'!$AG$28:$AG$33,$AK13,'16'!$AF$28:$AF$33,1)=0,"",SUMIFS('16'!$AC$28:$AC$33,'16'!$AG$28:$AG$33,$AK13,'16'!$AF$28:$AF$33,1)/COUNTIFS('16'!$AG$28:$AG$33,$AK13,'16'!$AF$28:$AF$33,1))</f>
        <v/>
      </c>
      <c r="BL13" s="102" t="str">
        <f>IF(COUNTIFS('17'!$AG$44:$AG$49,$AK13,'17'!$AF$44:$AF$49,1)=0,"",SUMIFS('17'!$AC$44:$AC$49,'17'!$AG$44:$AG$49,$AK13,'17'!$AF$44:$AF$49,1)/COUNTIFS('17'!$AG$44:$AG$49,$AK13,'17'!$AF$44:$AF$49,1))</f>
        <v/>
      </c>
      <c r="BM13" s="102" t="str">
        <f>IF(COUNTIFS('18'!$AG$28:$AG$33,$AK13,'18'!$AF$28:$AF$33,1)=0,"",SUMIFS('18'!$AC$28:$AC$33,'18'!$AG$28:$AG$33,$AK13,'18'!$AF$28:$AF$33,1)/COUNTIFS('18'!$AG$28:$AG$33,$AK13,'18'!$AF$28:$AF$33,1))</f>
        <v/>
      </c>
      <c r="BN13" s="102" t="str">
        <f>IF(COUNTIFS('19'!$AG$25:$AG$30,$AK13,'19'!$AF$25:$AF$30,1)=0,"",SUMIFS('19'!$AC$25:$AC$30,'19'!$AG$25:$AG$30,$AK13,'19'!$AF$25:$AF$30,1)/COUNTIFS('19'!$AG$25:$AG$30,$AK13,'19'!$AF$25:$AF$30,1))</f>
        <v/>
      </c>
      <c r="BO13" s="102" t="str">
        <f>IF(COUNTIFS('20'!$AG$25:$AG$30,$AK13,'20'!$AF$25:$AF$30,1)=0,"",SUMIFS('20'!$AC$25:$AC$30,'20'!$AG$25:$AG$30,$AK13,'20'!$AF$25:$AF$30,1)/COUNTIFS('20'!$AG$25:$AG$30,$AK13,'20'!$AF$25:$AF$30,1))</f>
        <v/>
      </c>
      <c r="BP13" s="102" t="str">
        <f>IF(COUNTIFS('21'!$AG$25:$AG$30,$AK13,'21'!$AF$25:$AF$30,1)=0,"",SUMIFS('21'!$AC$25:$AC$30,'21'!$AG$25:$AG$30,$AK13,'21'!$AF$25:$AF$30,1)/COUNTIFS('21'!$AG$25:$AG$30,$AK13,'21'!$AF$25:$AF$30,1))</f>
        <v/>
      </c>
      <c r="BQ13" s="102" t="str">
        <f>IF(COUNTIFS('22'!$AG$25:$AG$30,$AK13,'22'!$AF$25:$AF$30,1)=0,"",SUMIFS('22'!$AC$25:$AC$30,'22'!$AG$25:$AG$30,$AK13,'22'!$AF$25:$AF$30,1)/COUNTIFS('22'!$AG$25:$AG$30,$AK13,'22'!$AF$25:$AF$30,1))</f>
        <v/>
      </c>
      <c r="BR13" s="102" t="str">
        <f>IF(COUNTIFS('23'!$AG$25:$AG$30,$AK13,'23'!$AF$25:$AF$30,1)=0,"",SUMIFS('23'!$AC$25:$AC$30,'23'!$AG$25:$AG$30,$AK13,'23'!$AF$25:$AF$30,1)/COUNTIFS('23'!$AG$25:$AG$30,$AK13,'23'!$AF$25:$AF$30,1))</f>
        <v/>
      </c>
      <c r="BS13" s="102" t="str">
        <f>IF(COUNTIFS('24'!$AG$25:$AG$30,$AK13,'24'!$AF$25:$AF$30,1)=0,"",SUMIFS('24'!$AC$25:$AC$30,'24'!$AG$25:$AG$30,$AK13,'24'!$AF$25:$AF$30,1)/COUNTIFS('24'!$AG$25:$AG$30,$AK13,'24'!$AF$25:$AF$30,1))</f>
        <v/>
      </c>
      <c r="BT13" s="102" t="str">
        <f>IF(COUNTIFS('25'!$AG$25:$AG$30,$AK13,'25'!$AF$25:$AF$30,1)=0,"",SUMIFS('25'!$AC$25:$AC$30,'25'!$AG$25:$AG$30,$AK13,'25'!$AF$25:$AF$30,1)/COUNTIFS('25'!$AG$25:$AG$30,$AK13,'25'!$AF$25:$AF$30,1))</f>
        <v/>
      </c>
      <c r="BU13" s="102" t="str">
        <f>IF(COUNTIFS('26'!$AG$25:$AG$30,$AK13,'26'!$AF$25:$AF$30,1)=0,"",SUMIFS('26'!$AC$25:$AC$30,'26'!$AG$25:$AG$30,$AK13,'26'!$AF$25:$AF$30,1)/COUNTIFS('26'!$AG$25:$AG$30,$AK13,'26'!$AF$25:$AF$30,1))</f>
        <v/>
      </c>
      <c r="BV13" s="102" t="str">
        <f>IF(COUNTIFS('27'!$AG$25:$AG$30,$AK13,'27'!$AF$25:$AF$30,1)=0,"",SUMIFS('27'!$AC$25:$AC$30,'27'!$AG$25:$AG$30,$AK13,'27'!$AF$25:$AF$30,1)/COUNTIFS('27'!$AG$25:$AG$30,$AK13,'27'!$AF$25:$AF$30,1))</f>
        <v/>
      </c>
      <c r="BW13" s="102" t="str">
        <f>IF(COUNTIFS('28'!$AG$25:$AG$30,$AK13,'28'!$AF$25:$AF$30,1)=0,"",SUMIFS('28'!$AC$25:$AC$30,'28'!$AG$25:$AG$30,$AK13,'28'!$AF$25:$AF$30,1)/COUNTIFS('28'!$AG$25:$AG$30,$AK13,'28'!$AF$25:$AF$30,1))</f>
        <v/>
      </c>
      <c r="BX13" s="102" t="str">
        <f>IF(COUNTIFS('29'!$AG$25:$AG$30,$AK13,'29'!$AF$25:$AF$30,1)=0,"",SUMIFS('29'!$AC$25:$AC$30,'29'!$AG$25:$AG$30,$AK13,'29'!$AF$25:$AF$30,1)/COUNTIFS('29'!$AG$25:$AG$30,$AK13,'29'!$AF$25:$AF$30,1))</f>
        <v/>
      </c>
      <c r="BY13" s="102" t="str">
        <f>IF(COUNTIFS('30'!$AG$25:$AG$30,$AK13,'30'!$AF$25:$AF$30,1)=0,"",SUMIFS('30'!$AC$25:$AC$30,'30'!$AG$25:$AG$30,$AK13,'30'!$AF$25:$AF$30,1)/COUNTIFS('30'!$AG$25:$AG$30,$AK13,'30'!$AF$25:$AF$30,1))</f>
        <v/>
      </c>
      <c r="BZ13" s="102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Family A</v>
      </c>
      <c r="C14" s="208">
        <f t="shared" si="8"/>
        <v>5</v>
      </c>
      <c r="D14" s="209">
        <f t="shared" si="9"/>
        <v>0.02008032129</v>
      </c>
      <c r="E14" s="209">
        <f t="shared" si="10"/>
        <v>0.983935743</v>
      </c>
      <c r="X14" s="102" t="s">
        <v>22</v>
      </c>
      <c r="Y14" s="102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2">
        <f t="shared" si="1"/>
        <v>9.00004</v>
      </c>
      <c r="AA14" s="102" t="s">
        <v>456</v>
      </c>
      <c r="AB14" s="102" t="s">
        <v>455</v>
      </c>
      <c r="AC14" s="102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2">
        <f t="shared" si="2"/>
        <v>0.00002</v>
      </c>
      <c r="AK14" s="102" t="s">
        <v>456</v>
      </c>
      <c r="AL14" s="102" t="s">
        <v>455</v>
      </c>
      <c r="AM14" s="102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2" t="str">
        <f t="shared" si="5"/>
        <v/>
      </c>
      <c r="AO14" s="102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2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2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2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2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2" t="str">
        <f>IF(COUNTIFS('1'!$AG$29:$AG$34,$AK14,'1'!$AF$29:$AF$34,1)=0,"",SUMIFS('1'!$AC$29:$AC$34,'1'!$AG$29:$AG$34,$AK14,'1'!$AF$29:$AF$34,1)/COUNTIFS('1'!$AG$29:$AG$34,$AK14,'1'!$AF$29:$AF$34,1))</f>
        <v/>
      </c>
      <c r="AW14" s="102" t="str">
        <f>IF(COUNTIFS('2'!$AG$27:$AG$32,$AK14,'2'!$AF$27:$AF$32,1)=0,"",SUMIFS('2'!$AC$27:$AC$32,'2'!$AG$27:$AG$32,$AK14,'2'!$AF$27:$AF$32,1)/COUNTIFS('2'!$AG$27:$AG$32,$AK14,'2'!$AF$27:$AF$32,1))</f>
        <v/>
      </c>
      <c r="AX14" s="102" t="str">
        <f>IF(COUNTIFS('3'!$AG$74:$AG$79,$AK14,'3'!$AF$74:$AF$79,1)=0,"",SUMIFS('3'!$AC$74:$AC$79,'3'!$AG$74:$AG$79,$AK14,'3'!$AF$74:$AF$79,1)/COUNTIFS('3'!$AG$74:$AG$79,$AK14,'3'!$AF$74:$AF$79,1))</f>
        <v/>
      </c>
      <c r="AY14" s="102" t="str">
        <f>IF(COUNTIFS('4'!$AG$86:$AG$91,$AK14,'4'!$AF$86:$AF$91,1)=0,"",SUMIFS('4'!$AC$86:$AC$91,'4'!$AG$86:$AG$91,$AK14,'4'!$AF$86:$AF$91,1)/COUNTIFS('4'!$AG$86:$AG$91,$AK14,'4'!$AF$86:$AF$91,1))</f>
        <v/>
      </c>
      <c r="AZ14" s="102" t="str">
        <f>IF(COUNTIFS('5'!$AG$27:$AG$32,$AK14,'5'!$AF$27:$AF$32,1)=0,"",SUMIFS('5'!$AC$27:$AC$32,'5'!$AG$27:$AG$32,$AK14,'5'!$AF$27:$AF$32,1)/COUNTIFS('5'!$AG$27:$AG$32,$AK14,'5'!$AF$27:$AF$32,1))</f>
        <v/>
      </c>
      <c r="BA14" s="102" t="str">
        <f>IF(COUNTIFS('6'!$AG$31:$AG$36,$AK14,'6'!$AF$31:$AF$36,1)=0,"",SUMIFS('6'!$AC$31:$AC$36,'6'!$AG$31:$AG$36,$AK14,'6'!$AF$31:$AF$36,1)/COUNTIFS('6'!$AG$31:$AG$36,$AK14,'6'!$AF$31:$AF$36,1))</f>
        <v/>
      </c>
      <c r="BB14" s="102" t="str">
        <f>IF(COUNTIFS('7'!$AG$30:$AG$35,$AK14,'7'!$AF$30:$AF$35,1)=0,"",SUMIFS('7'!$AC$30:$AC$35,'7'!$AG$30:$AG$35,$AK14,'7'!$AF$30:$AF$35,1)/COUNTIFS('7'!$AG$30:$AG$35,$AK14,'7'!$AF$30:$AF$35,1))</f>
        <v/>
      </c>
      <c r="BC14" s="102" t="str">
        <f>IF(COUNTIFS('8'!$AG$31:$AG$36,$AK14,'8'!$AF$31:$AF$36,1)=0,"",SUMIFS('8'!$AC$31:$AC$36,'8'!$AG$31:$AG$36,$AK14,'8'!$AF$31:$AF$36,1)/COUNTIFS('8'!$AG$31:$AG$36,$AK14,'8'!$AF$31:$AF$36,1))</f>
        <v/>
      </c>
      <c r="BD14" s="102" t="str">
        <f>IF(COUNTIFS('9'!$AG$33:$AG$38,$AK14,'9'!$AF$33:$AF$38,1)=0,"",SUMIFS('9'!$AC$33:$AC$38,'9'!$AG$33:$AG$38,$AK14,'9'!$AF$33:$AF$38,1)/COUNTIFS('9'!$AG$33:$AG$38,$AK14,'9'!$AF$33:$AF$38,1))</f>
        <v/>
      </c>
      <c r="BE14" s="102" t="str">
        <f>IF(COUNTIFS('10'!$AG$33:$AG$38,$AK14,'10'!$AF$33:$AF$38,1)=0,"",SUMIFS('10'!$AC$33:$AC$38,'10'!$AG$33:$AG$38,$AK14,'10'!$AF$33:$AF$38,1)/COUNTIFS('10'!$AG$33:$AG$38,$AK14,'10'!$AF$33:$AF$38,1))</f>
        <v/>
      </c>
      <c r="BF14" s="102" t="str">
        <f>IF(COUNTIFS('11'!$AG$29:$AG$34,$AK14,'11'!$AF$29:$AF$34,1)=0,"",SUMIFS('11'!$AC$29:$AC$34,'11'!$AG$29:$AG$34,$AK14,'11'!$AF$29:$AF$34,1)/COUNTIFS('11'!$AG$29:$AG$34,$AK14,'11'!$AF$29:$AF$34,1))</f>
        <v/>
      </c>
      <c r="BG14" s="102" t="str">
        <f>IF(COUNTIFS('12'!$AG$26:$AG$31,$AK14,'12'!$AF$26:$AF$31,1)=0,"",SUMIFS('12'!$AC$26:$AC$31,'12'!$AG$26:$AG$31,$AK14,'12'!$AF$26:$AF$31,1)/COUNTIFS('12'!$AG$26:$AG$31,$AK14,'12'!$AF$26:$AF$31,1))</f>
        <v/>
      </c>
      <c r="BH14" s="102" t="str">
        <f>IF(COUNTIFS('13'!$AG$25:$AG$30,$AK14,'13'!$AF$25:$AF$30,1)=0,"",SUMIFS('13'!$AC$25:$AC$30,'13'!$AG$25:$AG$30,$AK14,'13'!$AF$25:$AF$30,1)/COUNTIFS('13'!$AG$25:$AG$30,$AK14,'13'!$AF$25:$AF$30,1))</f>
        <v/>
      </c>
      <c r="BI14" s="102" t="str">
        <f>IF(COUNTIFS('14'!$AG$25:$AG$30,$AK14,'14'!$AF$25:$AF$30,1)=0,"",SUMIFS('14'!$AC$25:$AC$30,'14'!$AG$25:$AG$30,$AK14,'14'!$AF$25:$AF$30,1)/COUNTIFS('14'!$AG$25:$AG$30,$AK14,'14'!$AF$25:$AF$30,1))</f>
        <v/>
      </c>
      <c r="BJ14" s="102" t="str">
        <f>IF(COUNTIFS('15'!$AG$29:$AG$34,$AK14,'15'!$AF$29:$AF$34,1)=0,"",SUMIFS('15'!$AC$29:$AC$34,'15'!$AG$29:$AG$34,$AK14,'15'!$AF$29:$AF$34,1)/COUNTIFS('15'!$AG$29:$AG$34,$AK14,'15'!$AF$29:$AF$34,1))</f>
        <v/>
      </c>
      <c r="BK14" s="102" t="str">
        <f>IF(COUNTIFS('16'!$AG$28:$AG$33,$AK14,'16'!$AF$28:$AF$33,1)=0,"",SUMIFS('16'!$AC$28:$AC$33,'16'!$AG$28:$AG$33,$AK14,'16'!$AF$28:$AF$33,1)/COUNTIFS('16'!$AG$28:$AG$33,$AK14,'16'!$AF$28:$AF$33,1))</f>
        <v/>
      </c>
      <c r="BL14" s="102" t="str">
        <f>IF(COUNTIFS('17'!$AG$44:$AG$49,$AK14,'17'!$AF$44:$AF$49,1)=0,"",SUMIFS('17'!$AC$44:$AC$49,'17'!$AG$44:$AG$49,$AK14,'17'!$AF$44:$AF$49,1)/COUNTIFS('17'!$AG$44:$AG$49,$AK14,'17'!$AF$44:$AF$49,1))</f>
        <v/>
      </c>
      <c r="BM14" s="102" t="str">
        <f>IF(COUNTIFS('18'!$AG$28:$AG$33,$AK14,'18'!$AF$28:$AF$33,1)=0,"",SUMIFS('18'!$AC$28:$AC$33,'18'!$AG$28:$AG$33,$AK14,'18'!$AF$28:$AF$33,1)/COUNTIFS('18'!$AG$28:$AG$33,$AK14,'18'!$AF$28:$AF$33,1))</f>
        <v/>
      </c>
      <c r="BN14" s="102" t="str">
        <f>IF(COUNTIFS('19'!$AG$25:$AG$30,$AK14,'19'!$AF$25:$AF$30,1)=0,"",SUMIFS('19'!$AC$25:$AC$30,'19'!$AG$25:$AG$30,$AK14,'19'!$AF$25:$AF$30,1)/COUNTIFS('19'!$AG$25:$AG$30,$AK14,'19'!$AF$25:$AF$30,1))</f>
        <v/>
      </c>
      <c r="BO14" s="102" t="str">
        <f>IF(COUNTIFS('20'!$AG$25:$AG$30,$AK14,'20'!$AF$25:$AF$30,1)=0,"",SUMIFS('20'!$AC$25:$AC$30,'20'!$AG$25:$AG$30,$AK14,'20'!$AF$25:$AF$30,1)/COUNTIFS('20'!$AG$25:$AG$30,$AK14,'20'!$AF$25:$AF$30,1))</f>
        <v/>
      </c>
      <c r="BP14" s="102" t="str">
        <f>IF(COUNTIFS('21'!$AG$25:$AG$30,$AK14,'21'!$AF$25:$AF$30,1)=0,"",SUMIFS('21'!$AC$25:$AC$30,'21'!$AG$25:$AG$30,$AK14,'21'!$AF$25:$AF$30,1)/COUNTIFS('21'!$AG$25:$AG$30,$AK14,'21'!$AF$25:$AF$30,1))</f>
        <v/>
      </c>
      <c r="BQ14" s="102" t="str">
        <f>IF(COUNTIFS('22'!$AG$25:$AG$30,$AK14,'22'!$AF$25:$AF$30,1)=0,"",SUMIFS('22'!$AC$25:$AC$30,'22'!$AG$25:$AG$30,$AK14,'22'!$AF$25:$AF$30,1)/COUNTIFS('22'!$AG$25:$AG$30,$AK14,'22'!$AF$25:$AF$30,1))</f>
        <v/>
      </c>
      <c r="BR14" s="102" t="str">
        <f>IF(COUNTIFS('23'!$AG$25:$AG$30,$AK14,'23'!$AF$25:$AF$30,1)=0,"",SUMIFS('23'!$AC$25:$AC$30,'23'!$AG$25:$AG$30,$AK14,'23'!$AF$25:$AF$30,1)/COUNTIFS('23'!$AG$25:$AG$30,$AK14,'23'!$AF$25:$AF$30,1))</f>
        <v/>
      </c>
      <c r="BS14" s="102" t="str">
        <f>IF(COUNTIFS('24'!$AG$25:$AG$30,$AK14,'24'!$AF$25:$AF$30,1)=0,"",SUMIFS('24'!$AC$25:$AC$30,'24'!$AG$25:$AG$30,$AK14,'24'!$AF$25:$AF$30,1)/COUNTIFS('24'!$AG$25:$AG$30,$AK14,'24'!$AF$25:$AF$30,1))</f>
        <v/>
      </c>
      <c r="BT14" s="102" t="str">
        <f>IF(COUNTIFS('25'!$AG$25:$AG$30,$AK14,'25'!$AF$25:$AF$30,1)=0,"",SUMIFS('25'!$AC$25:$AC$30,'25'!$AG$25:$AG$30,$AK14,'25'!$AF$25:$AF$30,1)/COUNTIFS('25'!$AG$25:$AG$30,$AK14,'25'!$AF$25:$AF$30,1))</f>
        <v/>
      </c>
      <c r="BU14" s="102" t="str">
        <f>IF(COUNTIFS('26'!$AG$25:$AG$30,$AK14,'26'!$AF$25:$AF$30,1)=0,"",SUMIFS('26'!$AC$25:$AC$30,'26'!$AG$25:$AG$30,$AK14,'26'!$AF$25:$AF$30,1)/COUNTIFS('26'!$AG$25:$AG$30,$AK14,'26'!$AF$25:$AF$30,1))</f>
        <v/>
      </c>
      <c r="BV14" s="102" t="str">
        <f>IF(COUNTIFS('27'!$AG$25:$AG$30,$AK14,'27'!$AF$25:$AF$30,1)=0,"",SUMIFS('27'!$AC$25:$AC$30,'27'!$AG$25:$AG$30,$AK14,'27'!$AF$25:$AF$30,1)/COUNTIFS('27'!$AG$25:$AG$30,$AK14,'27'!$AF$25:$AF$30,1))</f>
        <v/>
      </c>
      <c r="BW14" s="102" t="str">
        <f>IF(COUNTIFS('28'!$AG$25:$AG$30,$AK14,'28'!$AF$25:$AF$30,1)=0,"",SUMIFS('28'!$AC$25:$AC$30,'28'!$AG$25:$AG$30,$AK14,'28'!$AF$25:$AF$30,1)/COUNTIFS('28'!$AG$25:$AG$30,$AK14,'28'!$AF$25:$AF$30,1))</f>
        <v/>
      </c>
      <c r="BX14" s="102" t="str">
        <f>IF(COUNTIFS('29'!$AG$25:$AG$30,$AK14,'29'!$AF$25:$AF$30,1)=0,"",SUMIFS('29'!$AC$25:$AC$30,'29'!$AG$25:$AG$30,$AK14,'29'!$AF$25:$AF$30,1)/COUNTIFS('29'!$AG$25:$AG$30,$AK14,'29'!$AF$25:$AF$30,1))</f>
        <v/>
      </c>
      <c r="BY14" s="102" t="str">
        <f>IF(COUNTIFS('30'!$AG$25:$AG$30,$AK14,'30'!$AF$25:$AF$30,1)=0,"",SUMIFS('30'!$AC$25:$AC$30,'30'!$AG$25:$AG$30,$AK14,'30'!$AF$25:$AF$30,1)/COUNTIFS('30'!$AG$25:$AG$30,$AK14,'30'!$AF$25:$AF$30,1))</f>
        <v/>
      </c>
      <c r="BZ14" s="102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0.008032128514</v>
      </c>
      <c r="E15" s="209">
        <f t="shared" si="10"/>
        <v>0.9919678715</v>
      </c>
      <c r="X15" s="102" t="s">
        <v>73</v>
      </c>
      <c r="Y15" s="102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6</v>
      </c>
      <c r="Z15" s="102">
        <f t="shared" si="1"/>
        <v>6.00003</v>
      </c>
      <c r="AA15" s="102" t="s">
        <v>60</v>
      </c>
      <c r="AB15" s="102" t="s">
        <v>455</v>
      </c>
      <c r="AC15" s="102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17</v>
      </c>
      <c r="AD15" s="102">
        <f t="shared" si="2"/>
        <v>17.00001</v>
      </c>
      <c r="AK15" s="102" t="s">
        <v>60</v>
      </c>
      <c r="AL15" s="102" t="s">
        <v>455</v>
      </c>
      <c r="AM15" s="102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102">
        <f t="shared" si="5"/>
        <v>100</v>
      </c>
      <c r="AO15" s="102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2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2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2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2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2" t="str">
        <f>IF(COUNTIFS('1'!$AG$29:$AG$34,$AK15,'1'!$AF$29:$AF$34,1)=0,"",SUMIFS('1'!$AC$29:$AC$34,'1'!$AG$29:$AG$34,$AK15,'1'!$AF$29:$AF$34,1)/COUNTIFS('1'!$AG$29:$AG$34,$AK15,'1'!$AF$29:$AF$34,1))</f>
        <v/>
      </c>
      <c r="AW15" s="102">
        <f>IF(COUNTIFS('2'!$AG$27:$AG$32,$AK15,'2'!$AF$27:$AF$32,1)=0,"",SUMIFS('2'!$AC$27:$AC$32,'2'!$AG$27:$AG$32,$AK15,'2'!$AF$27:$AF$32,1)/COUNTIFS('2'!$AG$27:$AG$32,$AK15,'2'!$AF$27:$AF$32,1))</f>
        <v>100</v>
      </c>
      <c r="AX15" s="102">
        <f>IF(COUNTIFS('3'!$AG$74:$AG$79,$AK15,'3'!$AF$74:$AF$79,1)=0,"",SUMIFS('3'!$AC$74:$AC$79,'3'!$AG$74:$AG$79,$AK15,'3'!$AF$74:$AF$79,1)/COUNTIFS('3'!$AG$74:$AG$79,$AK15,'3'!$AF$74:$AF$79,1))</f>
        <v>100</v>
      </c>
      <c r="AY15" s="102">
        <f>IF(COUNTIFS('4'!$AG$86:$AG$91,$AK15,'4'!$AF$86:$AF$91,1)=0,"",SUMIFS('4'!$AC$86:$AC$91,'4'!$AG$86:$AG$91,$AK15,'4'!$AF$86:$AF$91,1)/COUNTIFS('4'!$AG$86:$AG$91,$AK15,'4'!$AF$86:$AF$91,1))</f>
        <v>100</v>
      </c>
      <c r="AZ15" s="102">
        <f>IF(COUNTIFS('5'!$AG$27:$AG$32,$AK15,'5'!$AF$27:$AF$32,1)=0,"",SUMIFS('5'!$AC$27:$AC$32,'5'!$AG$27:$AG$32,$AK15,'5'!$AF$27:$AF$32,1)/COUNTIFS('5'!$AG$27:$AG$32,$AK15,'5'!$AF$27:$AF$32,1))</f>
        <v>100</v>
      </c>
      <c r="BA15" s="102">
        <f>IF(COUNTIFS('6'!$AG$31:$AG$36,$AK15,'6'!$AF$31:$AF$36,1)=0,"",SUMIFS('6'!$AC$31:$AC$36,'6'!$AG$31:$AG$36,$AK15,'6'!$AF$31:$AF$36,1)/COUNTIFS('6'!$AG$31:$AG$36,$AK15,'6'!$AF$31:$AF$36,1))</f>
        <v>100</v>
      </c>
      <c r="BB15" s="102">
        <f>IF(COUNTIFS('7'!$AG$30:$AG$35,$AK15,'7'!$AF$30:$AF$35,1)=0,"",SUMIFS('7'!$AC$30:$AC$35,'7'!$AG$30:$AG$35,$AK15,'7'!$AF$30:$AF$35,1)/COUNTIFS('7'!$AG$30:$AG$35,$AK15,'7'!$AF$30:$AF$35,1))</f>
        <v>100</v>
      </c>
      <c r="BC15" s="102">
        <f>IF(COUNTIFS('8'!$AG$31:$AG$36,$AK15,'8'!$AF$31:$AF$36,1)=0,"",SUMIFS('8'!$AC$31:$AC$36,'8'!$AG$31:$AG$36,$AK15,'8'!$AF$31:$AF$36,1)/COUNTIFS('8'!$AG$31:$AG$36,$AK15,'8'!$AF$31:$AF$36,1))</f>
        <v>100</v>
      </c>
      <c r="BD15" s="102" t="str">
        <f>IF(COUNTIFS('9'!$AG$33:$AG$38,$AK15,'9'!$AF$33:$AF$38,1)=0,"",SUMIFS('9'!$AC$33:$AC$38,'9'!$AG$33:$AG$38,$AK15,'9'!$AF$33:$AF$38,1)/COUNTIFS('9'!$AG$33:$AG$38,$AK15,'9'!$AF$33:$AF$38,1))</f>
        <v/>
      </c>
      <c r="BE15" s="102">
        <f>IF(COUNTIFS('10'!$AG$33:$AG$38,$AK15,'10'!$AF$33:$AF$38,1)=0,"",SUMIFS('10'!$AC$33:$AC$38,'10'!$AG$33:$AG$38,$AK15,'10'!$AF$33:$AF$38,1)/COUNTIFS('10'!$AG$33:$AG$38,$AK15,'10'!$AF$33:$AF$38,1))</f>
        <v>100</v>
      </c>
      <c r="BF15" s="102">
        <f>IF(COUNTIFS('11'!$AG$29:$AG$34,$AK15,'11'!$AF$29:$AF$34,1)=0,"",SUMIFS('11'!$AC$29:$AC$34,'11'!$AG$29:$AG$34,$AK15,'11'!$AF$29:$AF$34,1)/COUNTIFS('11'!$AG$29:$AG$34,$AK15,'11'!$AF$29:$AF$34,1))</f>
        <v>100</v>
      </c>
      <c r="BG15" s="102">
        <f>IF(COUNTIFS('12'!$AG$26:$AG$31,$AK15,'12'!$AF$26:$AF$31,1)=0,"",SUMIFS('12'!$AC$26:$AC$31,'12'!$AG$26:$AG$31,$AK15,'12'!$AF$26:$AF$31,1)/COUNTIFS('12'!$AG$26:$AG$31,$AK15,'12'!$AF$26:$AF$31,1))</f>
        <v>100</v>
      </c>
      <c r="BH15" s="102">
        <f>IF(COUNTIFS('13'!$AG$25:$AG$30,$AK15,'13'!$AF$25:$AF$30,1)=0,"",SUMIFS('13'!$AC$25:$AC$30,'13'!$AG$25:$AG$30,$AK15,'13'!$AF$25:$AF$30,1)/COUNTIFS('13'!$AG$25:$AG$30,$AK15,'13'!$AF$25:$AF$30,1))</f>
        <v>100</v>
      </c>
      <c r="BI15" s="102" t="str">
        <f>IF(COUNTIFS('14'!$AG$25:$AG$30,$AK15,'14'!$AF$25:$AF$30,1)=0,"",SUMIFS('14'!$AC$25:$AC$30,'14'!$AG$25:$AG$30,$AK15,'14'!$AF$25:$AF$30,1)/COUNTIFS('14'!$AG$25:$AG$30,$AK15,'14'!$AF$25:$AF$30,1))</f>
        <v/>
      </c>
      <c r="BJ15" s="102">
        <f>IF(COUNTIFS('15'!$AG$29:$AG$34,$AK15,'15'!$AF$29:$AF$34,1)=0,"",SUMIFS('15'!$AC$29:$AC$34,'15'!$AG$29:$AG$34,$AK15,'15'!$AF$29:$AF$34,1)/COUNTIFS('15'!$AG$29:$AG$34,$AK15,'15'!$AF$29:$AF$34,1))</f>
        <v>100</v>
      </c>
      <c r="BK15" s="102" t="str">
        <f>IF(COUNTIFS('16'!$AG$28:$AG$33,$AK15,'16'!$AF$28:$AF$33,1)=0,"",SUMIFS('16'!$AC$28:$AC$33,'16'!$AG$28:$AG$33,$AK15,'16'!$AF$28:$AF$33,1)/COUNTIFS('16'!$AG$28:$AG$33,$AK15,'16'!$AF$28:$AF$33,1))</f>
        <v/>
      </c>
      <c r="BL15" s="102">
        <f>IF(COUNTIFS('17'!$AG$44:$AG$49,$AK15,'17'!$AF$44:$AF$49,1)=0,"",SUMIFS('17'!$AC$44:$AC$49,'17'!$AG$44:$AG$49,$AK15,'17'!$AF$44:$AF$49,1)/COUNTIFS('17'!$AG$44:$AG$49,$AK15,'17'!$AF$44:$AF$49,1))</f>
        <v>100</v>
      </c>
      <c r="BM15" s="102" t="str">
        <f>IF(COUNTIFS('18'!$AG$28:$AG$33,$AK15,'18'!$AF$28:$AF$33,1)=0,"",SUMIFS('18'!$AC$28:$AC$33,'18'!$AG$28:$AG$33,$AK15,'18'!$AF$28:$AF$33,1)/COUNTIFS('18'!$AG$28:$AG$33,$AK15,'18'!$AF$28:$AF$33,1))</f>
        <v/>
      </c>
      <c r="BN15" s="102" t="str">
        <f>IF(COUNTIFS('19'!$AG$25:$AG$30,$AK15,'19'!$AF$25:$AF$30,1)=0,"",SUMIFS('19'!$AC$25:$AC$30,'19'!$AG$25:$AG$30,$AK15,'19'!$AF$25:$AF$30,1)/COUNTIFS('19'!$AG$25:$AG$30,$AK15,'19'!$AF$25:$AF$30,1))</f>
        <v/>
      </c>
      <c r="BO15" s="102" t="str">
        <f>IF(COUNTIFS('20'!$AG$25:$AG$30,$AK15,'20'!$AF$25:$AF$30,1)=0,"",SUMIFS('20'!$AC$25:$AC$30,'20'!$AG$25:$AG$30,$AK15,'20'!$AF$25:$AF$30,1)/COUNTIFS('20'!$AG$25:$AG$30,$AK15,'20'!$AF$25:$AF$30,1))</f>
        <v/>
      </c>
      <c r="BP15" s="102" t="str">
        <f>IF(COUNTIFS('21'!$AG$25:$AG$30,$AK15,'21'!$AF$25:$AF$30,1)=0,"",SUMIFS('21'!$AC$25:$AC$30,'21'!$AG$25:$AG$30,$AK15,'21'!$AF$25:$AF$30,1)/COUNTIFS('21'!$AG$25:$AG$30,$AK15,'21'!$AF$25:$AF$30,1))</f>
        <v/>
      </c>
      <c r="BQ15" s="102" t="str">
        <f>IF(COUNTIFS('22'!$AG$25:$AG$30,$AK15,'22'!$AF$25:$AF$30,1)=0,"",SUMIFS('22'!$AC$25:$AC$30,'22'!$AG$25:$AG$30,$AK15,'22'!$AF$25:$AF$30,1)/COUNTIFS('22'!$AG$25:$AG$30,$AK15,'22'!$AF$25:$AF$30,1))</f>
        <v/>
      </c>
      <c r="BR15" s="102" t="str">
        <f>IF(COUNTIFS('23'!$AG$25:$AG$30,$AK15,'23'!$AF$25:$AF$30,1)=0,"",SUMIFS('23'!$AC$25:$AC$30,'23'!$AG$25:$AG$30,$AK15,'23'!$AF$25:$AF$30,1)/COUNTIFS('23'!$AG$25:$AG$30,$AK15,'23'!$AF$25:$AF$30,1))</f>
        <v/>
      </c>
      <c r="BS15" s="102" t="str">
        <f>IF(COUNTIFS('24'!$AG$25:$AG$30,$AK15,'24'!$AF$25:$AF$30,1)=0,"",SUMIFS('24'!$AC$25:$AC$30,'24'!$AG$25:$AG$30,$AK15,'24'!$AF$25:$AF$30,1)/COUNTIFS('24'!$AG$25:$AG$30,$AK15,'24'!$AF$25:$AF$30,1))</f>
        <v/>
      </c>
      <c r="BT15" s="102" t="str">
        <f>IF(COUNTIFS('25'!$AG$25:$AG$30,$AK15,'25'!$AF$25:$AF$30,1)=0,"",SUMIFS('25'!$AC$25:$AC$30,'25'!$AG$25:$AG$30,$AK15,'25'!$AF$25:$AF$30,1)/COUNTIFS('25'!$AG$25:$AG$30,$AK15,'25'!$AF$25:$AF$30,1))</f>
        <v/>
      </c>
      <c r="BU15" s="102" t="str">
        <f>IF(COUNTIFS('26'!$AG$25:$AG$30,$AK15,'26'!$AF$25:$AF$30,1)=0,"",SUMIFS('26'!$AC$25:$AC$30,'26'!$AG$25:$AG$30,$AK15,'26'!$AF$25:$AF$30,1)/COUNTIFS('26'!$AG$25:$AG$30,$AK15,'26'!$AF$25:$AF$30,1))</f>
        <v/>
      </c>
      <c r="BV15" s="102" t="str">
        <f>IF(COUNTIFS('27'!$AG$25:$AG$30,$AK15,'27'!$AF$25:$AF$30,1)=0,"",SUMIFS('27'!$AC$25:$AC$30,'27'!$AG$25:$AG$30,$AK15,'27'!$AF$25:$AF$30,1)/COUNTIFS('27'!$AG$25:$AG$30,$AK15,'27'!$AF$25:$AF$30,1))</f>
        <v/>
      </c>
      <c r="BW15" s="102" t="str">
        <f>IF(COUNTIFS('28'!$AG$25:$AG$30,$AK15,'28'!$AF$25:$AF$30,1)=0,"",SUMIFS('28'!$AC$25:$AC$30,'28'!$AG$25:$AG$30,$AK15,'28'!$AF$25:$AF$30,1)/COUNTIFS('28'!$AG$25:$AG$30,$AK15,'28'!$AF$25:$AF$30,1))</f>
        <v/>
      </c>
      <c r="BX15" s="102" t="str">
        <f>IF(COUNTIFS('29'!$AG$25:$AG$30,$AK15,'29'!$AF$25:$AF$30,1)=0,"",SUMIFS('29'!$AC$25:$AC$30,'29'!$AG$25:$AG$30,$AK15,'29'!$AF$25:$AF$30,1)/COUNTIFS('29'!$AG$25:$AG$30,$AK15,'29'!$AF$25:$AF$30,1))</f>
        <v/>
      </c>
      <c r="BY15" s="102" t="str">
        <f>IF(COUNTIFS('30'!$AG$25:$AG$30,$AK15,'30'!$AF$25:$AF$30,1)=0,"",SUMIFS('30'!$AC$25:$AC$30,'30'!$AG$25:$AG$30,$AK15,'30'!$AF$25:$AF$30,1)/COUNTIFS('30'!$AG$25:$AG$30,$AK15,'30'!$AF$25:$AF$30,1))</f>
        <v/>
      </c>
      <c r="BZ15" s="102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0.004016064257</v>
      </c>
      <c r="E16" s="209">
        <f t="shared" si="10"/>
        <v>0.9959839357</v>
      </c>
      <c r="X16" s="102" t="s">
        <v>458</v>
      </c>
      <c r="Y16" s="102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2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0.004016064257</v>
      </c>
      <c r="E17" s="209">
        <f t="shared" si="10"/>
        <v>1</v>
      </c>
      <c r="X17" s="102" t="s">
        <v>63</v>
      </c>
      <c r="Y17" s="102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2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102">
        <f t="shared" ref="AV18:BZ18" si="11">IF(COUNT(AV5:AV15)=0,"",AVERAGE(AV5:AV15))</f>
        <v>88</v>
      </c>
      <c r="AW18" s="102">
        <f t="shared" si="11"/>
        <v>100</v>
      </c>
      <c r="AX18" s="102">
        <f t="shared" si="11"/>
        <v>100</v>
      </c>
      <c r="AY18" s="102">
        <f t="shared" si="11"/>
        <v>100</v>
      </c>
      <c r="AZ18" s="102">
        <f t="shared" si="11"/>
        <v>100</v>
      </c>
      <c r="BA18" s="102">
        <f t="shared" si="11"/>
        <v>95.75</v>
      </c>
      <c r="BB18" s="102">
        <f t="shared" si="11"/>
        <v>100</v>
      </c>
      <c r="BC18" s="102">
        <f t="shared" si="11"/>
        <v>97.33333333</v>
      </c>
      <c r="BD18" s="102">
        <f t="shared" si="11"/>
        <v>96</v>
      </c>
      <c r="BE18" s="102">
        <f t="shared" si="11"/>
        <v>100</v>
      </c>
      <c r="BF18" s="102">
        <f t="shared" si="11"/>
        <v>100</v>
      </c>
      <c r="BG18" s="102">
        <f t="shared" si="11"/>
        <v>100</v>
      </c>
      <c r="BH18" s="102">
        <f t="shared" si="11"/>
        <v>100</v>
      </c>
      <c r="BI18" s="102" t="str">
        <f t="shared" si="11"/>
        <v/>
      </c>
      <c r="BJ18" s="102">
        <f t="shared" si="11"/>
        <v>100</v>
      </c>
      <c r="BK18" s="102">
        <f t="shared" si="11"/>
        <v>100</v>
      </c>
      <c r="BL18" s="102">
        <f t="shared" si="11"/>
        <v>100</v>
      </c>
      <c r="BM18" s="102" t="str">
        <f t="shared" si="11"/>
        <v/>
      </c>
      <c r="BN18" s="102" t="str">
        <f t="shared" si="11"/>
        <v/>
      </c>
      <c r="BO18" s="102" t="str">
        <f t="shared" si="11"/>
        <v/>
      </c>
      <c r="BP18" s="102" t="str">
        <f t="shared" si="11"/>
        <v/>
      </c>
      <c r="BQ18" s="102" t="str">
        <f t="shared" si="11"/>
        <v/>
      </c>
      <c r="BR18" s="102" t="str">
        <f t="shared" si="11"/>
        <v/>
      </c>
      <c r="BS18" s="102" t="str">
        <f t="shared" si="11"/>
        <v/>
      </c>
      <c r="BT18" s="102" t="str">
        <f t="shared" si="11"/>
        <v/>
      </c>
      <c r="BU18" s="102" t="str">
        <f t="shared" si="11"/>
        <v/>
      </c>
      <c r="BV18" s="102" t="str">
        <f t="shared" si="11"/>
        <v/>
      </c>
      <c r="BW18" s="102" t="str">
        <f t="shared" si="11"/>
        <v/>
      </c>
      <c r="BX18" s="102" t="str">
        <f t="shared" si="11"/>
        <v/>
      </c>
      <c r="BY18" s="102" t="str">
        <f t="shared" si="11"/>
        <v/>
      </c>
      <c r="BZ18" s="102" t="str">
        <f t="shared" si="11"/>
        <v/>
      </c>
    </row>
    <row r="19">
      <c r="A19" s="208" t="s">
        <v>459</v>
      </c>
      <c r="C19" s="208">
        <f>SUM(C6:C18)</f>
        <v>249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205" t="s">
        <v>460</v>
      </c>
      <c r="F23" s="205" t="s">
        <v>461</v>
      </c>
    </row>
    <row r="24" ht="15.75" customHeight="1">
      <c r="A24" s="206" t="s">
        <v>1</v>
      </c>
      <c r="B24" s="206" t="s">
        <v>462</v>
      </c>
      <c r="C24" s="206" t="s">
        <v>463</v>
      </c>
      <c r="D24" s="206" t="s">
        <v>464</v>
      </c>
      <c r="F24" s="206" t="s">
        <v>439</v>
      </c>
      <c r="G24" s="206" t="s">
        <v>7</v>
      </c>
      <c r="H24" s="206" t="s">
        <v>465</v>
      </c>
      <c r="I24" s="206" t="s">
        <v>466</v>
      </c>
    </row>
    <row r="25" ht="15.75" customHeight="1">
      <c r="A25" s="208" t="str">
        <f t="array" ref="A25">IF(LARGE($AC$5:$AC$15,1)=0,"",INDEX($AA$5:$AA$15,MATCH(LARGE($AD$5:$AD$15,1),$AD$5:$AD$15,0)))</f>
        <v>INDAH</v>
      </c>
      <c r="B25" s="208" t="str">
        <f t="shared" ref="B25:B35" si="12">IF(A25="","",INDEX($AB$5:$AB$15,MATCH(A25,$AA$5:$AA$15,0)))</f>
        <v>Admin/CS</v>
      </c>
      <c r="C25" s="208">
        <f t="shared" ref="C25:C35" si="13">IF(A25="","",INDEX($AC$5:$AC$15,MATCH(A25,$AA$5:$AA$15,0)))</f>
        <v>20</v>
      </c>
      <c r="D25" s="209">
        <f t="shared" ref="D25:D35" si="14">IF(A25="","",IFERROR(C25/SUM($C$25:$C$35),0))</f>
        <v>0.2666666667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138</v>
      </c>
      <c r="I25" s="209">
        <f t="shared" ref="I25:I29" si="17">IF(H25="","",IFERROR(H25/SUM($H$25:$H$29),0))</f>
        <v>0.5054945055</v>
      </c>
    </row>
    <row r="26" ht="15.75" customHeight="1">
      <c r="A26" s="208" t="str">
        <f t="array" ref="A26">IF(LARGE($AC$5:$AC$15,2)=0,"",INDEX($AA$5:$AA$15,MATCH(LARGE($AD$5:$AD$15,2),$AD$5:$AD$15,0)))</f>
        <v>ADIF</v>
      </c>
      <c r="B26" s="208" t="str">
        <f t="shared" si="12"/>
        <v>Fotografer</v>
      </c>
      <c r="C26" s="208">
        <f t="shared" si="13"/>
        <v>20</v>
      </c>
      <c r="D26" s="209">
        <f t="shared" si="14"/>
        <v>0.2666666667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135</v>
      </c>
      <c r="I26" s="209">
        <f t="shared" si="17"/>
        <v>0.4945054945</v>
      </c>
    </row>
    <row r="27" ht="15.75" customHeight="1">
      <c r="A27" s="208" t="str">
        <f t="array" ref="A27">IF(LARGE($AC$5:$AC$15,3)=0,"",INDEX($AA$5:$AA$15,MATCH(LARGE($AD$5:$AD$15,3),$AD$5:$AD$15,0)))</f>
        <v>AMEL</v>
      </c>
      <c r="B27" s="208" t="str">
        <f t="shared" si="12"/>
        <v>Admin/CS</v>
      </c>
      <c r="C27" s="208">
        <f t="shared" si="13"/>
        <v>18</v>
      </c>
      <c r="D27" s="209">
        <f t="shared" si="14"/>
        <v>0.24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17</v>
      </c>
      <c r="D28" s="209">
        <f t="shared" si="14"/>
        <v>0.2266666667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205" t="s">
        <v>467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206" t="s">
        <v>439</v>
      </c>
      <c r="G32" s="206" t="s">
        <v>455</v>
      </c>
      <c r="H32" s="206" t="s">
        <v>465</v>
      </c>
      <c r="I32" s="206" t="s">
        <v>466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77</v>
      </c>
      <c r="I33" s="209">
        <f t="shared" ref="I33:I38" si="20">IF(H33="","",IFERROR(H33/SUM($H$33:$H$38),0))</f>
        <v>0.4638554217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66</v>
      </c>
      <c r="I34" s="209">
        <f t="shared" si="20"/>
        <v>0.3975903614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0.07228915663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0.06626506024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5" t="s">
        <v>468</v>
      </c>
    </row>
    <row r="44" ht="15.75" customHeight="1"/>
    <row r="45" ht="15.75" customHeight="1">
      <c r="A45" s="206" t="s">
        <v>423</v>
      </c>
      <c r="D45" s="206" t="s">
        <v>469</v>
      </c>
      <c r="G45" s="206" t="s">
        <v>470</v>
      </c>
      <c r="J45" s="206" t="s">
        <v>471</v>
      </c>
    </row>
    <row r="46" ht="15.75" customHeight="1">
      <c r="A46" s="214">
        <f>IF(COUNTIF($C$51:$C$61,"&gt;0")=0,"",AVERAGEIF($D$51:$D$61,"&gt;0",$D$51:$D$61))</f>
        <v>0.9846568627</v>
      </c>
      <c r="D46" s="214">
        <f>IF(COUNTIFS($B$51:$B$61,"Admin/CS",$C$51:$C$61,"&gt;0")=0,"",SUMIFS($D$51:$D$61,$B$51:$B$61,"Admin/CS",$C$51:$C$61,"&gt;0")/COUNTIFS($B$51:$B$61,"Admin/CS",$C$51:$C$61,"&gt;0"))</f>
        <v>0.9716666667</v>
      </c>
      <c r="G46" s="214">
        <f>IF(COUNTIFS($B$51:$B$61,"Fotografer",$C$51:$C$61,"&gt;0")=0,"",SUMIFS($D$51:$D$61,$B$51:$B$61,"Fotografer",$C$51:$C$61,"&gt;0")/COUNTIFS($B$51:$B$61,"Fotografer",$C$51:$C$61,"&gt;0"))</f>
        <v>0.9976470588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6" t="s">
        <v>1</v>
      </c>
      <c r="B50" s="206" t="s">
        <v>462</v>
      </c>
      <c r="C50" s="206" t="s">
        <v>428</v>
      </c>
      <c r="D50" s="206" t="s">
        <v>429</v>
      </c>
      <c r="E50" s="206" t="s">
        <v>145</v>
      </c>
      <c r="F50" s="206" t="s">
        <v>146</v>
      </c>
      <c r="G50" s="206" t="s">
        <v>147</v>
      </c>
      <c r="H50" s="206" t="s">
        <v>148</v>
      </c>
      <c r="I50" s="206" t="s">
        <v>149</v>
      </c>
      <c r="J50" s="206" t="s">
        <v>472</v>
      </c>
      <c r="K50" s="206" t="s">
        <v>473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17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25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25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15</v>
      </c>
      <c r="D53" s="209">
        <f t="shared" si="23"/>
        <v>0.9433333333</v>
      </c>
      <c r="E53" s="217">
        <f t="shared" si="24"/>
        <v>4.733333333</v>
      </c>
      <c r="F53" s="217">
        <f t="shared" si="25"/>
        <v>4.733333333</v>
      </c>
      <c r="G53" s="217">
        <f t="shared" si="26"/>
        <v>4.666666667</v>
      </c>
      <c r="H53" s="217">
        <f t="shared" si="27"/>
        <v>4.733333333</v>
      </c>
      <c r="I53" s="217">
        <f t="shared" si="28"/>
        <v>4.733333333</v>
      </c>
      <c r="J53" s="208" t="str">
        <f t="shared" si="29"/>
        <v>Sangat Baik</v>
      </c>
      <c r="K53" s="125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25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25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25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25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17</v>
      </c>
      <c r="D58" s="209">
        <f t="shared" si="23"/>
        <v>0.9952941176</v>
      </c>
      <c r="E58" s="217">
        <f t="shared" si="24"/>
        <v>4.882352941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25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25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25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15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25" t="str">
        <f t="shared" si="30"/>
        <v>#N/A</v>
      </c>
    </row>
    <row r="62" ht="15.75" customHeight="1"/>
    <row r="63" ht="15.75" customHeight="1"/>
    <row r="64" ht="15.75" customHeight="1">
      <c r="A64" s="218" t="s">
        <v>474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