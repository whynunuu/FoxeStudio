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V4WqVIanaZMnHwf4aVXzLJdj1cAV8sE9SxI9s/WUN0="/>
    </ext>
  </extLst>
</workbook>
</file>

<file path=xl/sharedStrings.xml><?xml version="1.0" encoding="utf-8"?>
<sst xmlns="http://schemas.openxmlformats.org/spreadsheetml/2006/main" count="1880" uniqueCount="145">
  <si>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</si>
  <si>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</si>
  <si>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</si>
  <si>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</si>
  <si>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</si>
  <si>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</si>
  <si>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</si>
  <si>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</si>
  <si>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</si>
  <si>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</si>
  <si>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</si>
  <si>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</si>
  <si>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</si>
  <si>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</si>
  <si>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</si>
  <si>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</si>
  <si>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</si>
  <si>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</si>
  <si>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</si>
  <si>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</si>
  <si>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</si>
  <si>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Fajar Alfani</t>
  </si>
  <si>
    <t>DP</t>
  </si>
  <si>
    <t>AMEL</t>
  </si>
  <si>
    <t>Graduation Premium</t>
  </si>
  <si>
    <t>Rara</t>
  </si>
  <si>
    <t>17 okt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</si>
  <si>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</si>
  <si>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</si>
  <si>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</si>
  <si>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</si>
  <si>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</si>
  <si>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</si>
  <si>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</si>
  <si>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</si>
  <si>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</si>
  <si>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</si>
  <si>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Uji</t>
  </si>
  <si>
    <t>3 okt</t>
  </si>
  <si>
    <t>Liaamalia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</si>
  <si>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</si>
  <si>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</si>
  <si>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</si>
  <si>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</si>
  <si>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</si>
  <si>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</si>
  <si>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</si>
  <si>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</si>
  <si>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</si>
  <si>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</si>
  <si>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</si>
  <si>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 xml:space="preserve"> Bilqis</t>
  </si>
  <si>
    <t>2 okt</t>
  </si>
  <si>
    <t>All file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</si>
  <si>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</si>
  <si>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</si>
  <si>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</si>
  <si>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</si>
  <si>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</si>
  <si>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</si>
  <si>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</si>
  <si>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</si>
  <si>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</si>
  <si>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</si>
  <si>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</si>
  <si>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</si>
  <si>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</si>
  <si>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</si>
  <si>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</si>
  <si>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</si>
  <si>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</si>
  <si>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</si>
  <si>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</si>
  <si>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</si>
  <si>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</si>
  <si>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</si>
  <si>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</si>
  <si>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</si>
  <si>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</si>
  <si>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</si>
  <si>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</si>
  <si>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</si>
  <si>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</si>
  <si>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</si>
  <si>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</si>
  <si>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</si>
  <si>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</si>
  <si>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</si>
  <si>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</si>
  <si>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</si>
  <si>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</si>
  <si>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</si>
  <si>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</si>
  <si>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</si>
  <si>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</si>
  <si>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</si>
  <si>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</si>
  <si>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</si>
  <si>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</si>
  <si>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</si>
  <si>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</si>
  <si>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</si>
  <si>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</si>
  <si>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</si>
  <si>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</si>
  <si>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</si>
  <si>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</si>
  <si>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</si>
  <si>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</si>
  <si>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</si>
  <si>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</si>
  <si>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</si>
  <si>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</si>
  <si>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</si>
  <si>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</si>
  <si>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</si>
  <si>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</si>
  <si>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</si>
  <si>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</si>
  <si>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</si>
  <si>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</si>
  <si>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</si>
  <si>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Underperform</t>
  </si>
  <si>
    <t>Pas Foto</t>
  </si>
  <si>
    <t>Family A</t>
  </si>
  <si>
    <t>Family B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</si>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</sst>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6" fillId="0" fontId="5" numFmtId="164" xfId="0" applyAlignment="1" applyBorder="1" applyFont="1" applyNumberFormat="1">
      <alignment horizontal="right" readingOrder="0"/>
    </xf>
    <xf borderId="6" fillId="0" fontId="6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2" numFmtId="0" xfId="0" applyAlignment="1" applyBorder="1" applyFont="1">
      <alignment horizontal="center"/>
    </xf>
    <xf borderId="6" fillId="0" fontId="1" numFmtId="9" xfId="0" applyAlignment="1" applyBorder="1" applyFont="1" applyNumberFormat="1">
      <alignment vertical="bottom"/>
    </xf>
    <xf borderId="6" fillId="0" fontId="1" numFmtId="165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right"/>
    </xf>
    <xf borderId="2" fillId="0" fontId="5" numFmtId="164" xfId="0" applyAlignment="1" applyBorder="1" applyFont="1" applyNumberFormat="1">
      <alignment horizontal="right" vertical="center"/>
    </xf>
    <xf borderId="6" fillId="0" fontId="1" numFmtId="164" xfId="0" applyAlignment="1" applyBorder="1" applyFont="1" applyNumberFormat="1">
      <alignment readingOrder="0"/>
    </xf>
    <xf borderId="6" fillId="0" fontId="5" numFmtId="164" xfId="0" applyAlignment="1" applyBorder="1" applyFont="1" applyNumberFormat="1">
      <alignment horizontal="right" vertical="center"/>
    </xf>
    <xf borderId="6" fillId="0" fontId="1" numFmtId="0" xfId="0" applyBorder="1" applyFont="1"/>
    <xf borderId="6" fillId="0" fontId="1" numFmtId="166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readingOrder="0"/>
    </xf>
    <xf borderId="6" fillId="0" fontId="1" numFmtId="164" xfId="0" applyBorder="1" applyFont="1" applyNumberFormat="1"/>
    <xf borderId="2" fillId="0" fontId="2" numFmtId="164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0" fillId="0" fontId="2" numFmtId="0" xfId="0" applyFont="1"/>
    <xf borderId="6" fillId="0" fontId="1" numFmtId="9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3" fontId="1" numFmtId="0" xfId="0" applyFill="1" applyFont="1"/>
    <xf borderId="0" fillId="12" fontId="10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2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0" fontId="11" numFmtId="171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1873189196"/>
        <c:axId val="145686303"/>
      </c:barChart>
      <c:catAx>
        <c:axId val="18731891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5686303"/>
      </c:catAx>
      <c:valAx>
        <c:axId val="145686303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87318919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535348465"/>
        <c:axId val="469064256"/>
      </c:lineChart>
      <c:catAx>
        <c:axId val="15353484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69064256"/>
      </c:catAx>
      <c:valAx>
        <c:axId val="469064256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5353484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19"/>
      <c r="H4" s="21">
        <v>100000.0</v>
      </c>
      <c r="I4" s="18" t="s">
        <v>22</v>
      </c>
      <c r="J4" s="14"/>
      <c r="K4" s="14"/>
      <c r="L4" s="18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25</v>
      </c>
      <c r="D5" s="16" t="s">
        <v>27</v>
      </c>
      <c r="E5" s="17"/>
      <c r="F5" s="18" t="s">
        <v>28</v>
      </c>
      <c r="G5" s="27">
        <v>125000.0</v>
      </c>
      <c r="H5" s="28"/>
      <c r="I5" s="18" t="s">
        <v>29</v>
      </c>
      <c r="J5" s="18" t="s">
        <v>30</v>
      </c>
      <c r="K5" s="18" t="s">
        <v>31</v>
      </c>
      <c r="L5" s="18" t="s">
        <v>23</v>
      </c>
      <c r="M5" s="18" t="s">
        <v>32</v>
      </c>
      <c r="N5" s="29"/>
      <c r="O5" s="29"/>
      <c r="P5" s="29"/>
      <c r="Q5" s="1"/>
      <c r="R5" s="1"/>
    </row>
    <row r="6" ht="15.75" customHeight="1">
      <c r="A6" s="1"/>
      <c r="B6" s="14">
        <v>3.0</v>
      </c>
      <c r="C6" s="15" t="s">
        <v>33</v>
      </c>
      <c r="D6" s="16" t="s">
        <v>19</v>
      </c>
      <c r="E6" s="17"/>
      <c r="F6" s="18" t="s">
        <v>34</v>
      </c>
      <c r="G6" s="30"/>
      <c r="H6" s="21">
        <v>100000.0</v>
      </c>
      <c r="I6" s="18" t="s">
        <v>22</v>
      </c>
      <c r="J6" s="14"/>
      <c r="K6" s="14"/>
      <c r="L6" s="18" t="s">
        <v>23</v>
      </c>
      <c r="M6" s="14"/>
      <c r="N6" s="29"/>
      <c r="O6" s="29"/>
      <c r="P6" s="29"/>
      <c r="Q6" s="1"/>
      <c r="R6" s="1"/>
    </row>
    <row r="7" ht="15.75" customHeight="1">
      <c r="A7" s="1"/>
      <c r="B7" s="14">
        <v>4.0</v>
      </c>
      <c r="C7" s="15" t="s">
        <v>35</v>
      </c>
      <c r="D7" s="16" t="s">
        <v>36</v>
      </c>
      <c r="E7" s="17"/>
      <c r="F7" s="18" t="s">
        <v>28</v>
      </c>
      <c r="G7" s="30"/>
      <c r="H7" s="37">
        <v>200000.0</v>
      </c>
      <c r="I7" s="18" t="s">
        <v>29</v>
      </c>
      <c r="J7" s="18" t="s">
        <v>30</v>
      </c>
      <c r="K7" s="18" t="s">
        <v>30</v>
      </c>
      <c r="L7" s="18" t="s">
        <v>23</v>
      </c>
      <c r="M7" s="18" t="s">
        <v>32</v>
      </c>
      <c r="N7" s="29"/>
      <c r="O7" s="29"/>
      <c r="P7" s="29"/>
      <c r="Q7" s="1"/>
      <c r="R7" s="1"/>
    </row>
    <row r="8" ht="15.75" customHeight="1">
      <c r="A8" s="1"/>
      <c r="B8" s="14">
        <v>5.0</v>
      </c>
      <c r="C8" s="15" t="s">
        <v>37</v>
      </c>
      <c r="D8" s="16" t="s">
        <v>19</v>
      </c>
      <c r="E8" s="17"/>
      <c r="F8" s="18" t="s">
        <v>38</v>
      </c>
      <c r="G8" s="19"/>
      <c r="H8" s="21">
        <v>100000.0</v>
      </c>
      <c r="I8" s="18" t="s">
        <v>22</v>
      </c>
      <c r="J8" s="14"/>
      <c r="K8" s="14"/>
      <c r="L8" s="18" t="s">
        <v>23</v>
      </c>
      <c r="M8" s="14"/>
      <c r="N8" s="29"/>
      <c r="O8" s="29"/>
      <c r="P8" s="29"/>
      <c r="Q8" s="1"/>
      <c r="R8" s="1"/>
    </row>
    <row r="9" ht="15.75" customHeight="1">
      <c r="A9" s="1"/>
      <c r="B9" s="14">
        <v>6.0</v>
      </c>
      <c r="C9" s="44" t="s">
        <v>39</v>
      </c>
      <c r="D9" s="16" t="s">
        <v>40</v>
      </c>
      <c r="E9" s="45"/>
      <c r="F9" s="18" t="s">
        <v>28</v>
      </c>
      <c r="G9" s="30"/>
      <c r="H9" s="37">
        <v>450000.0</v>
      </c>
      <c r="I9" s="18" t="s">
        <v>29</v>
      </c>
      <c r="J9" s="14"/>
      <c r="K9" s="14"/>
      <c r="L9" s="18" t="s">
        <v>23</v>
      </c>
      <c r="M9" s="14"/>
      <c r="N9" s="29"/>
      <c r="O9" s="29"/>
      <c r="P9" s="29"/>
      <c r="Q9" s="1"/>
      <c r="R9" s="1"/>
    </row>
    <row r="10" ht="15.75" customHeight="1">
      <c r="A10" s="1"/>
      <c r="B10" s="14">
        <v>7.0</v>
      </c>
      <c r="C10" s="15" t="s">
        <v>41</v>
      </c>
      <c r="D10" s="16" t="s">
        <v>36</v>
      </c>
      <c r="E10" s="45"/>
      <c r="F10" s="18" t="s">
        <v>28</v>
      </c>
      <c r="G10" s="30"/>
      <c r="H10" s="37">
        <v>100000.0</v>
      </c>
      <c r="I10" s="18" t="s">
        <v>29</v>
      </c>
      <c r="J10" s="18" t="s">
        <v>30</v>
      </c>
      <c r="K10" s="18" t="s">
        <v>42</v>
      </c>
      <c r="L10" s="18" t="s">
        <v>23</v>
      </c>
      <c r="M10" s="18" t="s">
        <v>32</v>
      </c>
      <c r="N10" s="29"/>
      <c r="O10" s="29"/>
      <c r="P10" s="29"/>
      <c r="Q10" s="1"/>
      <c r="R10" s="1"/>
    </row>
    <row r="11" ht="15.75" customHeight="1">
      <c r="A11" s="1"/>
      <c r="B11" s="14">
        <v>8.0</v>
      </c>
      <c r="C11" s="15" t="s">
        <v>43</v>
      </c>
      <c r="D11" s="16" t="s">
        <v>44</v>
      </c>
      <c r="E11" s="45"/>
      <c r="F11" s="18" t="s">
        <v>28</v>
      </c>
      <c r="G11" s="27">
        <v>150000.0</v>
      </c>
      <c r="H11" s="28"/>
      <c r="I11" s="18" t="s">
        <v>29</v>
      </c>
      <c r="J11" s="18" t="s">
        <v>30</v>
      </c>
      <c r="K11" s="18" t="s">
        <v>30</v>
      </c>
      <c r="L11" s="18" t="s">
        <v>23</v>
      </c>
      <c r="M11" s="18" t="s">
        <v>32</v>
      </c>
      <c r="N11" s="29"/>
      <c r="O11" s="29"/>
      <c r="P11" s="29"/>
      <c r="Q11" s="1"/>
      <c r="R11" s="1"/>
    </row>
    <row r="12" ht="15.75" customHeight="1">
      <c r="A12" s="1"/>
      <c r="B12" s="14">
        <v>9.0</v>
      </c>
      <c r="C12" s="44" t="s">
        <v>45</v>
      </c>
      <c r="D12" s="16" t="s">
        <v>46</v>
      </c>
      <c r="E12" s="45"/>
      <c r="F12" s="18" t="s">
        <v>28</v>
      </c>
      <c r="G12" s="30"/>
      <c r="H12" s="21">
        <v>100000.0</v>
      </c>
      <c r="I12" s="18" t="s">
        <v>29</v>
      </c>
      <c r="J12" s="18" t="s">
        <v>30</v>
      </c>
      <c r="K12" s="18" t="s">
        <v>30</v>
      </c>
      <c r="L12" s="18" t="s">
        <v>23</v>
      </c>
      <c r="M12" s="18" t="s">
        <v>32</v>
      </c>
      <c r="N12" s="29"/>
      <c r="O12" s="29"/>
      <c r="P12" s="29"/>
      <c r="Q12" s="1"/>
      <c r="R12" s="1"/>
    </row>
    <row r="13" ht="15.75" customHeight="1">
      <c r="A13" s="1"/>
      <c r="B13" s="14">
        <v>10.0</v>
      </c>
      <c r="C13" s="44" t="s">
        <v>47</v>
      </c>
      <c r="D13" s="16" t="s">
        <v>48</v>
      </c>
      <c r="E13" s="45"/>
      <c r="F13" s="18" t="s">
        <v>49</v>
      </c>
      <c r="G13" s="51">
        <v>25000.0</v>
      </c>
      <c r="H13" s="28"/>
      <c r="I13" s="18" t="s">
        <v>29</v>
      </c>
      <c r="J13" s="18" t="s">
        <v>31</v>
      </c>
      <c r="K13" s="18" t="s">
        <v>31</v>
      </c>
      <c r="L13" s="18" t="s">
        <v>23</v>
      </c>
      <c r="M13" s="14"/>
      <c r="N13" s="29"/>
      <c r="O13" s="29"/>
      <c r="P13" s="29"/>
      <c r="Q13" s="1"/>
      <c r="R13" s="1"/>
    </row>
    <row r="14" ht="15.75" customHeight="1">
      <c r="A14" s="1"/>
      <c r="B14" s="14">
        <v>11.0</v>
      </c>
      <c r="C14" s="44" t="s">
        <v>50</v>
      </c>
      <c r="D14" s="16" t="s">
        <v>36</v>
      </c>
      <c r="E14" s="45"/>
      <c r="F14" s="18" t="s">
        <v>28</v>
      </c>
      <c r="G14" s="51">
        <v>105000.0</v>
      </c>
      <c r="H14" s="21">
        <v>220000.0</v>
      </c>
      <c r="I14" s="18" t="s">
        <v>29</v>
      </c>
      <c r="J14" s="18" t="s">
        <v>30</v>
      </c>
      <c r="K14" s="18" t="s">
        <v>30</v>
      </c>
      <c r="L14" s="18" t="s">
        <v>23</v>
      </c>
      <c r="M14" s="18" t="s">
        <v>32</v>
      </c>
      <c r="N14" s="29"/>
      <c r="O14" s="29"/>
      <c r="P14" s="29"/>
      <c r="Q14" s="1"/>
      <c r="R14" s="1"/>
    </row>
    <row r="15" ht="15.75" customHeight="1">
      <c r="A15" s="1"/>
      <c r="B15" s="14">
        <v>12.0</v>
      </c>
      <c r="C15" s="44" t="s">
        <v>51</v>
      </c>
      <c r="D15" s="16" t="s">
        <v>27</v>
      </c>
      <c r="E15" s="45"/>
      <c r="F15" s="18" t="s">
        <v>52</v>
      </c>
      <c r="G15" s="30"/>
      <c r="H15" s="21">
        <v>100000.0</v>
      </c>
      <c r="I15" s="18" t="s">
        <v>22</v>
      </c>
      <c r="J15" s="14"/>
      <c r="K15" s="14"/>
      <c r="L15" s="18" t="s">
        <v>23</v>
      </c>
      <c r="M15" s="14"/>
      <c r="N15" s="29"/>
      <c r="O15" s="29"/>
      <c r="P15" s="29"/>
      <c r="Q15" s="1"/>
      <c r="R15" s="1"/>
    </row>
    <row r="16" ht="15.75" customHeight="1">
      <c r="A16" s="1"/>
      <c r="B16" s="14">
        <v>13.0</v>
      </c>
      <c r="C16" s="44" t="s">
        <v>45</v>
      </c>
      <c r="D16" s="16" t="s">
        <v>53</v>
      </c>
      <c r="E16" s="45"/>
      <c r="F16" s="18" t="s">
        <v>28</v>
      </c>
      <c r="G16" s="30"/>
      <c r="H16" s="21">
        <v>50000.0</v>
      </c>
      <c r="I16" s="18" t="s">
        <v>29</v>
      </c>
      <c r="J16" s="18" t="s">
        <v>30</v>
      </c>
      <c r="K16" s="18" t="s">
        <v>30</v>
      </c>
      <c r="L16" s="18" t="s">
        <v>23</v>
      </c>
      <c r="M16" s="18" t="s">
        <v>32</v>
      </c>
      <c r="N16" s="29"/>
      <c r="O16" s="29"/>
      <c r="P16" s="29"/>
      <c r="Q16" s="1"/>
      <c r="R16" s="1"/>
    </row>
    <row r="17" ht="15.75" customHeight="1">
      <c r="A17" s="1"/>
      <c r="B17" s="14">
        <v>14.0</v>
      </c>
      <c r="C17" s="34"/>
      <c r="D17" s="33"/>
      <c r="E17" s="45"/>
      <c r="F17" s="43"/>
      <c r="G17" s="19"/>
      <c r="H17" s="28"/>
      <c r="I17" s="14"/>
      <c r="J17" s="14"/>
      <c r="K17" s="14"/>
      <c r="L17" s="14"/>
      <c r="M17" s="14"/>
      <c r="N17" s="29"/>
      <c r="O17" s="29"/>
      <c r="P17" s="29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7">
        <f>SUM(G5:G17)</f>
        <v>405000</v>
      </c>
      <c r="H18" s="5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0</v>
      </c>
      <c r="C21" s="62" t="s">
        <v>6</v>
      </c>
      <c r="D21" s="62" t="s">
        <v>54</v>
      </c>
      <c r="E21" s="1"/>
      <c r="F21" s="1"/>
      <c r="G21" s="1"/>
      <c r="H21" s="1"/>
      <c r="I21" s="1"/>
      <c r="J21" s="1"/>
      <c r="K21" s="1"/>
      <c r="L21" s="1"/>
      <c r="M21" s="1"/>
      <c r="N21" s="62" t="s">
        <v>55</v>
      </c>
      <c r="O21" s="62" t="s">
        <v>1</v>
      </c>
      <c r="P21" s="1"/>
      <c r="Q21" s="1"/>
      <c r="R21" s="1"/>
    </row>
    <row r="22" ht="15.75" customHeight="1">
      <c r="A22" s="1"/>
      <c r="B22" s="63">
        <v>1.0</v>
      </c>
      <c r="C22" s="64" t="s">
        <v>56</v>
      </c>
      <c r="D22" s="65">
        <f>SUM(G18)</f>
        <v>405000</v>
      </c>
      <c r="E22" s="66"/>
      <c r="F22" s="1"/>
      <c r="G22" s="1"/>
      <c r="H22" s="1"/>
      <c r="I22" s="1"/>
      <c r="J22" s="1"/>
      <c r="K22" s="1"/>
      <c r="L22" s="1"/>
      <c r="M22" s="1"/>
      <c r="N22" s="67" t="s">
        <v>57</v>
      </c>
      <c r="O22" s="69" t="s">
        <v>23</v>
      </c>
      <c r="P22" s="1"/>
      <c r="Q22" s="1"/>
      <c r="R22" s="1"/>
    </row>
    <row r="23" ht="15.75" customHeight="1">
      <c r="A23" s="1"/>
      <c r="B23" s="68">
        <v>2.0</v>
      </c>
      <c r="C23" s="70"/>
      <c r="D23" s="71"/>
      <c r="E23" s="66"/>
      <c r="F23" s="1"/>
      <c r="G23" s="1"/>
      <c r="H23" s="1"/>
      <c r="I23" s="1"/>
      <c r="J23" s="1"/>
      <c r="K23" s="1"/>
      <c r="L23" s="1"/>
      <c r="M23" s="1"/>
      <c r="N23" s="74" t="s">
        <v>58</v>
      </c>
      <c r="O23" s="76" t="s">
        <v>23</v>
      </c>
      <c r="P23" s="1"/>
      <c r="Q23" s="1"/>
      <c r="R23" s="1"/>
    </row>
    <row r="24" ht="15.75" customHeight="1">
      <c r="A24" s="1"/>
      <c r="B24" s="63">
        <v>3.0</v>
      </c>
      <c r="C24" s="64"/>
      <c r="D24" s="65"/>
      <c r="E24" s="66"/>
      <c r="F24" s="1"/>
      <c r="G24" s="1"/>
      <c r="H24" s="1"/>
      <c r="I24" s="1"/>
      <c r="J24" s="1"/>
      <c r="K24" s="1"/>
      <c r="L24" s="1"/>
      <c r="M24" s="1"/>
      <c r="N24" s="79" t="s">
        <v>59</v>
      </c>
      <c r="O24" s="80" t="s">
        <v>32</v>
      </c>
      <c r="P24" s="1"/>
      <c r="Q24" s="1"/>
      <c r="R24" s="1"/>
    </row>
    <row r="25" ht="15.75" customHeight="1">
      <c r="A25" s="1"/>
      <c r="B25" s="68">
        <v>4.0</v>
      </c>
      <c r="C25" s="72"/>
      <c r="D25" s="73"/>
      <c r="E25" s="66"/>
      <c r="F25" s="82"/>
      <c r="G25" s="1"/>
      <c r="H25" s="1"/>
      <c r="I25" s="1"/>
      <c r="J25" s="1"/>
      <c r="K25" s="1"/>
      <c r="L25" s="1"/>
      <c r="M25" s="1"/>
      <c r="N25" s="81" t="s">
        <v>60</v>
      </c>
      <c r="O25" s="76" t="s">
        <v>32</v>
      </c>
      <c r="P25" s="1"/>
      <c r="Q25" s="1"/>
      <c r="R25" s="1"/>
    </row>
    <row r="26" ht="15.75" customHeight="1">
      <c r="A26" s="1"/>
      <c r="B26" s="63">
        <v>5.0</v>
      </c>
      <c r="C26" s="64"/>
      <c r="D26" s="65"/>
      <c r="E26" s="66"/>
      <c r="F26" s="1"/>
      <c r="G26" s="1"/>
      <c r="H26" s="1"/>
      <c r="I26" s="1"/>
      <c r="J26" s="1"/>
      <c r="K26" s="1"/>
      <c r="L26" s="1"/>
      <c r="M26" s="1"/>
      <c r="N26" s="83"/>
      <c r="O26" s="1"/>
      <c r="P26" s="1"/>
      <c r="Q26" s="1"/>
      <c r="R26" s="1"/>
    </row>
    <row r="27" ht="15.75" customHeight="1">
      <c r="A27" s="1"/>
      <c r="B27" s="68">
        <v>6.0</v>
      </c>
      <c r="C27" s="72"/>
      <c r="D27" s="73"/>
      <c r="E27" s="66"/>
      <c r="F27" s="1"/>
      <c r="G27" s="1"/>
      <c r="H27" s="1"/>
      <c r="I27" s="1"/>
      <c r="J27" s="1"/>
      <c r="K27" s="84" t="s">
        <v>61</v>
      </c>
      <c r="Q27" s="1"/>
      <c r="R27" s="1"/>
    </row>
    <row r="28" ht="15.75" customHeight="1">
      <c r="A28" s="1"/>
      <c r="B28" s="63">
        <v>7.0</v>
      </c>
      <c r="C28" s="64"/>
      <c r="D28" s="65"/>
      <c r="E28" s="66"/>
      <c r="F28" s="1"/>
      <c r="G28" s="1"/>
      <c r="H28" s="1"/>
      <c r="I28" s="1"/>
      <c r="J28" s="1"/>
      <c r="K28" s="85" t="s">
        <v>1</v>
      </c>
      <c r="L28" s="85" t="s">
        <v>62</v>
      </c>
      <c r="M28" s="85" t="s">
        <v>63</v>
      </c>
      <c r="N28" s="85" t="s">
        <v>64</v>
      </c>
      <c r="O28" s="85" t="s">
        <v>65</v>
      </c>
      <c r="P28" s="85" t="s">
        <v>66</v>
      </c>
      <c r="Q28" s="1"/>
      <c r="R28" s="1"/>
      <c r="AC28" s="86" t="s">
        <v>67</v>
      </c>
      <c r="AD28" s="86" t="s">
        <v>68</v>
      </c>
      <c r="AE28" s="86" t="s">
        <v>69</v>
      </c>
      <c r="AF28" s="86" t="s">
        <v>70</v>
      </c>
      <c r="AG28" s="86" t="s">
        <v>71</v>
      </c>
    </row>
    <row r="29" ht="15.75" customHeight="1">
      <c r="A29" s="1"/>
      <c r="B29" s="68">
        <v>8.0</v>
      </c>
      <c r="C29" s="72"/>
      <c r="D29" s="73"/>
      <c r="E29" s="66"/>
      <c r="F29" s="1"/>
      <c r="G29" s="1"/>
      <c r="H29" s="1"/>
      <c r="I29" s="1"/>
      <c r="J29" s="1"/>
      <c r="K29" s="87" t="str">
        <f t="shared" ref="K29:K32" si="1">IF(O22="","",O22)</f>
        <v>AMEL</v>
      </c>
      <c r="L29" s="88"/>
      <c r="M29" s="88"/>
      <c r="N29" s="88"/>
      <c r="O29" s="88"/>
      <c r="P29" s="88"/>
      <c r="Q29" s="1"/>
      <c r="R29" s="1"/>
      <c r="AC29" s="86" t="str">
        <f t="shared" ref="AC29:AC34" si="2">IF(AG29="","",IF(COUNT(L29:P29)&lt;5,"",L29/5*20+M29/5*25+N29/5*25+O29/5*15+P29/5*15))</f>
        <v/>
      </c>
      <c r="AD29" s="86" t="str">
        <f t="shared" ref="AD29:AD34" si="3">IF(AC29="","",IF(AC29&gt;=90,"Sangat Baik",IF(AC29&gt;=80,"Baik",IF(AC29&gt;=70,"Coaching","Underperform"))))</f>
        <v/>
      </c>
      <c r="AE29" s="86" t="str">
        <f t="shared" ref="AE29:AE34" si="4">IF(AG29="","",IF(OR(AG29="INDAH",AG29="ADDEL",AG29="AMEL",AG29="PENTIL",AG29="JIJANG"),"Admin/CS","Fotografer"))</f>
        <v>Admin/CS</v>
      </c>
      <c r="AF29" s="86" t="str">
        <f t="shared" ref="AF29:AF34" si="5">IF(OR(AG29="",COUNT(L29:P29)&lt;5),"",1)</f>
        <v/>
      </c>
      <c r="AG29" s="86" t="str">
        <f t="shared" ref="AG29:AG34" si="6">IFERROR(K29,"")</f>
        <v>AMEL</v>
      </c>
    </row>
    <row r="30" ht="15.75" customHeight="1">
      <c r="A30" s="1"/>
      <c r="B30" s="63">
        <v>9.0</v>
      </c>
      <c r="C30" s="64"/>
      <c r="D30" s="65"/>
      <c r="E30" s="66"/>
      <c r="F30" s="1"/>
      <c r="G30" s="1"/>
      <c r="H30" s="1"/>
      <c r="I30" s="1"/>
      <c r="J30" s="1"/>
      <c r="K30" s="87" t="str">
        <f t="shared" si="1"/>
        <v>AMEL</v>
      </c>
      <c r="L30" s="88"/>
      <c r="M30" s="88"/>
      <c r="N30" s="88"/>
      <c r="O30" s="88"/>
      <c r="P30" s="88"/>
      <c r="Q30" s="1"/>
      <c r="R30" s="1"/>
      <c r="AC30" s="86" t="str">
        <f t="shared" si="2"/>
        <v/>
      </c>
      <c r="AD30" s="86" t="str">
        <f t="shared" si="3"/>
        <v/>
      </c>
      <c r="AE30" s="86" t="str">
        <f t="shared" si="4"/>
        <v>Admin/CS</v>
      </c>
      <c r="AF30" s="86" t="str">
        <f t="shared" si="5"/>
        <v/>
      </c>
      <c r="AG30" s="86" t="str">
        <f t="shared" si="6"/>
        <v>AMEL</v>
      </c>
    </row>
    <row r="31" ht="15.75" customHeight="1">
      <c r="A31" s="1"/>
      <c r="B31" s="68">
        <v>10.0</v>
      </c>
      <c r="C31" s="72"/>
      <c r="D31" s="73"/>
      <c r="E31" s="66"/>
      <c r="F31" s="1"/>
      <c r="G31" s="1"/>
      <c r="H31" s="1"/>
      <c r="I31" s="1"/>
      <c r="J31" s="1"/>
      <c r="K31" s="87" t="str">
        <f t="shared" si="1"/>
        <v>ADIF</v>
      </c>
      <c r="L31" s="88"/>
      <c r="M31" s="88"/>
      <c r="N31" s="88"/>
      <c r="O31" s="88"/>
      <c r="P31" s="88"/>
      <c r="Q31" s="1"/>
      <c r="R31" s="1"/>
      <c r="AC31" s="86" t="str">
        <f t="shared" si="2"/>
        <v/>
      </c>
      <c r="AD31" s="86" t="str">
        <f t="shared" si="3"/>
        <v/>
      </c>
      <c r="AE31" s="86" t="str">
        <f t="shared" si="4"/>
        <v>Fotografer</v>
      </c>
      <c r="AF31" s="86" t="str">
        <f t="shared" si="5"/>
        <v/>
      </c>
      <c r="AG31" s="86" t="str">
        <f t="shared" si="6"/>
        <v>ADIF</v>
      </c>
    </row>
    <row r="32" ht="15.75" customHeight="1">
      <c r="A32" s="1"/>
      <c r="B32" s="89">
        <v>11.0</v>
      </c>
      <c r="C32" s="90"/>
      <c r="D32" s="91"/>
      <c r="E32" s="66"/>
      <c r="F32" s="1"/>
      <c r="G32" s="1"/>
      <c r="H32" s="1"/>
      <c r="I32" s="1"/>
      <c r="J32" s="1"/>
      <c r="K32" s="87" t="str">
        <f t="shared" si="1"/>
        <v>ADIF</v>
      </c>
      <c r="L32" s="88"/>
      <c r="M32" s="88"/>
      <c r="N32" s="88"/>
      <c r="O32" s="88"/>
      <c r="P32" s="88"/>
      <c r="Q32" s="1"/>
      <c r="R32" s="1"/>
      <c r="AC32" s="86" t="str">
        <f t="shared" si="2"/>
        <v/>
      </c>
      <c r="AD32" s="86" t="str">
        <f t="shared" si="3"/>
        <v/>
      </c>
      <c r="AE32" s="86" t="str">
        <f t="shared" si="4"/>
        <v>Fotografer</v>
      </c>
      <c r="AF32" s="86" t="str">
        <f t="shared" si="5"/>
        <v/>
      </c>
      <c r="AG32" s="86" t="str">
        <f t="shared" si="6"/>
        <v>ADIF</v>
      </c>
    </row>
    <row r="33" ht="15.75" customHeight="1">
      <c r="A33" s="1"/>
      <c r="B33" s="1"/>
      <c r="C33" s="2"/>
      <c r="D33" s="92">
        <f>SUM(D22:D32)</f>
        <v>405000</v>
      </c>
      <c r="E33" s="1"/>
      <c r="F33" s="1"/>
      <c r="G33" s="1"/>
      <c r="H33" s="1"/>
      <c r="I33" s="1"/>
      <c r="J33" s="1"/>
      <c r="K33" s="87"/>
      <c r="L33" s="88"/>
      <c r="M33" s="88"/>
      <c r="N33" s="88"/>
      <c r="O33" s="88"/>
      <c r="P33" s="88"/>
      <c r="Q33" s="1"/>
      <c r="R33" s="1"/>
      <c r="AC33" s="86" t="str">
        <f t="shared" si="2"/>
        <v/>
      </c>
      <c r="AD33" s="86" t="str">
        <f t="shared" si="3"/>
        <v/>
      </c>
      <c r="AE33" s="86" t="str">
        <f t="shared" si="4"/>
        <v/>
      </c>
      <c r="AF33" s="86" t="str">
        <f t="shared" si="5"/>
        <v/>
      </c>
      <c r="AG33" s="8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7"/>
      <c r="L34" s="88"/>
      <c r="M34" s="88"/>
      <c r="N34" s="88"/>
      <c r="O34" s="88"/>
      <c r="P34" s="88"/>
      <c r="Q34" s="1"/>
      <c r="R34" s="1"/>
      <c r="AC34" s="86" t="str">
        <f t="shared" si="2"/>
        <v/>
      </c>
      <c r="AD34" s="86" t="str">
        <f t="shared" si="3"/>
        <v/>
      </c>
      <c r="AE34" s="86" t="str">
        <f t="shared" si="4"/>
        <v/>
      </c>
      <c r="AF34" s="86" t="str">
        <f t="shared" si="5"/>
        <v/>
      </c>
      <c r="AG34" s="8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 t="s">
        <v>72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4" t="s">
        <v>73</v>
      </c>
      <c r="N37" s="95"/>
      <c r="O37" s="1"/>
      <c r="P37" s="1"/>
      <c r="Q37" s="1"/>
      <c r="R37" s="1"/>
    </row>
    <row r="38" ht="15.75" customHeight="1">
      <c r="K38" s="96" t="s">
        <v>7</v>
      </c>
      <c r="L38" s="96" t="s">
        <v>74</v>
      </c>
      <c r="M38" s="96" t="s">
        <v>75</v>
      </c>
      <c r="N38" s="97" t="s">
        <v>76</v>
      </c>
    </row>
    <row r="39" ht="15.75" customHeight="1">
      <c r="K39" s="98" t="str">
        <f t="shared" ref="K39:K40" si="7">IF(O22="","",O22)</f>
        <v>AMEL</v>
      </c>
      <c r="L39" s="100">
        <v>5.0</v>
      </c>
      <c r="M39" s="100" t="s">
        <v>77</v>
      </c>
      <c r="N39" s="101">
        <v>4.0</v>
      </c>
    </row>
    <row r="40" ht="15.75" customHeight="1">
      <c r="K40" s="98" t="str">
        <f t="shared" si="7"/>
        <v>AMEL</v>
      </c>
      <c r="L40" s="99"/>
      <c r="M40" s="99"/>
      <c r="N40" s="103"/>
    </row>
    <row r="41" ht="15.75" customHeight="1"/>
    <row r="42" ht="19.5" customHeight="1">
      <c r="K42" s="102" t="s">
        <v>78</v>
      </c>
    </row>
    <row r="43" ht="19.5" customHeight="1">
      <c r="K43" s="104" t="s">
        <v>79</v>
      </c>
      <c r="M43" s="100">
        <v>34.0</v>
      </c>
    </row>
    <row r="44" ht="19.5" customHeight="1">
      <c r="K44" s="105" t="s">
        <v>80</v>
      </c>
      <c r="M44" s="106">
        <f>COUNTIF($I$4:$I$20,"DP")</f>
        <v>4</v>
      </c>
    </row>
    <row r="45" ht="19.5" customHeight="1">
      <c r="K45" s="105" t="s">
        <v>81</v>
      </c>
      <c r="M45" s="106">
        <f>COUNTIFS($I$4:$I$20,"&lt;&gt;DP",$I$4:$I$20,"&lt;&gt;")</f>
        <v>9</v>
      </c>
    </row>
    <row r="46" ht="19.5" customHeight="1">
      <c r="K46" s="107" t="s">
        <v>82</v>
      </c>
      <c r="M46" s="106">
        <f>M44+M45</f>
        <v>13</v>
      </c>
    </row>
    <row r="47" ht="19.5" customHeight="1">
      <c r="K47" s="104" t="s">
        <v>83</v>
      </c>
      <c r="M47" s="10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22" t="s">
        <v>21</v>
      </c>
      <c r="D4" s="16" t="s">
        <v>24</v>
      </c>
      <c r="E4" s="25"/>
      <c r="F4" s="18" t="s">
        <v>26</v>
      </c>
      <c r="G4" s="26"/>
      <c r="H4" s="21">
        <v>100000.0</v>
      </c>
      <c r="I4" s="18" t="s">
        <v>22</v>
      </c>
      <c r="J4" s="14"/>
      <c r="K4" s="14"/>
      <c r="L4" s="18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2"/>
      <c r="D5" s="33"/>
      <c r="E5" s="35"/>
      <c r="F5" s="14"/>
      <c r="G5" s="38"/>
      <c r="H5" s="40"/>
      <c r="I5" s="14"/>
      <c r="J5" s="14"/>
      <c r="K5" s="14"/>
      <c r="L5" s="14"/>
      <c r="M5" s="14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25"/>
      <c r="F6" s="43"/>
      <c r="G6" s="26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35"/>
      <c r="F7" s="46"/>
      <c r="G7" s="26"/>
      <c r="H7" s="28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20">
        <v>5.0</v>
      </c>
      <c r="C8" s="47"/>
      <c r="D8" s="33"/>
      <c r="E8" s="25"/>
      <c r="F8" s="14"/>
      <c r="G8" s="49"/>
      <c r="H8" s="50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14"/>
      <c r="G9" s="38"/>
      <c r="H9" s="50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25"/>
      <c r="F10" s="14"/>
      <c r="G10" s="26"/>
      <c r="H10" s="28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2"/>
      <c r="D11" s="33"/>
      <c r="E11" s="25"/>
      <c r="F11" s="14"/>
      <c r="G11" s="26"/>
      <c r="H11" s="28"/>
      <c r="I11" s="14"/>
      <c r="J11" s="14"/>
      <c r="K11" s="14"/>
      <c r="L11" s="14"/>
      <c r="M11" s="14"/>
      <c r="N11" s="29"/>
      <c r="O11" s="29"/>
      <c r="P11" s="29"/>
      <c r="Q11" s="1"/>
      <c r="R11" s="1"/>
      <c r="S11" s="54"/>
    </row>
    <row r="12" ht="15.75" customHeight="1">
      <c r="A12" s="1"/>
      <c r="B12" s="20">
        <v>9.0</v>
      </c>
      <c r="C12" s="34"/>
      <c r="D12" s="33"/>
      <c r="E12" s="25"/>
      <c r="F12" s="14"/>
      <c r="G12" s="26"/>
      <c r="H12" s="28"/>
      <c r="I12" s="14"/>
      <c r="J12" s="14"/>
      <c r="K12" s="14"/>
      <c r="L12" s="14"/>
      <c r="M12" s="14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14"/>
      <c r="D13" s="33"/>
      <c r="E13" s="25"/>
      <c r="F13" s="14"/>
      <c r="G13" s="26"/>
      <c r="H13" s="28"/>
      <c r="I13" s="14"/>
      <c r="J13" s="14"/>
      <c r="K13" s="14"/>
      <c r="L13" s="14"/>
      <c r="M13" s="14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7">
        <f>SUM(G3:G13)</f>
        <v>0</v>
      </c>
      <c r="H14" s="60">
        <f>SUM(H4:H13)</f>
        <v>100000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0"/>
      <c r="D21" s="71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77"/>
      <c r="D22" s="78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0"/>
      <c r="D23" s="71"/>
      <c r="E23" s="66"/>
      <c r="F23" s="82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82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1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2">IF(AG25="","",IF(COUNT(L25:P25)&lt;5,"",L25/5*20+M25/5*25+N25/5*25+O25/5*15+P25/5*15))</f>
        <v/>
      </c>
      <c r="AD25" s="86" t="str">
        <f t="shared" ref="AD25:AD30" si="3">IF(AC25="","",IF(AC25&gt;=90,"Sangat Baik",IF(AC25&gt;=80,"Baik",IF(AC25&gt;=70,"Coaching","Underperform"))))</f>
        <v/>
      </c>
      <c r="AE25" s="86" t="str">
        <f t="shared" ref="AE25:AE30" si="4">IF(AG25="","",IF(OR(AG25="INDAH",AG25="ADDEL",AG25="AMEL",AG25="PENTIL",AG25="JIJANG"),"Admin/CS","Fotografer"))</f>
        <v/>
      </c>
      <c r="AF25" s="86" t="str">
        <f t="shared" ref="AF25:AF30" si="5">IF(OR(AG25="",COUNT(L25:P25)&lt;5),"",1)</f>
        <v/>
      </c>
      <c r="AG25" s="86" t="str">
        <f t="shared" ref="AG25:AG30" si="6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1"/>
        <v/>
      </c>
      <c r="L26" s="88"/>
      <c r="M26" s="88"/>
      <c r="N26" s="88"/>
      <c r="O26" s="88"/>
      <c r="P26" s="88"/>
      <c r="Q26" s="1"/>
      <c r="R26" s="1"/>
      <c r="AC26" s="86" t="str">
        <f t="shared" si="2"/>
        <v/>
      </c>
      <c r="AD26" s="86" t="str">
        <f t="shared" si="3"/>
        <v/>
      </c>
      <c r="AE26" s="86" t="str">
        <f t="shared" si="4"/>
        <v/>
      </c>
      <c r="AF26" s="86" t="str">
        <f t="shared" si="5"/>
        <v/>
      </c>
      <c r="AG26" s="86" t="str">
        <f t="shared" si="6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1"/>
        <v/>
      </c>
      <c r="L27" s="88"/>
      <c r="M27" s="88"/>
      <c r="N27" s="88"/>
      <c r="O27" s="88"/>
      <c r="P27" s="88"/>
      <c r="Q27" s="1"/>
      <c r="R27" s="1"/>
      <c r="AC27" s="86" t="str">
        <f t="shared" si="2"/>
        <v/>
      </c>
      <c r="AD27" s="86" t="str">
        <f t="shared" si="3"/>
        <v/>
      </c>
      <c r="AE27" s="86" t="str">
        <f t="shared" si="4"/>
        <v/>
      </c>
      <c r="AF27" s="86" t="str">
        <f t="shared" si="5"/>
        <v/>
      </c>
      <c r="AG27" s="86" t="str">
        <f t="shared" si="6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1"/>
        <v/>
      </c>
      <c r="L28" s="88"/>
      <c r="M28" s="88"/>
      <c r="N28" s="88"/>
      <c r="O28" s="88"/>
      <c r="P28" s="88"/>
      <c r="Q28" s="1"/>
      <c r="R28" s="1"/>
      <c r="AC28" s="86" t="str">
        <f t="shared" si="2"/>
        <v/>
      </c>
      <c r="AD28" s="86" t="str">
        <f t="shared" si="3"/>
        <v/>
      </c>
      <c r="AE28" s="86" t="str">
        <f t="shared" si="4"/>
        <v/>
      </c>
      <c r="AF28" s="86" t="str">
        <f t="shared" si="5"/>
        <v/>
      </c>
      <c r="AG28" s="86" t="str">
        <f t="shared" si="6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2"/>
        <v/>
      </c>
      <c r="AD29" s="86" t="str">
        <f t="shared" si="3"/>
        <v/>
      </c>
      <c r="AE29" s="86" t="str">
        <f t="shared" si="4"/>
        <v/>
      </c>
      <c r="AF29" s="86" t="str">
        <f t="shared" si="5"/>
        <v/>
      </c>
      <c r="AG29" s="86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2"/>
        <v/>
      </c>
      <c r="AD30" s="86" t="str">
        <f t="shared" si="3"/>
        <v/>
      </c>
      <c r="AE30" s="86" t="str">
        <f t="shared" si="4"/>
        <v/>
      </c>
      <c r="AF30" s="86" t="str">
        <f t="shared" si="5"/>
        <v/>
      </c>
      <c r="AG30" s="86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7">IF(O18="","",O18)</f>
        <v/>
      </c>
      <c r="L35" s="99"/>
      <c r="M35" s="99"/>
    </row>
    <row r="36" ht="15.75" customHeight="1">
      <c r="K36" s="98" t="str">
        <f t="shared" si="7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1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1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14"/>
      <c r="G4" s="26"/>
      <c r="H4" s="28"/>
      <c r="I4" s="14"/>
      <c r="J4" s="42"/>
      <c r="K4" s="42"/>
      <c r="L4" s="14"/>
      <c r="M4" s="42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25"/>
      <c r="F5" s="14"/>
      <c r="G5" s="26"/>
      <c r="H5" s="28"/>
      <c r="I5" s="14"/>
      <c r="J5" s="42"/>
      <c r="K5" s="42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25"/>
      <c r="F6" s="14"/>
      <c r="G6" s="26"/>
      <c r="H6" s="28"/>
      <c r="I6" s="14"/>
      <c r="J6" s="42"/>
      <c r="K6" s="42"/>
      <c r="L6" s="14"/>
      <c r="M6" s="42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25"/>
      <c r="F7" s="14"/>
      <c r="G7" s="26"/>
      <c r="H7" s="28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35"/>
      <c r="F8" s="14"/>
      <c r="G8" s="38"/>
      <c r="H8" s="50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3"/>
      <c r="E9" s="14"/>
      <c r="F9" s="20"/>
      <c r="G9" s="53"/>
      <c r="H9" s="41"/>
      <c r="I9" s="20"/>
      <c r="J9" s="20"/>
      <c r="K9" s="20"/>
      <c r="L9" s="14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14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55"/>
      <c r="F11" s="20"/>
      <c r="G11" s="53"/>
      <c r="H11" s="41"/>
      <c r="I11" s="20"/>
      <c r="J11" s="20"/>
      <c r="K11" s="20"/>
      <c r="L11" s="14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8">
        <f t="shared" ref="G13:H13" si="1">SUM(G4:G12)</f>
        <v>0</v>
      </c>
      <c r="H13" s="59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61" t="s">
        <v>0</v>
      </c>
      <c r="C16" s="62" t="s">
        <v>6</v>
      </c>
      <c r="D16" s="62" t="s">
        <v>54</v>
      </c>
      <c r="E16" s="1"/>
      <c r="F16" s="1"/>
      <c r="G16" s="1"/>
      <c r="H16" s="1"/>
      <c r="I16" s="1"/>
      <c r="J16" s="1"/>
      <c r="K16" s="1"/>
      <c r="L16" s="1"/>
      <c r="M16" s="1"/>
      <c r="N16" s="62" t="s">
        <v>55</v>
      </c>
      <c r="O16" s="62" t="s">
        <v>1</v>
      </c>
      <c r="P16" s="1"/>
      <c r="Q16" s="1"/>
      <c r="R16" s="1"/>
    </row>
    <row r="17" ht="15.75" customHeight="1">
      <c r="A17" s="1"/>
      <c r="B17" s="63">
        <v>1.0</v>
      </c>
      <c r="C17" s="64" t="s">
        <v>56</v>
      </c>
      <c r="D17" s="65">
        <f>SUM(G13)</f>
        <v>0</v>
      </c>
      <c r="E17" s="66"/>
      <c r="F17" s="1"/>
      <c r="G17" s="1"/>
      <c r="H17" s="1"/>
      <c r="I17" s="1"/>
      <c r="J17" s="1"/>
      <c r="K17" s="1"/>
      <c r="L17" s="1"/>
      <c r="M17" s="1"/>
      <c r="N17" s="67" t="s">
        <v>57</v>
      </c>
      <c r="O17" s="23"/>
      <c r="P17" s="1"/>
      <c r="Q17" s="1"/>
      <c r="R17" s="1"/>
    </row>
    <row r="18" ht="15.75" customHeight="1">
      <c r="A18" s="1"/>
      <c r="B18" s="68">
        <v>2.0</v>
      </c>
      <c r="C18" s="72"/>
      <c r="D18" s="73"/>
      <c r="E18" s="66"/>
      <c r="F18" s="1"/>
      <c r="G18" s="1"/>
      <c r="H18" s="1"/>
      <c r="I18" s="1"/>
      <c r="J18" s="1"/>
      <c r="K18" s="1"/>
      <c r="L18" s="1"/>
      <c r="M18" s="1"/>
      <c r="N18" s="74" t="s">
        <v>58</v>
      </c>
      <c r="O18" s="75"/>
      <c r="P18" s="1"/>
      <c r="Q18" s="1"/>
      <c r="R18" s="1"/>
    </row>
    <row r="19" ht="15.75" customHeight="1">
      <c r="A19" s="1"/>
      <c r="B19" s="63">
        <v>3.0</v>
      </c>
      <c r="C19" s="64"/>
      <c r="D19" s="65"/>
      <c r="E19" s="66"/>
      <c r="F19" s="1"/>
      <c r="G19" s="1"/>
      <c r="H19" s="1"/>
      <c r="I19" s="1"/>
      <c r="J19" s="1"/>
      <c r="K19" s="1"/>
      <c r="L19" s="1"/>
      <c r="M19" s="1"/>
      <c r="N19" s="79" t="s">
        <v>59</v>
      </c>
      <c r="O19" s="29"/>
      <c r="P19" s="1"/>
      <c r="Q19" s="1"/>
      <c r="R19" s="1"/>
    </row>
    <row r="20" ht="15.75" customHeight="1">
      <c r="A20" s="1"/>
      <c r="B20" s="68">
        <v>4.0</v>
      </c>
      <c r="C20" s="72"/>
      <c r="D20" s="73"/>
      <c r="E20" s="66"/>
      <c r="F20" s="1"/>
      <c r="G20" s="1"/>
      <c r="H20" s="1"/>
      <c r="I20" s="1"/>
      <c r="J20" s="1"/>
      <c r="K20" s="1"/>
      <c r="L20" s="1"/>
      <c r="M20" s="1"/>
      <c r="N20" s="81" t="s">
        <v>60</v>
      </c>
      <c r="O20" s="75"/>
      <c r="P20" s="1"/>
      <c r="Q20" s="1"/>
      <c r="R20" s="1"/>
    </row>
    <row r="21" ht="15.75" customHeight="1">
      <c r="A21" s="1"/>
      <c r="B21" s="63">
        <v>5.0</v>
      </c>
      <c r="C21" s="64"/>
      <c r="D21" s="65"/>
      <c r="E21" s="66"/>
      <c r="F21" s="1"/>
      <c r="G21" s="1"/>
      <c r="H21" s="1"/>
      <c r="I21" s="1"/>
      <c r="J21" s="1"/>
      <c r="K21" s="1"/>
      <c r="L21" s="1"/>
      <c r="M21" s="1"/>
      <c r="N21" s="83"/>
      <c r="O21" s="1"/>
      <c r="P21" s="1"/>
      <c r="Q21" s="1"/>
      <c r="R21" s="1"/>
    </row>
    <row r="22" ht="15.75" customHeight="1">
      <c r="A22" s="1"/>
      <c r="B22" s="68">
        <v>6.0</v>
      </c>
      <c r="C22" s="72"/>
      <c r="D22" s="73"/>
      <c r="E22" s="66"/>
      <c r="F22" s="1"/>
      <c r="G22" s="1"/>
      <c r="H22" s="1"/>
      <c r="I22" s="1"/>
      <c r="J22" s="1"/>
      <c r="K22" s="84" t="s">
        <v>61</v>
      </c>
      <c r="Q22" s="1"/>
      <c r="R22" s="1"/>
    </row>
    <row r="23" ht="15.75" customHeight="1">
      <c r="A23" s="1"/>
      <c r="B23" s="63">
        <v>7.0</v>
      </c>
      <c r="C23" s="64"/>
      <c r="D23" s="65"/>
      <c r="E23" s="66"/>
      <c r="F23" s="1"/>
      <c r="G23" s="1"/>
      <c r="H23" s="1"/>
      <c r="I23" s="1"/>
      <c r="J23" s="1"/>
      <c r="K23" s="85" t="s">
        <v>1</v>
      </c>
      <c r="L23" s="85" t="s">
        <v>62</v>
      </c>
      <c r="M23" s="85" t="s">
        <v>63</v>
      </c>
      <c r="N23" s="85" t="s">
        <v>64</v>
      </c>
      <c r="O23" s="85" t="s">
        <v>65</v>
      </c>
      <c r="P23" s="85" t="s">
        <v>66</v>
      </c>
      <c r="Q23" s="1"/>
      <c r="R23" s="1"/>
      <c r="AC23" s="86" t="s">
        <v>67</v>
      </c>
      <c r="AD23" s="86" t="s">
        <v>68</v>
      </c>
      <c r="AE23" s="86" t="s">
        <v>69</v>
      </c>
      <c r="AF23" s="86" t="s">
        <v>70</v>
      </c>
      <c r="AG23" s="86" t="s">
        <v>71</v>
      </c>
    </row>
    <row r="24" ht="15.75" customHeight="1">
      <c r="A24" s="1"/>
      <c r="B24" s="68">
        <v>8.0</v>
      </c>
      <c r="C24" s="72"/>
      <c r="D24" s="73"/>
      <c r="E24" s="66"/>
      <c r="F24" s="1"/>
      <c r="G24" s="1"/>
      <c r="H24" s="1"/>
      <c r="I24" s="1"/>
      <c r="J24" s="1"/>
      <c r="K24" s="87" t="str">
        <f t="shared" ref="K24:K27" si="2">IF(O17="","",O17)</f>
        <v/>
      </c>
      <c r="L24" s="88"/>
      <c r="M24" s="88"/>
      <c r="N24" s="88"/>
      <c r="O24" s="88"/>
      <c r="P24" s="88"/>
      <c r="Q24" s="1"/>
      <c r="R24" s="1"/>
      <c r="AC24" s="86" t="str">
        <f t="shared" ref="AC24:AC29" si="3">IF(AG24="","",IF(COUNT(L24:P24)&lt;5,"",L24/5*20+M24/5*25+N24/5*25+O24/5*15+P24/5*15))</f>
        <v/>
      </c>
      <c r="AD24" s="86" t="str">
        <f t="shared" ref="AD24:AD29" si="4">IF(AC24="","",IF(AC24&gt;=90,"Sangat Baik",IF(AC24&gt;=80,"Baik",IF(AC24&gt;=70,"Coaching","Underperform"))))</f>
        <v/>
      </c>
      <c r="AE24" s="86" t="str">
        <f t="shared" ref="AE24:AE29" si="5">IF(AG24="","",IF(OR(AG24="INDAH",AG24="ADDEL",AG24="AMEL",AG24="PENTIL",AG24="JIJANG"),"Admin/CS","Fotografer"))</f>
        <v/>
      </c>
      <c r="AF24" s="86" t="str">
        <f t="shared" ref="AF24:AF29" si="6">IF(OR(AG24="",COUNT(L24:P24)&lt;5),"",1)</f>
        <v/>
      </c>
      <c r="AG24" s="86" t="str">
        <f t="shared" ref="AG24:AG29" si="7">IFERROR(K24,"")</f>
        <v/>
      </c>
    </row>
    <row r="25" ht="15.75" customHeight="1">
      <c r="A25" s="1"/>
      <c r="B25" s="63">
        <v>9.0</v>
      </c>
      <c r="C25" s="64"/>
      <c r="D25" s="65"/>
      <c r="E25" s="66"/>
      <c r="F25" s="1"/>
      <c r="G25" s="1"/>
      <c r="H25" s="1"/>
      <c r="I25" s="1"/>
      <c r="J25" s="1"/>
      <c r="K25" s="87" t="str">
        <f t="shared" si="2"/>
        <v/>
      </c>
      <c r="L25" s="88"/>
      <c r="M25" s="88"/>
      <c r="N25" s="88"/>
      <c r="O25" s="88"/>
      <c r="P25" s="88"/>
      <c r="Q25" s="1"/>
      <c r="R25" s="1"/>
      <c r="AC25" s="86" t="str">
        <f t="shared" si="3"/>
        <v/>
      </c>
      <c r="AD25" s="86" t="str">
        <f t="shared" si="4"/>
        <v/>
      </c>
      <c r="AE25" s="86" t="str">
        <f t="shared" si="5"/>
        <v/>
      </c>
      <c r="AF25" s="86" t="str">
        <f t="shared" si="6"/>
        <v/>
      </c>
      <c r="AG25" s="86" t="str">
        <f t="shared" si="7"/>
        <v/>
      </c>
    </row>
    <row r="26" ht="15.75" customHeight="1">
      <c r="A26" s="1"/>
      <c r="B26" s="68">
        <v>10.0</v>
      </c>
      <c r="C26" s="72"/>
      <c r="D26" s="73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89">
        <v>11.0</v>
      </c>
      <c r="C27" s="90"/>
      <c r="D27" s="91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1"/>
      <c r="C28" s="2"/>
      <c r="D28" s="92">
        <f>SUM(D17:D27)</f>
        <v>0</v>
      </c>
      <c r="E28" s="1"/>
      <c r="F28" s="1"/>
      <c r="G28" s="1"/>
      <c r="H28" s="1"/>
      <c r="I28" s="1"/>
      <c r="J28" s="1"/>
      <c r="K28" s="87"/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 t="s">
        <v>72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 t="s">
        <v>73</v>
      </c>
      <c r="N32" s="1"/>
      <c r="O32" s="1"/>
      <c r="P32" s="1"/>
      <c r="Q32" s="1"/>
      <c r="R32" s="1"/>
    </row>
    <row r="33" ht="15.75" customHeight="1">
      <c r="K33" s="96" t="s">
        <v>7</v>
      </c>
      <c r="L33" s="96" t="s">
        <v>74</v>
      </c>
      <c r="M33" s="96" t="s">
        <v>75</v>
      </c>
    </row>
    <row r="34" ht="15.75" customHeight="1">
      <c r="K34" s="98" t="str">
        <f t="shared" ref="K34:K35" si="8">IF(O17="","",O17)</f>
        <v/>
      </c>
      <c r="L34" s="99"/>
      <c r="M34" s="99"/>
    </row>
    <row r="35" ht="15.75" customHeight="1">
      <c r="K35" s="98" t="str">
        <f t="shared" si="8"/>
        <v/>
      </c>
      <c r="L35" s="99"/>
      <c r="M35" s="99"/>
    </row>
    <row r="36" ht="15.75" customHeight="1"/>
    <row r="37" ht="19.5" customHeight="1">
      <c r="K37" s="102" t="s">
        <v>78</v>
      </c>
    </row>
    <row r="38" ht="19.5" customHeight="1">
      <c r="K38" s="104" t="s">
        <v>79</v>
      </c>
      <c r="M38" s="99"/>
    </row>
    <row r="39" ht="19.5" customHeight="1">
      <c r="K39" s="105" t="s">
        <v>80</v>
      </c>
      <c r="M39" s="106">
        <f>COUNTIF($I$4:$I$15,"DP")</f>
        <v>0</v>
      </c>
    </row>
    <row r="40" ht="19.5" customHeight="1">
      <c r="K40" s="105" t="s">
        <v>81</v>
      </c>
      <c r="M40" s="106">
        <f>COUNTIFS($I$4:$I$15,"&lt;&gt;DP",$I$4:$I$15,"&lt;&gt;")</f>
        <v>0</v>
      </c>
    </row>
    <row r="41" ht="19.5" customHeight="1">
      <c r="K41" s="107" t="s">
        <v>82</v>
      </c>
      <c r="M41" s="106">
        <f>M39+M40</f>
        <v>0</v>
      </c>
    </row>
    <row r="42" ht="19.5" customHeight="1">
      <c r="K42" s="104" t="s">
        <v>83</v>
      </c>
      <c r="M42" s="108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1"/>
      <c r="E4" s="20"/>
      <c r="F4" s="36"/>
      <c r="G4" s="39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1"/>
      <c r="E5" s="20"/>
      <c r="F5" s="36"/>
      <c r="G5" s="39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1"/>
      <c r="E6" s="20"/>
      <c r="F6" s="48"/>
      <c r="G6" s="39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1"/>
      <c r="E7" s="20"/>
      <c r="F7" s="48"/>
      <c r="G7" s="39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1"/>
      <c r="E8" s="20"/>
      <c r="F8" s="52"/>
      <c r="G8" s="39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1"/>
      <c r="E9" s="20"/>
      <c r="F9" s="52"/>
      <c r="G9" s="39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1"/>
      <c r="E10" s="20"/>
      <c r="F10" s="52"/>
      <c r="G10" s="39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56"/>
      <c r="D11" s="31"/>
      <c r="E11" s="20"/>
      <c r="F11" s="48"/>
      <c r="G11" s="39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1"/>
      <c r="E12" s="20"/>
      <c r="F12" s="52"/>
      <c r="G12" s="39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1"/>
      <c r="E13" s="20"/>
      <c r="F13" s="48"/>
      <c r="G13" s="39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</row>
    <row r="4" ht="15.75" customHeight="1">
      <c r="A4" s="1"/>
      <c r="B4" s="20">
        <v>1.0</v>
      </c>
      <c r="C4" s="31"/>
      <c r="D4" s="31"/>
      <c r="E4" s="110"/>
      <c r="F4" s="36"/>
      <c r="G4" s="111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</row>
    <row r="5" ht="15.75" customHeight="1">
      <c r="A5" s="1"/>
      <c r="B5" s="20">
        <v>2.0</v>
      </c>
      <c r="C5" s="31"/>
      <c r="D5" s="31"/>
      <c r="E5" s="110"/>
      <c r="F5" s="36"/>
      <c r="G5" s="111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</row>
    <row r="6" ht="15.75" customHeight="1">
      <c r="A6" s="1"/>
      <c r="B6" s="20">
        <v>3.0</v>
      </c>
      <c r="C6" s="31"/>
      <c r="D6" s="31"/>
      <c r="E6" s="110"/>
      <c r="F6" s="48"/>
      <c r="G6" s="111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</row>
    <row r="7" ht="15.75" customHeight="1">
      <c r="A7" s="1"/>
      <c r="B7" s="20">
        <v>4.0</v>
      </c>
      <c r="C7" s="31"/>
      <c r="D7" s="31"/>
      <c r="E7" s="110"/>
      <c r="F7" s="48"/>
      <c r="G7" s="111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</row>
    <row r="8" ht="15.75" customHeight="1">
      <c r="A8" s="1"/>
      <c r="B8" s="20">
        <v>5.0</v>
      </c>
      <c r="C8" s="31"/>
      <c r="D8" s="31"/>
      <c r="E8" s="112"/>
      <c r="F8" s="48"/>
      <c r="G8" s="111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</row>
    <row r="9" ht="15.75" customHeight="1">
      <c r="A9" s="1"/>
      <c r="B9" s="20">
        <v>6.0</v>
      </c>
      <c r="C9" s="31"/>
      <c r="D9" s="31"/>
      <c r="E9" s="110"/>
      <c r="F9" s="48"/>
      <c r="G9" s="111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</row>
    <row r="10" ht="15.75" customHeight="1">
      <c r="A10" s="1"/>
      <c r="B10" s="20">
        <v>7.0</v>
      </c>
      <c r="C10" s="31"/>
      <c r="D10" s="31"/>
      <c r="E10" s="110"/>
      <c r="F10" s="48"/>
      <c r="G10" s="111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</row>
    <row r="11" ht="15.75" customHeight="1">
      <c r="A11" s="1"/>
      <c r="B11" s="20">
        <v>8.0</v>
      </c>
      <c r="C11" s="113"/>
      <c r="D11" s="31"/>
      <c r="E11" s="112"/>
      <c r="F11" s="114"/>
      <c r="G11" s="111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</row>
    <row r="12" ht="15.75" customHeight="1">
      <c r="A12" s="1"/>
      <c r="B12" s="20">
        <v>9.0</v>
      </c>
      <c r="C12" s="31"/>
      <c r="D12" s="31"/>
      <c r="E12" s="112"/>
      <c r="F12" s="52"/>
      <c r="G12" s="111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</row>
    <row r="13" ht="15.75" customHeight="1">
      <c r="A13" s="1"/>
      <c r="B13" s="20">
        <v>10.0</v>
      </c>
      <c r="C13" s="31"/>
      <c r="D13" s="31"/>
      <c r="E13" s="20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 t="s">
        <v>67</v>
      </c>
      <c r="AD24" s="109" t="s">
        <v>68</v>
      </c>
      <c r="AE24" s="109" t="s">
        <v>69</v>
      </c>
      <c r="AF24" s="109" t="s">
        <v>70</v>
      </c>
      <c r="AG24" s="109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</row>
    <row r="34" ht="15.75" customHeight="1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96" t="s">
        <v>7</v>
      </c>
      <c r="L34" s="96" t="s">
        <v>74</v>
      </c>
      <c r="M34" s="96" t="s">
        <v>75</v>
      </c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</row>
    <row r="35" ht="15.75" customHeight="1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98" t="str">
        <f t="shared" ref="K35:K36" si="8">IF(O18="","",O18)</f>
        <v/>
      </c>
      <c r="L35" s="99"/>
      <c r="M35" s="9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</row>
    <row r="36" ht="15.75" customHeight="1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98" t="str">
        <f t="shared" si="8"/>
        <v/>
      </c>
      <c r="L36" s="99"/>
      <c r="M36" s="9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</row>
    <row r="37" ht="15.75" customHeight="1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</row>
    <row r="38" ht="19.5" customHeight="1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102" t="s">
        <v>78</v>
      </c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</row>
    <row r="39" ht="19.5" customHeight="1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104" t="s">
        <v>79</v>
      </c>
      <c r="M39" s="9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</row>
    <row r="40" ht="19.5" customHeight="1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5" t="s">
        <v>80</v>
      </c>
      <c r="M40" s="106">
        <f>COUNTIF($I$4:$I$16,"DP")</f>
        <v>0</v>
      </c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</row>
    <row r="41" ht="19.5" customHeight="1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5" t="s">
        <v>81</v>
      </c>
      <c r="M41" s="106">
        <f>COUNTIFS($I$4:$I$16,"&lt;&gt;DP",$I$4:$I$16,"&lt;&gt;")</f>
        <v>0</v>
      </c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</row>
    <row r="42" ht="19.5" customHeight="1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7" t="s">
        <v>82</v>
      </c>
      <c r="M42" s="106">
        <f>M40+M41</f>
        <v>0</v>
      </c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</row>
    <row r="43" ht="19.5" customHeight="1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104" t="s">
        <v>83</v>
      </c>
      <c r="M43" s="108" t="str">
        <f>IF(OR(M39="",M39=0),"",M40/M39)</f>
        <v/>
      </c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</row>
    <row r="44" ht="15.75" customHeight="1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</row>
    <row r="45" ht="15.75" customHeight="1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</row>
    <row r="46" ht="15.75" customHeight="1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ht="15.75" customHeight="1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</row>
    <row r="48" ht="15.75" customHeight="1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</row>
    <row r="49" ht="15.75" customHeight="1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</row>
    <row r="50" ht="15.75" customHeight="1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</row>
    <row r="51" ht="15.75" customHeight="1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</row>
    <row r="52" ht="15.75" customHeight="1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</row>
    <row r="53" ht="15.75" customHeight="1">
      <c r="A53" s="109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</row>
    <row r="54" ht="15.75" customHeight="1">
      <c r="A54" s="109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</row>
    <row r="55" ht="15.75" customHeight="1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</row>
    <row r="56" ht="15.75" customHeight="1">
      <c r="A56" s="109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</row>
    <row r="57" ht="15.75" customHeight="1">
      <c r="A57" s="109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</row>
    <row r="58" ht="15.75" customHeight="1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</row>
    <row r="59" ht="15.75" customHeight="1">
      <c r="A59" s="109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</row>
    <row r="60" ht="15.75" customHeight="1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</row>
    <row r="61" ht="15.75" customHeight="1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</row>
    <row r="62" ht="15.75" customHeight="1">
      <c r="A62" s="109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</row>
    <row r="63" ht="15.75" customHeight="1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</row>
    <row r="64" ht="15.75" customHeight="1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</row>
    <row r="65" ht="15.75" customHeight="1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</row>
    <row r="66" ht="15.75" customHeight="1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</row>
    <row r="67" ht="15.75" customHeight="1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</row>
    <row r="68" ht="15.75" customHeight="1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</row>
    <row r="69" ht="15.75" customHeight="1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</row>
    <row r="70" ht="15.75" customHeight="1">
      <c r="A70" s="109"/>
      <c r="B70" s="10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</row>
    <row r="71" ht="15.75" customHeight="1">
      <c r="A71" s="109"/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</row>
    <row r="72" ht="15.75" customHeight="1">
      <c r="A72" s="109"/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</row>
    <row r="73" ht="15.75" customHeight="1">
      <c r="A73" s="109"/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</row>
    <row r="74" ht="15.75" customHeight="1">
      <c r="A74" s="109"/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</row>
    <row r="75" ht="15.75" customHeight="1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</row>
    <row r="76" ht="15.75" customHeight="1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</row>
    <row r="77" ht="15.75" customHeight="1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</row>
    <row r="78" ht="15.75" customHeight="1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</row>
    <row r="79" ht="15.75" customHeight="1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</row>
    <row r="80" ht="15.75" customHeight="1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</row>
    <row r="81" ht="15.75" customHeight="1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</row>
    <row r="82" ht="15.75" customHeight="1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</row>
    <row r="83" ht="15.75" customHeight="1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</row>
    <row r="84" ht="15.75" customHeight="1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</row>
    <row r="85" ht="15.75" customHeight="1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</row>
    <row r="86" ht="15.75" customHeight="1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</row>
    <row r="87" ht="15.75" customHeight="1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</row>
    <row r="88" ht="15.75" customHeight="1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</row>
    <row r="89" ht="15.75" customHeight="1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</row>
    <row r="90" ht="15.75" customHeight="1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</row>
    <row r="91" ht="15.75" customHeight="1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</row>
    <row r="92" ht="15.75" customHeight="1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</row>
    <row r="93" ht="15.75" customHeight="1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</row>
    <row r="94" ht="15.75" customHeight="1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</row>
    <row r="95" ht="15.75" customHeight="1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</row>
    <row r="96" ht="15.75" customHeight="1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</row>
    <row r="97" ht="15.75" customHeight="1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ht="15.75" customHeight="1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</row>
    <row r="99" ht="15.75" customHeight="1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</row>
    <row r="100" ht="15.75" customHeight="1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</row>
    <row r="101" ht="15.75" customHeight="1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</row>
    <row r="102" ht="15.75" customHeight="1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</row>
    <row r="103" ht="15.75" customHeight="1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</row>
    <row r="104" ht="15.75" customHeight="1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</row>
    <row r="105" ht="15.75" customHeight="1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</row>
    <row r="106" ht="15.75" customHeight="1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</row>
    <row r="107" ht="15.75" customHeight="1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</row>
    <row r="108" ht="15.75" customHeight="1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</row>
    <row r="109" ht="15.75" customHeight="1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</row>
    <row r="110" ht="15.75" customHeight="1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</row>
    <row r="111" ht="15.75" customHeight="1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</row>
    <row r="112" ht="15.75" customHeight="1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</row>
    <row r="113" ht="15.75" customHeight="1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</row>
    <row r="114" ht="15.75" customHeight="1">
      <c r="A114" s="109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</row>
    <row r="115" ht="15.75" customHeight="1">
      <c r="A115" s="109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</row>
    <row r="116" ht="15.75" customHeight="1">
      <c r="A116" s="109"/>
      <c r="B116" s="10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</row>
    <row r="117" ht="15.75" customHeight="1">
      <c r="A117" s="109"/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</row>
    <row r="118" ht="15.75" customHeight="1">
      <c r="A118" s="109"/>
      <c r="B118" s="10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</row>
    <row r="119" ht="15.75" customHeight="1">
      <c r="A119" s="109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</row>
    <row r="120" ht="15.75" customHeight="1">
      <c r="A120" s="109"/>
      <c r="B120" s="10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</row>
    <row r="121" ht="15.75" customHeight="1">
      <c r="A121" s="109"/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</row>
    <row r="122" ht="15.75" customHeight="1">
      <c r="A122" s="109"/>
      <c r="B122" s="10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</row>
    <row r="123" ht="15.75" customHeight="1">
      <c r="A123" s="109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</row>
    <row r="124" ht="15.75" customHeight="1">
      <c r="A124" s="109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</row>
    <row r="125" ht="15.75" customHeight="1">
      <c r="A125" s="109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</row>
    <row r="126" ht="15.75" customHeight="1">
      <c r="A126" s="109"/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</row>
    <row r="127" ht="15.75" customHeight="1">
      <c r="A127" s="109"/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</row>
    <row r="128" ht="15.75" customHeight="1">
      <c r="A128" s="109"/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</row>
    <row r="129" ht="15.75" customHeight="1">
      <c r="A129" s="109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</row>
    <row r="130" ht="15.75" customHeight="1">
      <c r="A130" s="109"/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</row>
    <row r="131" ht="15.75" customHeight="1">
      <c r="A131" s="109"/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</row>
    <row r="132" ht="15.75" customHeight="1">
      <c r="A132" s="109"/>
      <c r="B132" s="10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</row>
    <row r="133" ht="15.75" customHeight="1">
      <c r="A133" s="109"/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</row>
    <row r="134" ht="15.75" customHeight="1">
      <c r="A134" s="109"/>
      <c r="B134" s="10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</row>
    <row r="135" ht="15.75" customHeight="1">
      <c r="A135" s="109"/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</row>
    <row r="136" ht="15.75" customHeight="1">
      <c r="A136" s="109"/>
      <c r="B136" s="10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</row>
    <row r="137" ht="15.75" customHeight="1">
      <c r="A137" s="109"/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</row>
    <row r="138" ht="15.75" customHeight="1">
      <c r="A138" s="109"/>
      <c r="B138" s="10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</row>
    <row r="139" ht="15.75" customHeight="1">
      <c r="A139" s="109"/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</row>
    <row r="140" ht="15.75" customHeight="1">
      <c r="A140" s="109"/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</row>
    <row r="141" ht="15.75" customHeight="1">
      <c r="A141" s="109"/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</row>
    <row r="142" ht="15.75" customHeight="1">
      <c r="A142" s="109"/>
      <c r="B142" s="10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</row>
    <row r="143" ht="15.75" customHeight="1">
      <c r="A143" s="109"/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</row>
    <row r="144" ht="15.75" customHeight="1">
      <c r="A144" s="109"/>
      <c r="B144" s="10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</row>
    <row r="145" ht="15.75" customHeight="1">
      <c r="A145" s="109"/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</row>
    <row r="146" ht="15.75" customHeight="1">
      <c r="A146" s="109"/>
      <c r="B146" s="10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</row>
    <row r="147" ht="15.75" customHeight="1">
      <c r="A147" s="109"/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</row>
    <row r="148" ht="15.75" customHeight="1">
      <c r="A148" s="109"/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</row>
    <row r="149" ht="15.75" customHeight="1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</row>
    <row r="150" ht="15.75" customHeight="1">
      <c r="A150" s="109"/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</row>
    <row r="151" ht="15.75" customHeight="1">
      <c r="A151" s="109"/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</row>
    <row r="152" ht="15.75" customHeight="1">
      <c r="A152" s="109"/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</row>
    <row r="153" ht="15.75" customHeight="1">
      <c r="A153" s="109"/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</row>
    <row r="154" ht="15.75" customHeight="1">
      <c r="A154" s="109"/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</row>
    <row r="155" ht="15.75" customHeight="1">
      <c r="A155" s="109"/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</row>
    <row r="156" ht="15.75" customHeight="1">
      <c r="A156" s="109"/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</row>
    <row r="157" ht="15.75" customHeight="1">
      <c r="A157" s="109"/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</row>
    <row r="158" ht="15.75" customHeight="1">
      <c r="A158" s="109"/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</row>
    <row r="159" ht="15.75" customHeight="1">
      <c r="A159" s="109"/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</row>
    <row r="160" ht="15.75" customHeight="1">
      <c r="A160" s="109"/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</row>
    <row r="161" ht="15.75" customHeight="1">
      <c r="A161" s="109"/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</row>
    <row r="162" ht="15.75" customHeight="1">
      <c r="A162" s="109"/>
      <c r="B162" s="10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</row>
    <row r="163" ht="15.75" customHeight="1">
      <c r="A163" s="109"/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</row>
    <row r="164" ht="15.75" customHeight="1">
      <c r="A164" s="109"/>
      <c r="B164" s="10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</row>
    <row r="165" ht="15.75" customHeight="1">
      <c r="A165" s="109"/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</row>
    <row r="166" ht="15.75" customHeight="1">
      <c r="A166" s="109"/>
      <c r="B166" s="10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</row>
    <row r="167" ht="15.75" customHeight="1">
      <c r="A167" s="109"/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</row>
    <row r="168" ht="15.75" customHeight="1">
      <c r="A168" s="109"/>
      <c r="B168" s="10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</row>
    <row r="169" ht="15.75" customHeight="1">
      <c r="A169" s="109"/>
      <c r="B169" s="10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</row>
    <row r="170" ht="15.75" customHeight="1">
      <c r="A170" s="109"/>
      <c r="B170" s="10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</row>
    <row r="171" ht="15.75" customHeight="1">
      <c r="A171" s="109"/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</row>
    <row r="172" ht="15.75" customHeight="1">
      <c r="A172" s="109"/>
      <c r="B172" s="10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</row>
    <row r="173" ht="15.75" customHeight="1">
      <c r="A173" s="109"/>
      <c r="B173" s="10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</row>
    <row r="174" ht="15.75" customHeight="1">
      <c r="A174" s="109"/>
      <c r="B174" s="10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</row>
    <row r="175" ht="15.75" customHeight="1">
      <c r="A175" s="109"/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</row>
    <row r="176" ht="15.75" customHeight="1">
      <c r="A176" s="109"/>
      <c r="B176" s="10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</row>
    <row r="177" ht="15.75" customHeight="1">
      <c r="A177" s="109"/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</row>
    <row r="178" ht="15.75" customHeight="1">
      <c r="A178" s="109"/>
      <c r="B178" s="10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</row>
    <row r="179" ht="15.75" customHeight="1">
      <c r="A179" s="109"/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</row>
    <row r="180" ht="15.75" customHeight="1">
      <c r="A180" s="109"/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</row>
    <row r="181" ht="15.75" customHeight="1">
      <c r="A181" s="109"/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</row>
    <row r="182" ht="15.75" customHeight="1">
      <c r="A182" s="109"/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</row>
    <row r="183" ht="15.75" customHeight="1">
      <c r="A183" s="109"/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</row>
    <row r="184" ht="15.75" customHeight="1">
      <c r="A184" s="109"/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</row>
    <row r="185" ht="15.75" customHeight="1">
      <c r="A185" s="109"/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</row>
    <row r="186" ht="15.75" customHeight="1">
      <c r="A186" s="109"/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</row>
    <row r="187" ht="15.75" customHeight="1">
      <c r="A187" s="109"/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</row>
    <row r="188" ht="15.75" customHeight="1">
      <c r="A188" s="109"/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</row>
    <row r="189" ht="15.75" customHeight="1">
      <c r="A189" s="109"/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</row>
    <row r="190" ht="15.75" customHeight="1">
      <c r="A190" s="109"/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</row>
    <row r="191" ht="15.75" customHeight="1">
      <c r="A191" s="109"/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</row>
    <row r="192" ht="15.75" customHeight="1">
      <c r="A192" s="109"/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</row>
    <row r="193" ht="15.75" customHeight="1">
      <c r="A193" s="109"/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</row>
    <row r="194" ht="15.75" customHeight="1">
      <c r="A194" s="109"/>
      <c r="B194" s="10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</row>
    <row r="195" ht="15.75" customHeight="1">
      <c r="A195" s="109"/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</row>
    <row r="196" ht="15.75" customHeight="1">
      <c r="A196" s="109"/>
      <c r="B196" s="10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</row>
    <row r="197" ht="15.75" customHeight="1">
      <c r="A197" s="109"/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</row>
    <row r="198" ht="15.75" customHeight="1">
      <c r="A198" s="109"/>
      <c r="B198" s="10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</row>
    <row r="199" ht="15.75" customHeight="1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</row>
    <row r="200" ht="15.75" customHeight="1">
      <c r="A200" s="109"/>
      <c r="B200" s="10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</row>
    <row r="201" ht="15.75" customHeight="1">
      <c r="A201" s="109"/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</row>
    <row r="202" ht="15.75" customHeight="1">
      <c r="A202" s="109"/>
      <c r="B202" s="10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</row>
    <row r="203" ht="15.75" customHeight="1">
      <c r="A203" s="109"/>
      <c r="B203" s="10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</row>
    <row r="204" ht="15.75" customHeight="1">
      <c r="A204" s="109"/>
      <c r="B204" s="10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</row>
    <row r="205" ht="15.75" customHeight="1">
      <c r="A205" s="109"/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</row>
    <row r="206" ht="15.75" customHeight="1">
      <c r="A206" s="109"/>
      <c r="B206" s="10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</row>
    <row r="207" ht="15.75" customHeight="1">
      <c r="A207" s="109"/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</row>
    <row r="208" ht="15.75" customHeight="1">
      <c r="A208" s="109"/>
      <c r="B208" s="10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</row>
    <row r="209" ht="15.75" customHeight="1">
      <c r="A209" s="109"/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</row>
    <row r="210" ht="15.75" customHeight="1">
      <c r="A210" s="109"/>
      <c r="B210" s="10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</row>
    <row r="211" ht="15.75" customHeight="1">
      <c r="A211" s="109"/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</row>
    <row r="212" ht="15.75" customHeight="1">
      <c r="A212" s="109"/>
      <c r="B212" s="10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</row>
    <row r="213" ht="15.75" customHeight="1">
      <c r="A213" s="109"/>
      <c r="B213" s="10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</row>
    <row r="214" ht="15.75" customHeight="1">
      <c r="A214" s="109"/>
      <c r="B214" s="10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</row>
    <row r="215" ht="15.75" customHeight="1">
      <c r="A215" s="109"/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</row>
    <row r="216" ht="15.75" customHeight="1">
      <c r="A216" s="109"/>
      <c r="B216" s="10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</row>
    <row r="217" ht="15.75" customHeight="1">
      <c r="A217" s="109"/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</row>
    <row r="218" ht="15.75" customHeight="1">
      <c r="A218" s="109"/>
      <c r="B218" s="10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</row>
    <row r="219" ht="15.75" customHeight="1">
      <c r="A219" s="109"/>
      <c r="B219" s="10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</row>
    <row r="220" ht="15.75" customHeight="1">
      <c r="A220" s="109"/>
      <c r="B220" s="10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</row>
    <row r="221" ht="15.75" customHeight="1">
      <c r="A221" s="109"/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</row>
    <row r="222" ht="15.75" customHeight="1">
      <c r="A222" s="109"/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</row>
    <row r="223" ht="15.75" customHeight="1">
      <c r="A223" s="109"/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</row>
    <row r="224" ht="15.75" customHeight="1">
      <c r="A224" s="109"/>
      <c r="B224" s="10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</row>
    <row r="225" ht="15.75" customHeight="1">
      <c r="A225" s="109"/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</row>
    <row r="226" ht="15.75" customHeight="1">
      <c r="A226" s="109"/>
      <c r="B226" s="10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</row>
    <row r="227" ht="15.75" customHeight="1">
      <c r="A227" s="109"/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</row>
    <row r="228" ht="15.75" customHeight="1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</row>
    <row r="229" ht="15.75" customHeight="1">
      <c r="A229" s="109"/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</row>
    <row r="230" ht="15.75" customHeight="1">
      <c r="A230" s="109"/>
      <c r="B230" s="10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</row>
    <row r="231" ht="15.75" customHeight="1">
      <c r="A231" s="109"/>
      <c r="B231" s="10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</row>
    <row r="232" ht="15.75" customHeight="1">
      <c r="A232" s="109"/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</row>
    <row r="233" ht="15.75" customHeight="1">
      <c r="A233" s="109"/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</row>
    <row r="234" ht="15.75" customHeight="1">
      <c r="A234" s="109"/>
      <c r="B234" s="10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</row>
    <row r="235" ht="15.75" customHeight="1">
      <c r="A235" s="109"/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</row>
    <row r="236" ht="15.75" customHeight="1">
      <c r="A236" s="109"/>
      <c r="B236" s="10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</row>
    <row r="237" ht="15.75" customHeight="1">
      <c r="A237" s="109"/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</row>
    <row r="238" ht="15.75" customHeight="1">
      <c r="A238" s="109"/>
      <c r="B238" s="10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</row>
    <row r="239" ht="15.75" customHeight="1">
      <c r="A239" s="109"/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</row>
    <row r="240" ht="15.75" customHeight="1">
      <c r="A240" s="109"/>
      <c r="B240" s="10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</row>
    <row r="241" ht="15.75" customHeight="1">
      <c r="A241" s="109"/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</row>
    <row r="242" ht="15.75" customHeight="1">
      <c r="A242" s="109"/>
      <c r="B242" s="10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</row>
    <row r="243" ht="15.75" customHeight="1">
      <c r="A243" s="109"/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</row>
    <row r="244" ht="15.75" customHeight="1">
      <c r="A244" s="109"/>
      <c r="B244" s="10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</row>
    <row r="245" ht="15.75" customHeight="1">
      <c r="A245" s="109"/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</row>
    <row r="246" ht="15.75" customHeight="1">
      <c r="A246" s="109"/>
      <c r="B246" s="10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</row>
    <row r="247" ht="15.75" customHeight="1">
      <c r="A247" s="109"/>
      <c r="B247" s="10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</row>
    <row r="248" ht="15.75" customHeight="1">
      <c r="A248" s="109"/>
      <c r="B248" s="10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</row>
    <row r="249" ht="15.75" customHeight="1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</row>
    <row r="250" ht="15.75" customHeight="1">
      <c r="A250" s="109"/>
      <c r="B250" s="10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</row>
    <row r="251" ht="15.75" customHeight="1">
      <c r="A251" s="109"/>
      <c r="B251" s="10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</row>
    <row r="252" ht="15.75" customHeight="1">
      <c r="A252" s="109"/>
      <c r="B252" s="10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</row>
    <row r="253" ht="15.75" customHeight="1">
      <c r="A253" s="109"/>
      <c r="B253" s="10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</row>
    <row r="254" ht="15.75" customHeight="1">
      <c r="A254" s="109"/>
      <c r="B254" s="10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</row>
    <row r="255" ht="15.75" customHeight="1">
      <c r="A255" s="109"/>
      <c r="B255" s="10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</row>
    <row r="256" ht="15.75" customHeight="1">
      <c r="A256" s="109"/>
      <c r="B256" s="10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</row>
    <row r="257" ht="15.75" customHeight="1">
      <c r="A257" s="109"/>
      <c r="B257" s="10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</row>
    <row r="258" ht="15.75" customHeight="1">
      <c r="A258" s="109"/>
      <c r="B258" s="10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</row>
    <row r="259" ht="15.75" customHeight="1">
      <c r="A259" s="109"/>
      <c r="B259" s="10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</row>
    <row r="260" ht="15.75" customHeight="1">
      <c r="A260" s="109"/>
      <c r="B260" s="10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</row>
    <row r="261" ht="15.75" customHeight="1">
      <c r="A261" s="109"/>
      <c r="B261" s="10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</row>
    <row r="262" ht="15.75" customHeight="1">
      <c r="A262" s="109"/>
      <c r="B262" s="10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</row>
    <row r="263" ht="15.75" customHeight="1">
      <c r="A263" s="109"/>
      <c r="B263" s="10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</row>
    <row r="264" ht="15.75" customHeight="1">
      <c r="A264" s="109"/>
      <c r="B264" s="10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</row>
    <row r="265" ht="15.75" customHeight="1">
      <c r="A265" s="109"/>
      <c r="B265" s="10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</row>
    <row r="266" ht="15.75" customHeight="1">
      <c r="A266" s="109"/>
      <c r="B266" s="10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</row>
    <row r="267" ht="15.75" customHeight="1">
      <c r="A267" s="109"/>
      <c r="B267" s="10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</row>
    <row r="268" ht="15.75" customHeight="1">
      <c r="A268" s="109"/>
      <c r="B268" s="10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</row>
    <row r="269" ht="15.75" customHeight="1">
      <c r="A269" s="109"/>
      <c r="B269" s="10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</row>
    <row r="270" ht="15.75" customHeight="1">
      <c r="A270" s="109"/>
      <c r="B270" s="10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</row>
    <row r="271" ht="15.75" customHeight="1">
      <c r="A271" s="109"/>
      <c r="B271" s="10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</row>
    <row r="272" ht="15.75" customHeight="1">
      <c r="A272" s="109"/>
      <c r="B272" s="10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</row>
    <row r="273" ht="15.75" customHeight="1">
      <c r="A273" s="109"/>
      <c r="B273" s="10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</row>
    <row r="274" ht="15.75" customHeight="1">
      <c r="A274" s="109"/>
      <c r="B274" s="10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</row>
    <row r="275" ht="15.75" customHeight="1">
      <c r="A275" s="109"/>
      <c r="B275" s="10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</row>
    <row r="276" ht="15.75" customHeight="1">
      <c r="A276" s="109"/>
      <c r="B276" s="10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</row>
    <row r="277" ht="15.75" customHeight="1">
      <c r="A277" s="109"/>
      <c r="B277" s="10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</row>
    <row r="278" ht="15.75" customHeight="1">
      <c r="A278" s="109"/>
      <c r="B278" s="10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</row>
    <row r="279" ht="15.75" customHeight="1">
      <c r="A279" s="109"/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</row>
    <row r="280" ht="15.75" customHeight="1">
      <c r="A280" s="109"/>
      <c r="B280" s="10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</row>
    <row r="281" ht="15.75" customHeight="1">
      <c r="A281" s="109"/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</row>
    <row r="282" ht="15.75" customHeight="1">
      <c r="A282" s="109"/>
      <c r="B282" s="10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</row>
    <row r="283" ht="15.75" customHeight="1">
      <c r="A283" s="109"/>
      <c r="B283" s="10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</row>
    <row r="284" ht="15.75" customHeight="1">
      <c r="A284" s="109"/>
      <c r="B284" s="10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</row>
    <row r="285" ht="15.75" customHeight="1">
      <c r="A285" s="109"/>
      <c r="B285" s="10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</row>
    <row r="286" ht="15.75" customHeight="1">
      <c r="A286" s="109"/>
      <c r="B286" s="10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</row>
    <row r="287" ht="15.75" customHeight="1">
      <c r="A287" s="109"/>
      <c r="B287" s="10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</row>
    <row r="288" ht="15.75" customHeight="1">
      <c r="A288" s="109"/>
      <c r="B288" s="10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</row>
    <row r="289" ht="15.75" customHeight="1">
      <c r="A289" s="109"/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</row>
    <row r="290" ht="15.75" customHeight="1">
      <c r="A290" s="109"/>
      <c r="B290" s="10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</row>
    <row r="291" ht="15.75" customHeight="1">
      <c r="A291" s="109"/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</row>
    <row r="292" ht="15.75" customHeight="1">
      <c r="A292" s="109"/>
      <c r="B292" s="10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</row>
    <row r="293" ht="15.75" customHeight="1">
      <c r="A293" s="109"/>
      <c r="B293" s="10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</row>
    <row r="294" ht="15.75" customHeight="1">
      <c r="A294" s="109"/>
      <c r="B294" s="10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</row>
    <row r="295" ht="15.75" customHeight="1">
      <c r="A295" s="109"/>
      <c r="B295" s="10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</row>
    <row r="296" ht="15.75" customHeight="1">
      <c r="A296" s="109"/>
      <c r="B296" s="10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</row>
    <row r="297" ht="15.75" customHeight="1">
      <c r="A297" s="109"/>
      <c r="B297" s="10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</row>
    <row r="298" ht="15.75" customHeight="1">
      <c r="A298" s="109"/>
      <c r="B298" s="10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</row>
    <row r="299" ht="15.75" customHeight="1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</row>
    <row r="300" ht="15.75" customHeight="1">
      <c r="A300" s="109"/>
      <c r="B300" s="10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</row>
    <row r="301" ht="15.75" customHeight="1">
      <c r="A301" s="109"/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</row>
    <row r="302" ht="15.75" customHeight="1">
      <c r="A302" s="109"/>
      <c r="B302" s="10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</row>
    <row r="303" ht="15.75" customHeight="1">
      <c r="A303" s="109"/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</row>
    <row r="304" ht="15.75" customHeight="1">
      <c r="A304" s="109"/>
      <c r="B304" s="10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</row>
    <row r="305" ht="15.75" customHeight="1">
      <c r="A305" s="109"/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</row>
    <row r="306" ht="15.75" customHeight="1">
      <c r="A306" s="109"/>
      <c r="B306" s="10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</row>
    <row r="307" ht="15.75" customHeight="1">
      <c r="A307" s="109"/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</row>
    <row r="308" ht="15.75" customHeight="1">
      <c r="A308" s="109"/>
      <c r="B308" s="10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</row>
    <row r="309" ht="15.75" customHeight="1">
      <c r="A309" s="109"/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</row>
    <row r="310" ht="15.75" customHeight="1">
      <c r="A310" s="109"/>
      <c r="B310" s="10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</row>
    <row r="311" ht="15.75" customHeight="1">
      <c r="A311" s="109"/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</row>
    <row r="312" ht="15.75" customHeight="1">
      <c r="A312" s="109"/>
      <c r="B312" s="10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</row>
    <row r="313" ht="15.75" customHeight="1">
      <c r="A313" s="109"/>
      <c r="B313" s="10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</row>
    <row r="314" ht="15.75" customHeight="1">
      <c r="A314" s="109"/>
      <c r="B314" s="10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</row>
    <row r="315" ht="15.75" customHeight="1">
      <c r="A315" s="109"/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</row>
    <row r="316" ht="15.75" customHeight="1">
      <c r="A316" s="109"/>
      <c r="B316" s="10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</row>
    <row r="317" ht="15.75" customHeight="1">
      <c r="A317" s="109"/>
      <c r="B317" s="10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</row>
    <row r="318" ht="15.75" customHeight="1">
      <c r="A318" s="109"/>
      <c r="B318" s="10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</row>
    <row r="319" ht="15.75" customHeight="1">
      <c r="A319" s="109"/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</row>
    <row r="320" ht="15.75" customHeight="1">
      <c r="A320" s="109"/>
      <c r="B320" s="10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</row>
    <row r="321" ht="15.75" customHeight="1">
      <c r="A321" s="109"/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</row>
    <row r="322" ht="15.75" customHeight="1">
      <c r="A322" s="109"/>
      <c r="B322" s="10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</row>
    <row r="323" ht="15.75" customHeight="1">
      <c r="A323" s="109"/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</row>
    <row r="324" ht="15.75" customHeight="1">
      <c r="A324" s="109"/>
      <c r="B324" s="10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</row>
    <row r="325" ht="15.75" customHeight="1">
      <c r="A325" s="109"/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</row>
    <row r="326" ht="15.75" customHeight="1">
      <c r="A326" s="109"/>
      <c r="B326" s="10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</row>
    <row r="327" ht="15.75" customHeight="1">
      <c r="A327" s="109"/>
      <c r="B327" s="10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</row>
    <row r="328" ht="15.75" customHeight="1">
      <c r="A328" s="109"/>
      <c r="B328" s="10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</row>
    <row r="329" ht="15.75" customHeight="1">
      <c r="A329" s="109"/>
      <c r="B329" s="10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</row>
    <row r="330" ht="15.75" customHeight="1">
      <c r="A330" s="109"/>
      <c r="B330" s="10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</row>
    <row r="331" ht="15.75" customHeight="1">
      <c r="A331" s="109"/>
      <c r="B331" s="10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</row>
    <row r="332" ht="15.75" customHeight="1">
      <c r="A332" s="109"/>
      <c r="B332" s="10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</row>
    <row r="333" ht="15.75" customHeight="1">
      <c r="A333" s="109"/>
      <c r="B333" s="10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</row>
    <row r="334" ht="15.75" customHeight="1">
      <c r="A334" s="109"/>
      <c r="B334" s="10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</row>
    <row r="335" ht="15.75" customHeight="1">
      <c r="A335" s="109"/>
      <c r="B335" s="10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</row>
    <row r="336" ht="15.75" customHeight="1">
      <c r="A336" s="109"/>
      <c r="B336" s="10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</row>
    <row r="337" ht="15.75" customHeight="1">
      <c r="A337" s="109"/>
      <c r="B337" s="10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</row>
    <row r="338" ht="15.75" customHeight="1">
      <c r="A338" s="109"/>
      <c r="B338" s="10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</row>
    <row r="339" ht="15.75" customHeight="1">
      <c r="A339" s="109"/>
      <c r="B339" s="10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</row>
    <row r="340" ht="15.75" customHeight="1">
      <c r="A340" s="109"/>
      <c r="B340" s="10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</row>
    <row r="341" ht="15.75" customHeight="1">
      <c r="A341" s="109"/>
      <c r="B341" s="10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</row>
    <row r="342" ht="15.75" customHeight="1">
      <c r="A342" s="109"/>
      <c r="B342" s="10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ht="15.75" customHeight="1">
      <c r="A343" s="109"/>
      <c r="B343" s="10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</row>
    <row r="344" ht="15.75" customHeight="1">
      <c r="A344" s="109"/>
      <c r="B344" s="10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</row>
    <row r="345" ht="15.75" customHeight="1">
      <c r="A345" s="109"/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</row>
    <row r="346" ht="15.75" customHeight="1">
      <c r="A346" s="109"/>
      <c r="B346" s="10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</row>
    <row r="347" ht="15.75" customHeight="1">
      <c r="A347" s="109"/>
      <c r="B347" s="10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</row>
    <row r="348" ht="15.75" customHeight="1">
      <c r="A348" s="109"/>
      <c r="B348" s="10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</row>
    <row r="349" ht="15.75" customHeight="1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</row>
    <row r="350" ht="15.75" customHeight="1">
      <c r="A350" s="109"/>
      <c r="B350" s="10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</row>
    <row r="351" ht="15.75" customHeight="1">
      <c r="A351" s="109"/>
      <c r="B351" s="10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</row>
    <row r="352" ht="15.75" customHeight="1">
      <c r="A352" s="109"/>
      <c r="B352" s="10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</row>
    <row r="353" ht="15.75" customHeight="1">
      <c r="A353" s="109"/>
      <c r="B353" s="10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</row>
    <row r="354" ht="15.75" customHeight="1">
      <c r="A354" s="109"/>
      <c r="B354" s="10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</row>
    <row r="355" ht="15.75" customHeight="1">
      <c r="A355" s="109"/>
      <c r="B355" s="10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</row>
    <row r="356" ht="15.75" customHeight="1">
      <c r="A356" s="109"/>
      <c r="B356" s="10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</row>
    <row r="357" ht="15.75" customHeight="1">
      <c r="A357" s="109"/>
      <c r="B357" s="10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</row>
    <row r="358" ht="15.75" customHeight="1">
      <c r="A358" s="109"/>
      <c r="B358" s="10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</row>
    <row r="359" ht="15.75" customHeight="1">
      <c r="A359" s="109"/>
      <c r="B359" s="10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</row>
    <row r="360" ht="15.75" customHeight="1">
      <c r="A360" s="109"/>
      <c r="B360" s="10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</row>
    <row r="361" ht="15.75" customHeight="1">
      <c r="A361" s="109"/>
      <c r="B361" s="10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</row>
    <row r="362" ht="15.75" customHeight="1">
      <c r="A362" s="109"/>
      <c r="B362" s="10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</row>
    <row r="363" ht="15.75" customHeight="1">
      <c r="A363" s="109"/>
      <c r="B363" s="10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</row>
    <row r="364" ht="15.75" customHeight="1">
      <c r="A364" s="109"/>
      <c r="B364" s="10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</row>
    <row r="365" ht="15.75" customHeight="1">
      <c r="A365" s="109"/>
      <c r="B365" s="10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</row>
    <row r="366" ht="15.75" customHeight="1">
      <c r="A366" s="109"/>
      <c r="B366" s="10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</row>
    <row r="367" ht="15.75" customHeight="1">
      <c r="A367" s="109"/>
      <c r="B367" s="10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</row>
    <row r="368" ht="15.75" customHeight="1">
      <c r="A368" s="109"/>
      <c r="B368" s="10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</row>
    <row r="369" ht="15.75" customHeight="1">
      <c r="A369" s="109"/>
      <c r="B369" s="10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</row>
    <row r="370" ht="15.75" customHeight="1">
      <c r="A370" s="109"/>
      <c r="B370" s="10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</row>
    <row r="371" ht="15.75" customHeight="1">
      <c r="A371" s="109"/>
      <c r="B371" s="10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</row>
    <row r="372" ht="15.75" customHeight="1">
      <c r="A372" s="109"/>
      <c r="B372" s="10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</row>
    <row r="373" ht="15.75" customHeight="1">
      <c r="A373" s="109"/>
      <c r="B373" s="10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</row>
    <row r="374" ht="15.75" customHeight="1">
      <c r="A374" s="109"/>
      <c r="B374" s="10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</row>
    <row r="375" ht="15.75" customHeight="1">
      <c r="A375" s="109"/>
      <c r="B375" s="10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</row>
    <row r="376" ht="15.75" customHeight="1">
      <c r="A376" s="109"/>
      <c r="B376" s="10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</row>
    <row r="377" ht="15.75" customHeight="1">
      <c r="A377" s="109"/>
      <c r="B377" s="10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</row>
    <row r="378" ht="15.75" customHeight="1">
      <c r="A378" s="109"/>
      <c r="B378" s="10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</row>
    <row r="379" ht="15.75" customHeight="1">
      <c r="A379" s="109"/>
      <c r="B379" s="10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</row>
    <row r="380" ht="15.75" customHeight="1">
      <c r="A380" s="109"/>
      <c r="B380" s="10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</row>
    <row r="381" ht="15.75" customHeight="1">
      <c r="A381" s="109"/>
      <c r="B381" s="10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</row>
    <row r="382" ht="15.75" customHeight="1">
      <c r="A382" s="109"/>
      <c r="B382" s="10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</row>
    <row r="383" ht="15.75" customHeight="1">
      <c r="A383" s="109"/>
      <c r="B383" s="10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</row>
    <row r="384" ht="15.75" customHeight="1">
      <c r="A384" s="109"/>
      <c r="B384" s="10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</row>
    <row r="385" ht="15.75" customHeight="1">
      <c r="A385" s="109"/>
      <c r="B385" s="10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</row>
    <row r="386" ht="15.75" customHeight="1">
      <c r="A386" s="109"/>
      <c r="B386" s="10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</row>
    <row r="387" ht="15.75" customHeight="1">
      <c r="A387" s="109"/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</row>
    <row r="388" ht="15.75" customHeight="1">
      <c r="A388" s="109"/>
      <c r="B388" s="10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</row>
    <row r="389" ht="15.75" customHeight="1">
      <c r="A389" s="109"/>
      <c r="B389" s="10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</row>
    <row r="390" ht="15.75" customHeight="1">
      <c r="A390" s="109"/>
      <c r="B390" s="10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</row>
    <row r="391" ht="15.75" customHeight="1">
      <c r="A391" s="109"/>
      <c r="B391" s="10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</row>
    <row r="392" ht="15.75" customHeight="1">
      <c r="A392" s="109"/>
      <c r="B392" s="10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</row>
    <row r="393" ht="15.75" customHeight="1">
      <c r="A393" s="109"/>
      <c r="B393" s="10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</row>
    <row r="394" ht="15.75" customHeight="1">
      <c r="A394" s="109"/>
      <c r="B394" s="10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</row>
    <row r="395" ht="15.75" customHeight="1">
      <c r="A395" s="109"/>
      <c r="B395" s="10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</row>
    <row r="396" ht="15.75" customHeight="1">
      <c r="A396" s="109"/>
      <c r="B396" s="10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</row>
    <row r="397" ht="15.75" customHeight="1">
      <c r="A397" s="109"/>
      <c r="B397" s="10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</row>
    <row r="398" ht="15.75" customHeight="1">
      <c r="A398" s="109"/>
      <c r="B398" s="10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</row>
    <row r="399" ht="15.75" customHeight="1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</row>
    <row r="400" ht="15.75" customHeight="1">
      <c r="A400" s="109"/>
      <c r="B400" s="10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</row>
    <row r="401" ht="15.75" customHeight="1">
      <c r="A401" s="109"/>
      <c r="B401" s="10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</row>
    <row r="402" ht="15.75" customHeight="1">
      <c r="A402" s="109"/>
      <c r="B402" s="10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</row>
    <row r="403" ht="15.75" customHeight="1">
      <c r="A403" s="109"/>
      <c r="B403" s="10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</row>
    <row r="404" ht="15.75" customHeight="1">
      <c r="A404" s="109"/>
      <c r="B404" s="10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</row>
    <row r="405" ht="15.75" customHeight="1">
      <c r="A405" s="109"/>
      <c r="B405" s="10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</row>
    <row r="406" ht="15.75" customHeight="1">
      <c r="A406" s="109"/>
      <c r="B406" s="10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</row>
    <row r="407" ht="15.75" customHeight="1">
      <c r="A407" s="109"/>
      <c r="B407" s="10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</row>
    <row r="408" ht="15.75" customHeight="1">
      <c r="A408" s="109"/>
      <c r="B408" s="10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</row>
    <row r="409" ht="15.75" customHeight="1">
      <c r="A409" s="109"/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</row>
    <row r="410" ht="15.75" customHeight="1">
      <c r="A410" s="109"/>
      <c r="B410" s="10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</row>
    <row r="411" ht="15.75" customHeight="1">
      <c r="A411" s="109"/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</row>
    <row r="412" ht="15.75" customHeight="1">
      <c r="A412" s="109"/>
      <c r="B412" s="10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</row>
    <row r="413" ht="15.75" customHeight="1">
      <c r="A413" s="109"/>
      <c r="B413" s="10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</row>
    <row r="414" ht="15.75" customHeight="1">
      <c r="A414" s="109"/>
      <c r="B414" s="10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</row>
    <row r="415" ht="15.75" customHeight="1">
      <c r="A415" s="109"/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</row>
    <row r="416" ht="15.75" customHeight="1">
      <c r="A416" s="109"/>
      <c r="B416" s="10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</row>
    <row r="417" ht="15.75" customHeight="1">
      <c r="A417" s="109"/>
      <c r="B417" s="10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</row>
    <row r="418" ht="15.75" customHeight="1">
      <c r="A418" s="109"/>
      <c r="B418" s="10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</row>
    <row r="419" ht="15.75" customHeight="1">
      <c r="A419" s="109"/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</row>
    <row r="420" ht="15.75" customHeight="1">
      <c r="A420" s="109"/>
      <c r="B420" s="10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</row>
    <row r="421" ht="15.75" customHeight="1">
      <c r="A421" s="109"/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</row>
    <row r="422" ht="15.75" customHeight="1">
      <c r="A422" s="109"/>
      <c r="B422" s="10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</row>
    <row r="423" ht="15.75" customHeight="1">
      <c r="A423" s="109"/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</row>
    <row r="424" ht="15.75" customHeight="1">
      <c r="A424" s="109"/>
      <c r="B424" s="10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</row>
    <row r="425" ht="15.75" customHeight="1">
      <c r="A425" s="109"/>
      <c r="B425" s="10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</row>
    <row r="426" ht="15.75" customHeight="1">
      <c r="A426" s="109"/>
      <c r="B426" s="10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</row>
    <row r="427" ht="15.75" customHeight="1">
      <c r="A427" s="109"/>
      <c r="B427" s="10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</row>
    <row r="428" ht="15.75" customHeight="1">
      <c r="A428" s="109"/>
      <c r="B428" s="10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</row>
    <row r="429" ht="15.75" customHeight="1">
      <c r="A429" s="109"/>
      <c r="B429" s="10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</row>
    <row r="430" ht="15.75" customHeight="1">
      <c r="A430" s="109"/>
      <c r="B430" s="10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</row>
    <row r="431" ht="15.75" customHeight="1">
      <c r="A431" s="109"/>
      <c r="B431" s="10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</row>
    <row r="432" ht="15.75" customHeight="1">
      <c r="A432" s="109"/>
      <c r="B432" s="10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</row>
    <row r="433" ht="15.75" customHeight="1">
      <c r="A433" s="109"/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</row>
    <row r="434" ht="15.75" customHeight="1">
      <c r="A434" s="109"/>
      <c r="B434" s="10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</row>
    <row r="435" ht="15.75" customHeight="1">
      <c r="A435" s="109"/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</row>
    <row r="436" ht="15.75" customHeight="1">
      <c r="A436" s="109"/>
      <c r="B436" s="10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</row>
    <row r="437" ht="15.75" customHeight="1">
      <c r="A437" s="109"/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</row>
    <row r="438" ht="15.75" customHeight="1">
      <c r="A438" s="109"/>
      <c r="B438" s="10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</row>
    <row r="439" ht="15.75" customHeight="1">
      <c r="A439" s="109"/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</row>
    <row r="440" ht="15.75" customHeight="1">
      <c r="A440" s="109"/>
      <c r="B440" s="10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</row>
    <row r="441" ht="15.75" customHeight="1">
      <c r="A441" s="109"/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</row>
    <row r="442" ht="15.75" customHeight="1">
      <c r="A442" s="109"/>
      <c r="B442" s="10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</row>
    <row r="443" ht="15.75" customHeight="1">
      <c r="A443" s="109"/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</row>
    <row r="444" ht="15.75" customHeight="1">
      <c r="A444" s="109"/>
      <c r="B444" s="10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</row>
    <row r="445" ht="15.75" customHeight="1">
      <c r="A445" s="109"/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</row>
    <row r="446" ht="15.75" customHeight="1">
      <c r="A446" s="109"/>
      <c r="B446" s="10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</row>
    <row r="447" ht="15.75" customHeight="1">
      <c r="A447" s="109"/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</row>
    <row r="448" ht="15.75" customHeight="1">
      <c r="A448" s="109"/>
      <c r="B448" s="10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</row>
    <row r="449" ht="15.75" customHeight="1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</row>
    <row r="450" ht="15.75" customHeight="1">
      <c r="A450" s="109"/>
      <c r="B450" s="10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</row>
    <row r="451" ht="15.75" customHeight="1">
      <c r="A451" s="109"/>
      <c r="B451" s="10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</row>
    <row r="452" ht="15.75" customHeight="1">
      <c r="A452" s="109"/>
      <c r="B452" s="10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</row>
    <row r="453" ht="15.75" customHeight="1">
      <c r="A453" s="109"/>
      <c r="B453" s="10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</row>
    <row r="454" ht="15.75" customHeight="1">
      <c r="A454" s="109"/>
      <c r="B454" s="10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</row>
    <row r="455" ht="15.75" customHeight="1">
      <c r="A455" s="109"/>
      <c r="B455" s="10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</row>
    <row r="456" ht="15.75" customHeight="1">
      <c r="A456" s="109"/>
      <c r="B456" s="10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</row>
    <row r="457" ht="15.75" customHeight="1">
      <c r="A457" s="109"/>
      <c r="B457" s="10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</row>
    <row r="458" ht="15.75" customHeight="1">
      <c r="A458" s="109"/>
      <c r="B458" s="10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</row>
    <row r="459" ht="15.75" customHeight="1">
      <c r="A459" s="109"/>
      <c r="B459" s="10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</row>
    <row r="460" ht="15.75" customHeight="1">
      <c r="A460" s="109"/>
      <c r="B460" s="10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</row>
    <row r="461" ht="15.75" customHeight="1">
      <c r="A461" s="109"/>
      <c r="B461" s="10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</row>
    <row r="462" ht="15.75" customHeight="1">
      <c r="A462" s="109"/>
      <c r="B462" s="10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</row>
    <row r="463" ht="15.75" customHeight="1">
      <c r="A463" s="109"/>
      <c r="B463" s="10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</row>
    <row r="464" ht="15.75" customHeight="1">
      <c r="A464" s="109"/>
      <c r="B464" s="10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</row>
    <row r="465" ht="15.75" customHeight="1">
      <c r="A465" s="109"/>
      <c r="B465" s="10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</row>
    <row r="466" ht="15.75" customHeight="1">
      <c r="A466" s="109"/>
      <c r="B466" s="10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</row>
    <row r="467" ht="15.75" customHeight="1">
      <c r="A467" s="109"/>
      <c r="B467" s="10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</row>
    <row r="468" ht="15.75" customHeight="1">
      <c r="A468" s="109"/>
      <c r="B468" s="10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</row>
    <row r="469" ht="15.75" customHeight="1">
      <c r="A469" s="109"/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</row>
    <row r="470" ht="15.75" customHeight="1">
      <c r="A470" s="109"/>
      <c r="B470" s="10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</row>
    <row r="471" ht="15.75" customHeight="1">
      <c r="A471" s="109"/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</row>
    <row r="472" ht="15.75" customHeight="1">
      <c r="A472" s="109"/>
      <c r="B472" s="10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</row>
    <row r="473" ht="15.75" customHeight="1">
      <c r="A473" s="109"/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</row>
    <row r="474" ht="15.75" customHeight="1">
      <c r="A474" s="109"/>
      <c r="B474" s="10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</row>
    <row r="475" ht="15.75" customHeight="1">
      <c r="A475" s="109"/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</row>
    <row r="476" ht="15.75" customHeight="1">
      <c r="A476" s="109"/>
      <c r="B476" s="10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</row>
    <row r="477" ht="15.75" customHeight="1">
      <c r="A477" s="109"/>
      <c r="B477" s="10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</row>
    <row r="478" ht="15.75" customHeight="1">
      <c r="A478" s="109"/>
      <c r="B478" s="10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</row>
    <row r="479" ht="15.75" customHeight="1">
      <c r="A479" s="109"/>
      <c r="B479" s="10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</row>
    <row r="480" ht="15.75" customHeight="1">
      <c r="A480" s="109"/>
      <c r="B480" s="10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</row>
    <row r="481" ht="15.75" customHeight="1">
      <c r="A481" s="109"/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</row>
    <row r="482" ht="15.75" customHeight="1">
      <c r="A482" s="109"/>
      <c r="B482" s="10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</row>
    <row r="483" ht="15.75" customHeight="1">
      <c r="A483" s="109"/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</row>
    <row r="484" ht="15.75" customHeight="1">
      <c r="A484" s="109"/>
      <c r="B484" s="10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</row>
    <row r="485" ht="15.75" customHeight="1">
      <c r="A485" s="109"/>
      <c r="B485" s="10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</row>
    <row r="486" ht="15.75" customHeight="1">
      <c r="A486" s="109"/>
      <c r="B486" s="10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</row>
    <row r="487" ht="15.75" customHeight="1">
      <c r="A487" s="109"/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</row>
    <row r="488" ht="15.75" customHeight="1">
      <c r="A488" s="109"/>
      <c r="B488" s="10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</row>
    <row r="489" ht="15.75" customHeight="1">
      <c r="A489" s="109"/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</row>
    <row r="490" ht="15.75" customHeight="1">
      <c r="A490" s="109"/>
      <c r="B490" s="10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</row>
    <row r="491" ht="15.75" customHeight="1">
      <c r="A491" s="109"/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</row>
    <row r="492" ht="15.75" customHeight="1">
      <c r="A492" s="109"/>
      <c r="B492" s="10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</row>
    <row r="493" ht="15.75" customHeight="1">
      <c r="A493" s="109"/>
      <c r="B493" s="10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</row>
    <row r="494" ht="15.75" customHeight="1">
      <c r="A494" s="109"/>
      <c r="B494" s="10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</row>
    <row r="495" ht="15.75" customHeight="1">
      <c r="A495" s="109"/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</row>
    <row r="496" ht="15.75" customHeight="1">
      <c r="A496" s="109"/>
      <c r="B496" s="10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</row>
    <row r="497" ht="15.75" customHeight="1">
      <c r="A497" s="109"/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</row>
    <row r="498" ht="15.75" customHeight="1">
      <c r="A498" s="109"/>
      <c r="B498" s="10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</row>
    <row r="499" ht="15.75" customHeight="1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</row>
    <row r="500" ht="15.75" customHeight="1">
      <c r="A500" s="109"/>
      <c r="B500" s="10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</row>
    <row r="501" ht="15.75" customHeight="1">
      <c r="A501" s="109"/>
      <c r="B501" s="10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</row>
    <row r="502" ht="15.75" customHeight="1">
      <c r="A502" s="109"/>
      <c r="B502" s="10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</row>
    <row r="503" ht="15.75" customHeight="1">
      <c r="A503" s="109"/>
      <c r="B503" s="10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</row>
    <row r="504" ht="15.75" customHeight="1">
      <c r="A504" s="109"/>
      <c r="B504" s="10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</row>
    <row r="505" ht="15.75" customHeight="1">
      <c r="A505" s="109"/>
      <c r="B505" s="10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</row>
    <row r="506" ht="15.75" customHeight="1">
      <c r="A506" s="109"/>
      <c r="B506" s="10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</row>
    <row r="507" ht="15.75" customHeight="1">
      <c r="A507" s="109"/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</row>
    <row r="508" ht="15.75" customHeight="1">
      <c r="A508" s="109"/>
      <c r="B508" s="10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</row>
    <row r="509" ht="15.75" customHeight="1">
      <c r="A509" s="109"/>
      <c r="B509" s="10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</row>
    <row r="510" ht="15.75" customHeight="1">
      <c r="A510" s="109"/>
      <c r="B510" s="10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</row>
    <row r="511" ht="15.75" customHeight="1">
      <c r="A511" s="109"/>
      <c r="B511" s="10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</row>
    <row r="512" ht="15.75" customHeight="1">
      <c r="A512" s="109"/>
      <c r="B512" s="10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</row>
    <row r="513" ht="15.75" customHeight="1">
      <c r="A513" s="109"/>
      <c r="B513" s="10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</row>
    <row r="514" ht="15.75" customHeight="1">
      <c r="A514" s="109"/>
      <c r="B514" s="10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</row>
    <row r="515" ht="15.75" customHeight="1">
      <c r="A515" s="109"/>
      <c r="B515" s="10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</row>
    <row r="516" ht="15.75" customHeight="1">
      <c r="A516" s="109"/>
      <c r="B516" s="10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</row>
    <row r="517" ht="15.75" customHeight="1">
      <c r="A517" s="109"/>
      <c r="B517" s="10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</row>
    <row r="518" ht="15.75" customHeight="1">
      <c r="A518" s="109"/>
      <c r="B518" s="10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</row>
    <row r="519" ht="15.75" customHeight="1">
      <c r="A519" s="109"/>
      <c r="B519" s="10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</row>
    <row r="520" ht="15.75" customHeight="1">
      <c r="A520" s="109"/>
      <c r="B520" s="10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</row>
    <row r="521" ht="15.75" customHeight="1">
      <c r="A521" s="109"/>
      <c r="B521" s="10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</row>
    <row r="522" ht="15.75" customHeight="1">
      <c r="A522" s="109"/>
      <c r="B522" s="10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</row>
    <row r="523" ht="15.75" customHeight="1">
      <c r="A523" s="109"/>
      <c r="B523" s="10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</row>
    <row r="524" ht="15.75" customHeight="1">
      <c r="A524" s="109"/>
      <c r="B524" s="10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</row>
    <row r="525" ht="15.75" customHeight="1">
      <c r="A525" s="109"/>
      <c r="B525" s="10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</row>
    <row r="526" ht="15.75" customHeight="1">
      <c r="A526" s="109"/>
      <c r="B526" s="10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</row>
    <row r="527" ht="15.75" customHeight="1">
      <c r="A527" s="109"/>
      <c r="B527" s="10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</row>
    <row r="528" ht="15.75" customHeight="1">
      <c r="A528" s="109"/>
      <c r="B528" s="10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</row>
    <row r="529" ht="15.75" customHeight="1">
      <c r="A529" s="109"/>
      <c r="B529" s="10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</row>
    <row r="530" ht="15.75" customHeight="1">
      <c r="A530" s="109"/>
      <c r="B530" s="10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</row>
    <row r="531" ht="15.75" customHeight="1">
      <c r="A531" s="109"/>
      <c r="B531" s="10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</row>
    <row r="532" ht="15.75" customHeight="1">
      <c r="A532" s="109"/>
      <c r="B532" s="10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</row>
    <row r="533" ht="15.75" customHeight="1">
      <c r="A533" s="109"/>
      <c r="B533" s="10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</row>
    <row r="534" ht="15.75" customHeight="1">
      <c r="A534" s="109"/>
      <c r="B534" s="10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</row>
    <row r="535" ht="15.75" customHeight="1">
      <c r="A535" s="109"/>
      <c r="B535" s="10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</row>
    <row r="536" ht="15.75" customHeight="1">
      <c r="A536" s="109"/>
      <c r="B536" s="10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</row>
    <row r="537" ht="15.75" customHeight="1">
      <c r="A537" s="109"/>
      <c r="B537" s="10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</row>
    <row r="538" ht="15.75" customHeight="1">
      <c r="A538" s="109"/>
      <c r="B538" s="10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</row>
    <row r="539" ht="15.75" customHeight="1">
      <c r="A539" s="109"/>
      <c r="B539" s="10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</row>
    <row r="540" ht="15.75" customHeight="1">
      <c r="A540" s="109"/>
      <c r="B540" s="10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</row>
    <row r="541" ht="15.75" customHeight="1">
      <c r="A541" s="109"/>
      <c r="B541" s="10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</row>
    <row r="542" ht="15.75" customHeight="1">
      <c r="A542" s="109"/>
      <c r="B542" s="10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</row>
    <row r="543" ht="15.75" customHeight="1">
      <c r="A543" s="109"/>
      <c r="B543" s="10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</row>
    <row r="544" ht="15.75" customHeight="1">
      <c r="A544" s="109"/>
      <c r="B544" s="10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</row>
    <row r="545" ht="15.75" customHeight="1">
      <c r="A545" s="109"/>
      <c r="B545" s="10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</row>
    <row r="546" ht="15.75" customHeight="1">
      <c r="A546" s="109"/>
      <c r="B546" s="10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</row>
    <row r="547" ht="15.75" customHeight="1">
      <c r="A547" s="109"/>
      <c r="B547" s="10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</row>
    <row r="548" ht="15.75" customHeight="1">
      <c r="A548" s="109"/>
      <c r="B548" s="10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</row>
    <row r="549" ht="15.75" customHeight="1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</row>
    <row r="550" ht="15.75" customHeight="1">
      <c r="A550" s="109"/>
      <c r="B550" s="10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</row>
    <row r="551" ht="15.75" customHeight="1">
      <c r="A551" s="109"/>
      <c r="B551" s="10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</row>
    <row r="552" ht="15.75" customHeight="1">
      <c r="A552" s="109"/>
      <c r="B552" s="10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</row>
    <row r="553" ht="15.75" customHeight="1">
      <c r="A553" s="109"/>
      <c r="B553" s="10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</row>
    <row r="554" ht="15.75" customHeight="1">
      <c r="A554" s="109"/>
      <c r="B554" s="10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</row>
    <row r="555" ht="15.75" customHeight="1">
      <c r="A555" s="109"/>
      <c r="B555" s="10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</row>
    <row r="556" ht="15.75" customHeight="1">
      <c r="A556" s="109"/>
      <c r="B556" s="10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</row>
    <row r="557" ht="15.75" customHeight="1">
      <c r="A557" s="109"/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</row>
    <row r="558" ht="15.75" customHeight="1">
      <c r="A558" s="109"/>
      <c r="B558" s="10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</row>
    <row r="559" ht="15.75" customHeight="1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</row>
    <row r="560" ht="15.75" customHeight="1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</row>
    <row r="561" ht="15.75" customHeight="1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</row>
    <row r="562" ht="15.75" customHeight="1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</row>
    <row r="563" ht="15.75" customHeight="1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</row>
    <row r="564" ht="15.75" customHeight="1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</row>
    <row r="565" ht="15.75" customHeight="1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</row>
    <row r="566" ht="15.75" customHeight="1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</row>
    <row r="567" ht="15.75" customHeight="1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</row>
    <row r="568" ht="15.75" customHeight="1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</row>
    <row r="569" ht="15.75" customHeight="1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</row>
    <row r="570" ht="15.75" customHeight="1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</row>
    <row r="571" ht="15.75" customHeight="1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</row>
    <row r="572" ht="15.75" customHeight="1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</row>
    <row r="573" ht="15.75" customHeight="1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</row>
    <row r="574" ht="15.75" customHeight="1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</row>
    <row r="575" ht="15.75" customHeight="1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</row>
    <row r="576" ht="15.75" customHeight="1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</row>
    <row r="577" ht="15.75" customHeight="1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</row>
    <row r="578" ht="15.75" customHeight="1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</row>
    <row r="579" ht="15.75" customHeight="1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</row>
    <row r="580" ht="15.75" customHeight="1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</row>
    <row r="581" ht="15.75" customHeight="1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</row>
    <row r="582" ht="15.75" customHeight="1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</row>
    <row r="583" ht="15.75" customHeight="1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</row>
    <row r="584" ht="15.75" customHeight="1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</row>
    <row r="585" ht="15.75" customHeight="1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</row>
    <row r="586" ht="15.75" customHeight="1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</row>
    <row r="587" ht="15.75" customHeight="1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</row>
    <row r="588" ht="15.75" customHeight="1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</row>
    <row r="589" ht="15.75" customHeight="1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</row>
    <row r="590" ht="15.75" customHeight="1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</row>
    <row r="591" ht="15.75" customHeight="1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</row>
    <row r="592" ht="15.75" customHeight="1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</row>
    <row r="593" ht="15.75" customHeight="1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</row>
    <row r="594" ht="15.75" customHeight="1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</row>
    <row r="595" ht="15.75" customHeight="1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</row>
    <row r="596" ht="15.75" customHeight="1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</row>
    <row r="597" ht="15.75" customHeight="1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</row>
    <row r="598" ht="15.75" customHeight="1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</row>
    <row r="599" ht="15.75" customHeight="1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</row>
    <row r="600" ht="15.75" customHeight="1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</row>
    <row r="601" ht="15.75" customHeight="1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</row>
    <row r="602" ht="15.75" customHeight="1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</row>
    <row r="603" ht="15.75" customHeight="1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</row>
    <row r="604" ht="15.75" customHeight="1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</row>
    <row r="605" ht="15.75" customHeight="1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</row>
    <row r="606" ht="15.75" customHeight="1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</row>
    <row r="607" ht="15.75" customHeight="1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</row>
    <row r="608" ht="15.75" customHeight="1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</row>
    <row r="609" ht="15.75" customHeight="1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</row>
    <row r="610" ht="15.75" customHeight="1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</row>
    <row r="611" ht="15.75" customHeight="1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</row>
    <row r="612" ht="15.75" customHeight="1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</row>
    <row r="613" ht="15.75" customHeight="1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</row>
    <row r="614" ht="15.75" customHeight="1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</row>
    <row r="615" ht="15.75" customHeight="1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</row>
    <row r="616" ht="15.75" customHeight="1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</row>
    <row r="617" ht="15.75" customHeight="1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</row>
    <row r="618" ht="15.75" customHeight="1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</row>
    <row r="619" ht="15.75" customHeight="1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</row>
    <row r="620" ht="15.75" customHeight="1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</row>
    <row r="621" ht="15.75" customHeight="1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</row>
    <row r="622" ht="15.75" customHeight="1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</row>
    <row r="623" ht="15.75" customHeight="1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</row>
    <row r="624" ht="15.75" customHeight="1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</row>
    <row r="625" ht="15.75" customHeight="1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</row>
    <row r="626" ht="15.75" customHeight="1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</row>
    <row r="627" ht="15.75" customHeight="1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</row>
    <row r="628" ht="15.75" customHeight="1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</row>
    <row r="629" ht="15.75" customHeight="1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</row>
    <row r="630" ht="15.75" customHeight="1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</row>
    <row r="631" ht="15.75" customHeight="1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</row>
    <row r="632" ht="15.75" customHeight="1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</row>
    <row r="633" ht="15.75" customHeight="1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</row>
    <row r="634" ht="15.75" customHeight="1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</row>
    <row r="635" ht="15.75" customHeight="1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</row>
    <row r="636" ht="15.75" customHeight="1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</row>
    <row r="637" ht="15.75" customHeight="1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</row>
    <row r="638" ht="15.75" customHeight="1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</row>
    <row r="639" ht="15.75" customHeight="1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</row>
    <row r="640" ht="15.75" customHeight="1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</row>
    <row r="641" ht="15.75" customHeight="1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</row>
    <row r="642" ht="15.75" customHeight="1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</row>
    <row r="643" ht="15.75" customHeight="1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</row>
    <row r="644" ht="15.75" customHeight="1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</row>
    <row r="645" ht="15.75" customHeight="1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</row>
    <row r="646" ht="15.75" customHeight="1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</row>
    <row r="647" ht="15.75" customHeight="1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</row>
    <row r="648" ht="15.75" customHeight="1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</row>
    <row r="649" ht="15.75" customHeight="1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</row>
    <row r="650" ht="15.75" customHeight="1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</row>
    <row r="651" ht="15.75" customHeight="1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</row>
    <row r="652" ht="15.75" customHeight="1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</row>
    <row r="653" ht="15.75" customHeight="1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</row>
    <row r="654" ht="15.75" customHeight="1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</row>
    <row r="655" ht="15.75" customHeight="1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</row>
    <row r="656" ht="15.75" customHeight="1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</row>
    <row r="657" ht="15.75" customHeight="1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</row>
    <row r="658" ht="15.75" customHeight="1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</row>
    <row r="659" ht="15.75" customHeight="1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</row>
    <row r="660" ht="15.75" customHeight="1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</row>
    <row r="661" ht="15.75" customHeight="1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</row>
    <row r="662" ht="15.75" customHeight="1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</row>
    <row r="663" ht="15.75" customHeight="1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</row>
    <row r="664" ht="15.75" customHeight="1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</row>
    <row r="665" ht="15.75" customHeight="1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</row>
    <row r="666" ht="15.75" customHeight="1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</row>
    <row r="667" ht="15.75" customHeight="1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</row>
    <row r="668" ht="15.75" customHeight="1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</row>
    <row r="669" ht="15.75" customHeight="1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</row>
    <row r="670" ht="15.75" customHeight="1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</row>
    <row r="671" ht="15.75" customHeight="1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</row>
    <row r="672" ht="15.75" customHeight="1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</row>
    <row r="673" ht="15.75" customHeight="1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</row>
    <row r="674" ht="15.75" customHeight="1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</row>
    <row r="675" ht="15.75" customHeight="1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</row>
    <row r="676" ht="15.75" customHeight="1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</row>
    <row r="677" ht="15.75" customHeight="1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</row>
    <row r="678" ht="15.75" customHeight="1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</row>
    <row r="679" ht="15.75" customHeight="1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</row>
    <row r="680" ht="15.75" customHeight="1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</row>
    <row r="681" ht="15.75" customHeight="1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</row>
    <row r="682" ht="15.75" customHeight="1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</row>
    <row r="683" ht="15.75" customHeight="1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</row>
    <row r="684" ht="15.75" customHeight="1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</row>
    <row r="685" ht="15.75" customHeight="1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</row>
    <row r="686" ht="15.75" customHeight="1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</row>
    <row r="687" ht="15.75" customHeight="1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</row>
    <row r="688" ht="15.75" customHeight="1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</row>
    <row r="689" ht="15.75" customHeight="1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</row>
    <row r="690" ht="15.75" customHeight="1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</row>
    <row r="691" ht="15.75" customHeight="1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</row>
    <row r="692" ht="15.75" customHeight="1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</row>
    <row r="693" ht="15.75" customHeight="1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</row>
    <row r="694" ht="15.75" customHeight="1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</row>
    <row r="695" ht="15.75" customHeight="1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</row>
    <row r="696" ht="15.75" customHeight="1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</row>
    <row r="697" ht="15.75" customHeight="1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</row>
    <row r="698" ht="15.75" customHeight="1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</row>
    <row r="699" ht="15.75" customHeight="1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</row>
    <row r="700" ht="15.75" customHeight="1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</row>
    <row r="701" ht="15.75" customHeight="1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</row>
    <row r="702" ht="15.75" customHeight="1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</row>
    <row r="703" ht="15.75" customHeight="1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</row>
    <row r="704" ht="15.75" customHeight="1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</row>
    <row r="705" ht="15.75" customHeight="1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</row>
    <row r="706" ht="15.75" customHeight="1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</row>
    <row r="707" ht="15.75" customHeight="1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</row>
    <row r="708" ht="15.75" customHeight="1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</row>
    <row r="709" ht="15.75" customHeight="1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</row>
    <row r="710" ht="15.75" customHeight="1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</row>
    <row r="711" ht="15.75" customHeight="1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</row>
    <row r="712" ht="15.75" customHeight="1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</row>
    <row r="713" ht="15.75" customHeight="1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</row>
    <row r="714" ht="15.75" customHeight="1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</row>
    <row r="715" ht="15.75" customHeight="1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</row>
    <row r="716" ht="15.75" customHeight="1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</row>
    <row r="717" ht="15.75" customHeight="1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</row>
    <row r="718" ht="15.75" customHeight="1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</row>
    <row r="719" ht="15.75" customHeight="1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</row>
    <row r="720" ht="15.75" customHeight="1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</row>
    <row r="721" ht="15.75" customHeight="1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</row>
    <row r="722" ht="15.75" customHeight="1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</row>
    <row r="723" ht="15.75" customHeight="1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</row>
    <row r="724" ht="15.75" customHeight="1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</row>
    <row r="725" ht="15.75" customHeight="1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</row>
    <row r="726" ht="15.75" customHeight="1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</row>
    <row r="727" ht="15.75" customHeight="1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</row>
    <row r="728" ht="15.75" customHeight="1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</row>
    <row r="729" ht="15.75" customHeight="1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</row>
    <row r="730" ht="15.75" customHeight="1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</row>
    <row r="731" ht="15.75" customHeight="1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</row>
    <row r="732" ht="15.75" customHeight="1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</row>
    <row r="733" ht="15.75" customHeight="1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</row>
    <row r="734" ht="15.75" customHeight="1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</row>
    <row r="735" ht="15.75" customHeight="1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</row>
    <row r="736" ht="15.75" customHeight="1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</row>
    <row r="737" ht="15.75" customHeight="1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</row>
    <row r="738" ht="15.75" customHeight="1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</row>
    <row r="739" ht="15.75" customHeight="1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</row>
    <row r="740" ht="15.75" customHeight="1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</row>
    <row r="741" ht="15.75" customHeight="1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</row>
    <row r="742" ht="15.75" customHeight="1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</row>
    <row r="743" ht="15.75" customHeight="1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</row>
    <row r="744" ht="15.75" customHeight="1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</row>
    <row r="745" ht="15.75" customHeight="1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</row>
    <row r="746" ht="15.75" customHeight="1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</row>
    <row r="747" ht="15.75" customHeight="1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</row>
    <row r="748" ht="15.75" customHeight="1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</row>
    <row r="749" ht="15.75" customHeight="1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</row>
    <row r="750" ht="15.75" customHeight="1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</row>
    <row r="751" ht="15.75" customHeight="1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</row>
    <row r="752" ht="15.75" customHeight="1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</row>
    <row r="753" ht="15.75" customHeight="1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</row>
    <row r="754" ht="15.75" customHeight="1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</row>
    <row r="755" ht="15.75" customHeight="1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</row>
    <row r="756" ht="15.75" customHeight="1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</row>
    <row r="757" ht="15.75" customHeight="1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</row>
    <row r="758" ht="15.75" customHeight="1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</row>
    <row r="759" ht="15.75" customHeight="1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</row>
    <row r="760" ht="15.75" customHeight="1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</row>
    <row r="761" ht="15.75" customHeight="1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</row>
    <row r="762" ht="15.75" customHeight="1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</row>
    <row r="763" ht="15.75" customHeight="1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</row>
    <row r="764" ht="15.75" customHeight="1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</row>
    <row r="765" ht="15.75" customHeight="1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</row>
    <row r="766" ht="15.75" customHeight="1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</row>
    <row r="767" ht="15.75" customHeight="1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</row>
    <row r="768" ht="15.75" customHeight="1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</row>
    <row r="769" ht="15.75" customHeight="1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</row>
    <row r="770" ht="15.75" customHeight="1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</row>
    <row r="771" ht="15.75" customHeight="1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</row>
    <row r="772" ht="15.75" customHeight="1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</row>
    <row r="773" ht="15.75" customHeight="1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</row>
    <row r="774" ht="15.75" customHeight="1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</row>
    <row r="775" ht="15.75" customHeight="1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</row>
    <row r="776" ht="15.75" customHeight="1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</row>
    <row r="777" ht="15.75" customHeight="1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</row>
    <row r="778" ht="15.75" customHeight="1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</row>
    <row r="779" ht="15.75" customHeight="1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</row>
    <row r="780" ht="15.75" customHeight="1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</row>
    <row r="781" ht="15.75" customHeight="1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</row>
    <row r="782" ht="15.75" customHeight="1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</row>
    <row r="783" ht="15.75" customHeight="1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</row>
    <row r="784" ht="15.75" customHeight="1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</row>
    <row r="785" ht="15.75" customHeight="1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</row>
    <row r="786" ht="15.75" customHeight="1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</row>
    <row r="787" ht="15.75" customHeight="1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</row>
    <row r="788" ht="15.75" customHeight="1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</row>
    <row r="789" ht="15.75" customHeight="1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</row>
    <row r="790" ht="15.75" customHeight="1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</row>
    <row r="791" ht="15.75" customHeight="1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</row>
    <row r="792" ht="15.75" customHeight="1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</row>
    <row r="793" ht="15.75" customHeight="1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</row>
    <row r="794" ht="15.75" customHeight="1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</row>
    <row r="795" ht="15.75" customHeight="1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</row>
    <row r="796" ht="15.75" customHeight="1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</row>
    <row r="797" ht="15.75" customHeight="1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</row>
    <row r="798" ht="15.75" customHeight="1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</row>
    <row r="799" ht="15.75" customHeight="1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</row>
    <row r="800" ht="15.75" customHeight="1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</row>
    <row r="801" ht="15.75" customHeight="1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</row>
    <row r="802" ht="15.75" customHeight="1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</row>
    <row r="803" ht="15.75" customHeight="1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</row>
    <row r="804" ht="15.75" customHeight="1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</row>
    <row r="805" ht="15.75" customHeight="1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</row>
    <row r="806" ht="15.75" customHeight="1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</row>
    <row r="807" ht="15.75" customHeight="1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</row>
    <row r="808" ht="15.75" customHeight="1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</row>
    <row r="809" ht="15.75" customHeight="1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</row>
    <row r="810" ht="15.75" customHeight="1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</row>
    <row r="811" ht="15.75" customHeight="1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</row>
    <row r="812" ht="15.75" customHeight="1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</row>
    <row r="813" ht="15.75" customHeight="1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</row>
    <row r="814" ht="15.75" customHeight="1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</row>
    <row r="815" ht="15.75" customHeight="1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</row>
    <row r="816" ht="15.75" customHeight="1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</row>
    <row r="817" ht="15.75" customHeight="1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</row>
    <row r="818" ht="15.75" customHeight="1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</row>
    <row r="819" ht="15.75" customHeight="1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</row>
    <row r="820" ht="15.75" customHeight="1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</row>
    <row r="821" ht="15.75" customHeight="1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</row>
    <row r="822" ht="15.75" customHeight="1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</row>
    <row r="823" ht="15.75" customHeight="1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</row>
    <row r="824" ht="15.75" customHeight="1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</row>
    <row r="825" ht="15.75" customHeight="1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</row>
    <row r="826" ht="15.75" customHeight="1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</row>
    <row r="827" ht="15.75" customHeight="1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</row>
    <row r="828" ht="15.75" customHeight="1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</row>
    <row r="829" ht="15.75" customHeight="1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</row>
    <row r="830" ht="15.75" customHeight="1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</row>
    <row r="831" ht="15.75" customHeight="1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</row>
    <row r="832" ht="15.75" customHeight="1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</row>
    <row r="833" ht="15.75" customHeight="1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</row>
    <row r="834" ht="15.75" customHeight="1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</row>
    <row r="835" ht="15.75" customHeight="1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</row>
    <row r="836" ht="15.75" customHeight="1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</row>
    <row r="837" ht="15.75" customHeight="1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</row>
    <row r="838" ht="15.75" customHeight="1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</row>
    <row r="839" ht="15.75" customHeight="1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</row>
    <row r="840" ht="15.75" customHeight="1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</row>
    <row r="841" ht="15.75" customHeight="1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</row>
    <row r="842" ht="15.75" customHeight="1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</row>
    <row r="843" ht="15.75" customHeight="1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</row>
    <row r="844" ht="15.75" customHeight="1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</row>
    <row r="845" ht="15.75" customHeight="1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</row>
    <row r="846" ht="15.75" customHeight="1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</row>
    <row r="847" ht="15.75" customHeight="1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</row>
    <row r="848" ht="15.75" customHeight="1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</row>
    <row r="849" ht="15.75" customHeight="1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</row>
    <row r="850" ht="15.75" customHeight="1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</row>
    <row r="851" ht="15.75" customHeight="1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</row>
    <row r="852" ht="15.75" customHeight="1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</row>
    <row r="853" ht="15.75" customHeight="1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</row>
    <row r="854" ht="15.75" customHeight="1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</row>
    <row r="855" ht="15.75" customHeight="1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</row>
    <row r="856" ht="15.75" customHeight="1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</row>
    <row r="857" ht="15.75" customHeight="1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</row>
    <row r="858" ht="15.75" customHeight="1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</row>
    <row r="859" ht="15.75" customHeight="1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</row>
    <row r="860" ht="15.75" customHeight="1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</row>
    <row r="861" ht="15.75" customHeight="1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</row>
    <row r="862" ht="15.75" customHeight="1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</row>
    <row r="863" ht="15.75" customHeight="1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</row>
    <row r="864" ht="15.75" customHeight="1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</row>
    <row r="865" ht="15.75" customHeight="1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</row>
    <row r="866" ht="15.75" customHeight="1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</row>
    <row r="867" ht="15.75" customHeight="1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</row>
    <row r="868" ht="15.75" customHeight="1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</row>
    <row r="869" ht="15.75" customHeight="1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</row>
    <row r="870" ht="15.75" customHeight="1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</row>
    <row r="871" ht="15.75" customHeight="1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</row>
    <row r="872" ht="15.75" customHeight="1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</row>
    <row r="873" ht="15.75" customHeight="1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</row>
    <row r="874" ht="15.75" customHeight="1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</row>
    <row r="875" ht="15.75" customHeight="1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</row>
    <row r="876" ht="15.75" customHeight="1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</row>
    <row r="877" ht="15.75" customHeight="1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</row>
    <row r="878" ht="15.75" customHeight="1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</row>
    <row r="879" ht="15.75" customHeight="1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</row>
    <row r="880" ht="15.75" customHeight="1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</row>
    <row r="881" ht="15.75" customHeight="1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</row>
    <row r="882" ht="15.75" customHeight="1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</row>
    <row r="883" ht="15.75" customHeight="1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</row>
    <row r="884" ht="15.75" customHeight="1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</row>
    <row r="885" ht="15.75" customHeight="1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</row>
    <row r="886" ht="15.75" customHeight="1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</row>
    <row r="887" ht="15.75" customHeight="1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</row>
    <row r="888" ht="15.75" customHeight="1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</row>
    <row r="889" ht="15.75" customHeight="1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</row>
    <row r="890" ht="15.75" customHeight="1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</row>
    <row r="891" ht="15.75" customHeight="1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</row>
    <row r="892" ht="15.75" customHeight="1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</row>
    <row r="893" ht="15.75" customHeight="1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</row>
    <row r="894" ht="15.75" customHeight="1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</row>
    <row r="895" ht="15.75" customHeight="1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</row>
    <row r="896" ht="15.75" customHeight="1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</row>
    <row r="897" ht="15.75" customHeight="1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</row>
    <row r="898" ht="15.75" customHeight="1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</row>
    <row r="899" ht="15.75" customHeight="1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</row>
    <row r="900" ht="15.75" customHeight="1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</row>
    <row r="901" ht="15.75" customHeight="1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</row>
    <row r="902" ht="15.75" customHeight="1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</row>
    <row r="903" ht="15.75" customHeight="1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</row>
    <row r="904" ht="15.75" customHeight="1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</row>
    <row r="905" ht="15.75" customHeight="1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</row>
    <row r="906" ht="15.75" customHeight="1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</row>
    <row r="907" ht="15.75" customHeight="1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</row>
    <row r="908" ht="15.75" customHeight="1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</row>
    <row r="909" ht="15.75" customHeight="1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</row>
    <row r="910" ht="15.75" customHeight="1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</row>
    <row r="911" ht="15.75" customHeight="1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</row>
    <row r="912" ht="15.75" customHeight="1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</row>
    <row r="913" ht="15.75" customHeight="1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</row>
    <row r="914" ht="15.75" customHeight="1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</row>
    <row r="915" ht="15.75" customHeight="1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</row>
    <row r="916" ht="15.75" customHeight="1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</row>
    <row r="917" ht="15.75" customHeight="1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</row>
    <row r="918" ht="15.75" customHeight="1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</row>
    <row r="919" ht="15.75" customHeight="1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</row>
    <row r="920" ht="15.75" customHeight="1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</row>
    <row r="921" ht="15.75" customHeight="1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</row>
    <row r="922" ht="15.75" customHeight="1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</row>
    <row r="923" ht="15.75" customHeight="1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</row>
    <row r="924" ht="15.75" customHeight="1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</row>
    <row r="925" ht="15.75" customHeight="1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</row>
    <row r="926" ht="15.75" customHeight="1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</row>
    <row r="927" ht="15.75" customHeight="1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</row>
    <row r="928" ht="15.75" customHeight="1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</row>
    <row r="929" ht="15.75" customHeight="1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</row>
    <row r="930" ht="15.75" customHeight="1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</row>
    <row r="931" ht="15.75" customHeight="1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</row>
    <row r="932" ht="15.75" customHeight="1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</row>
    <row r="933" ht="15.75" customHeight="1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</row>
    <row r="934" ht="15.75" customHeight="1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</row>
    <row r="935" ht="15.75" customHeight="1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</row>
    <row r="936" ht="15.75" customHeight="1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</row>
    <row r="937" ht="15.75" customHeight="1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</row>
    <row r="938" ht="15.75" customHeight="1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</row>
    <row r="939" ht="15.75" customHeight="1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</row>
    <row r="940" ht="15.75" customHeight="1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</row>
    <row r="941" ht="15.75" customHeight="1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</row>
    <row r="942" ht="15.75" customHeight="1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</row>
    <row r="943" ht="15.75" customHeight="1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</row>
    <row r="944" ht="15.75" customHeight="1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</row>
    <row r="945" ht="15.75" customHeight="1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</row>
    <row r="946" ht="15.75" customHeight="1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</row>
    <row r="947" ht="15.75" customHeight="1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</row>
    <row r="948" ht="15.75" customHeight="1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</row>
    <row r="949" ht="15.75" customHeight="1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</row>
    <row r="950" ht="15.75" customHeight="1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</row>
    <row r="951" ht="15.75" customHeight="1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</row>
    <row r="952" ht="15.75" customHeight="1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</row>
    <row r="953" ht="15.75" customHeight="1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</row>
    <row r="954" ht="15.75" customHeight="1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</row>
    <row r="955" ht="15.75" customHeight="1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</row>
    <row r="956" ht="15.75" customHeight="1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</row>
    <row r="957" ht="15.75" customHeight="1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</row>
    <row r="958" ht="15.75" customHeight="1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</row>
    <row r="959" ht="15.75" customHeight="1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</row>
    <row r="960" ht="15.75" customHeight="1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</row>
    <row r="961" ht="15.75" customHeight="1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</row>
    <row r="962" ht="15.75" customHeight="1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</row>
    <row r="963" ht="15.75" customHeight="1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</row>
    <row r="964" ht="15.75" customHeight="1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</row>
    <row r="965" ht="15.75" customHeight="1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</row>
    <row r="966" ht="15.75" customHeight="1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</row>
    <row r="967" ht="15.75" customHeight="1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</row>
    <row r="968" ht="15.75" customHeight="1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</row>
    <row r="969" ht="15.75" customHeight="1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</row>
    <row r="970" ht="15.75" customHeight="1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</row>
    <row r="971" ht="15.75" customHeight="1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</row>
    <row r="972" ht="15.75" customHeight="1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</row>
    <row r="973" ht="15.75" customHeight="1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</row>
    <row r="974" ht="15.75" customHeight="1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</row>
    <row r="975" ht="15.75" customHeight="1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</row>
    <row r="976" ht="15.75" customHeight="1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</row>
    <row r="977" ht="15.75" customHeight="1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</row>
    <row r="978" ht="15.75" customHeight="1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</row>
    <row r="979" ht="15.75" customHeight="1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</row>
    <row r="980" ht="15.75" customHeight="1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</row>
    <row r="981" ht="15.75" customHeight="1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</row>
    <row r="982" ht="15.75" customHeight="1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</row>
    <row r="983" ht="15.75" customHeight="1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</row>
    <row r="984" ht="15.75" customHeight="1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</row>
    <row r="985" ht="15.75" customHeight="1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</row>
    <row r="986" ht="15.75" customHeight="1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</row>
    <row r="987" ht="15.75" customHeight="1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</row>
    <row r="988" ht="15.75" customHeight="1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</row>
    <row r="989" ht="15.75" customHeight="1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</row>
    <row r="990" ht="15.75" customHeight="1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</row>
    <row r="991" ht="15.75" customHeight="1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</row>
    <row r="992" ht="15.75" customHeight="1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</row>
    <row r="993" ht="15.75" customHeight="1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</row>
    <row r="994" ht="15.75" customHeight="1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14"/>
      <c r="G4" s="26"/>
      <c r="H4" s="28"/>
      <c r="I4" s="14"/>
      <c r="J4" s="42"/>
      <c r="K4" s="42"/>
      <c r="L4" s="14"/>
      <c r="M4" s="42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25"/>
      <c r="F5" s="14"/>
      <c r="G5" s="26"/>
      <c r="H5" s="28"/>
      <c r="I5" s="14"/>
      <c r="J5" s="42"/>
      <c r="K5" s="42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25"/>
      <c r="F6" s="14"/>
      <c r="G6" s="26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20">
        <v>4.0</v>
      </c>
      <c r="C7" s="47"/>
      <c r="D7" s="33"/>
      <c r="E7" s="25"/>
      <c r="F7" s="14"/>
      <c r="G7" s="38"/>
      <c r="H7" s="50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25"/>
      <c r="F8" s="43"/>
      <c r="G8" s="26"/>
      <c r="H8" s="28"/>
      <c r="I8" s="14"/>
      <c r="J8" s="42"/>
      <c r="K8" s="42"/>
      <c r="L8" s="14"/>
      <c r="M8" s="42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14"/>
      <c r="G9" s="38"/>
      <c r="H9" s="50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17"/>
      <c r="F10" s="14"/>
      <c r="G10" s="38"/>
      <c r="H10" s="50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53"/>
      <c r="H11" s="41"/>
      <c r="I11" s="20"/>
      <c r="J11" s="20"/>
      <c r="K11" s="20"/>
      <c r="L11" s="14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14"/>
      <c r="G4" s="26"/>
      <c r="H4" s="28"/>
      <c r="I4" s="14"/>
      <c r="J4" s="42"/>
      <c r="K4" s="42"/>
      <c r="L4" s="14"/>
      <c r="M4" s="42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25"/>
      <c r="F5" s="14"/>
      <c r="G5" s="26"/>
      <c r="H5" s="28"/>
      <c r="I5" s="14"/>
      <c r="J5" s="42"/>
      <c r="K5" s="42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45"/>
      <c r="F6" s="14"/>
      <c r="G6" s="38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25"/>
      <c r="F7" s="14"/>
      <c r="G7" s="26"/>
      <c r="H7" s="28"/>
      <c r="I7" s="14"/>
      <c r="J7" s="42"/>
      <c r="K7" s="42"/>
      <c r="L7" s="14"/>
      <c r="M7" s="42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25"/>
      <c r="F8" s="46"/>
      <c r="G8" s="26"/>
      <c r="H8" s="28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46"/>
      <c r="G9" s="26"/>
      <c r="H9" s="28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35"/>
      <c r="F10" s="46"/>
      <c r="G10" s="26"/>
      <c r="H10" s="28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4"/>
      <c r="D11" s="33"/>
      <c r="E11" s="17"/>
      <c r="F11" s="46"/>
      <c r="G11" s="26"/>
      <c r="H11" s="28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3"/>
      <c r="E12" s="25"/>
      <c r="F12" s="46"/>
      <c r="G12" s="26"/>
      <c r="H12" s="28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4"/>
      <c r="D13" s="33"/>
      <c r="E13" s="25"/>
      <c r="F13" s="46"/>
      <c r="G13" s="26"/>
      <c r="H13" s="28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5.75" customHeight="1">
      <c r="A14" s="1"/>
      <c r="B14" s="20">
        <v>11.0</v>
      </c>
      <c r="C14" s="34"/>
      <c r="D14" s="33"/>
      <c r="E14" s="25"/>
      <c r="F14" s="46"/>
      <c r="G14" s="26"/>
      <c r="H14" s="28"/>
      <c r="I14" s="20"/>
      <c r="J14" s="20"/>
      <c r="K14" s="20"/>
      <c r="L14" s="20"/>
      <c r="M14" s="20"/>
      <c r="N14" s="29"/>
      <c r="O14" s="29"/>
      <c r="P14" s="29"/>
      <c r="Q14" s="1"/>
      <c r="R14" s="1"/>
    </row>
    <row r="15" ht="15.75" customHeight="1">
      <c r="A15" s="1"/>
      <c r="B15" s="20">
        <v>12.0</v>
      </c>
      <c r="C15" s="34"/>
      <c r="D15" s="33"/>
      <c r="E15" s="25"/>
      <c r="F15" s="46"/>
      <c r="G15" s="26"/>
      <c r="H15" s="28"/>
      <c r="I15" s="20"/>
      <c r="J15" s="20"/>
      <c r="K15" s="20"/>
      <c r="L15" s="20"/>
      <c r="M15" s="20"/>
      <c r="N15" s="29"/>
      <c r="O15" s="29"/>
      <c r="P15" s="29"/>
      <c r="Q15" s="1"/>
      <c r="R15" s="1"/>
    </row>
    <row r="16" ht="15.75" customHeight="1">
      <c r="A16" s="1"/>
      <c r="B16" s="20">
        <v>13.0</v>
      </c>
      <c r="C16" s="34"/>
      <c r="D16" s="33"/>
      <c r="E16" s="25"/>
      <c r="F16" s="46"/>
      <c r="G16" s="26"/>
      <c r="H16" s="28"/>
      <c r="I16" s="20"/>
      <c r="J16" s="20"/>
      <c r="K16" s="20"/>
      <c r="L16" s="20"/>
      <c r="M16" s="20"/>
      <c r="N16" s="29"/>
      <c r="O16" s="29"/>
      <c r="P16" s="29"/>
      <c r="Q16" s="1"/>
      <c r="R16" s="1"/>
    </row>
    <row r="17" ht="15.75" customHeight="1">
      <c r="A17" s="1"/>
      <c r="B17" s="20">
        <v>14.0</v>
      </c>
      <c r="C17" s="34"/>
      <c r="D17" s="33"/>
      <c r="E17" s="17"/>
      <c r="F17" s="46"/>
      <c r="G17" s="38"/>
      <c r="H17" s="50"/>
      <c r="I17" s="20"/>
      <c r="J17" s="20"/>
      <c r="K17" s="20"/>
      <c r="L17" s="20"/>
      <c r="M17" s="20"/>
      <c r="N17" s="29"/>
      <c r="O17" s="29"/>
      <c r="P17" s="29"/>
      <c r="Q17" s="1"/>
      <c r="R17" s="1"/>
    </row>
    <row r="18" ht="15.75" customHeight="1">
      <c r="A18" s="1"/>
      <c r="B18" s="20">
        <v>15.0</v>
      </c>
      <c r="C18" s="31"/>
      <c r="D18" s="34"/>
      <c r="E18" s="14"/>
      <c r="F18" s="20"/>
      <c r="G18" s="53"/>
      <c r="H18" s="41"/>
      <c r="I18" s="20"/>
      <c r="J18" s="20"/>
      <c r="K18" s="20"/>
      <c r="L18" s="20"/>
      <c r="M18" s="20"/>
      <c r="N18" s="75"/>
      <c r="O18" s="75"/>
      <c r="P18" s="7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8">
        <f t="shared" ref="G19:H19" si="1">SUM(G4:G18)</f>
        <v>0</v>
      </c>
      <c r="H19" s="5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1" t="s">
        <v>0</v>
      </c>
      <c r="C22" s="62" t="s">
        <v>6</v>
      </c>
      <c r="D22" s="62" t="s">
        <v>54</v>
      </c>
      <c r="E22" s="1"/>
      <c r="F22" s="1"/>
      <c r="G22" s="1"/>
      <c r="H22" s="1"/>
      <c r="I22" s="1"/>
      <c r="J22" s="1"/>
      <c r="K22" s="1"/>
      <c r="L22" s="1"/>
      <c r="M22" s="1"/>
      <c r="N22" s="62" t="s">
        <v>55</v>
      </c>
      <c r="O22" s="62" t="s">
        <v>1</v>
      </c>
      <c r="P22" s="1"/>
      <c r="Q22" s="1"/>
      <c r="R22" s="1"/>
    </row>
    <row r="23" ht="15.75" customHeight="1">
      <c r="A23" s="1"/>
      <c r="B23" s="63">
        <v>1.0</v>
      </c>
      <c r="C23" s="64" t="s">
        <v>56</v>
      </c>
      <c r="D23" s="65">
        <f>SUM(G19)</f>
        <v>0</v>
      </c>
      <c r="E23" s="66"/>
      <c r="F23" s="1"/>
      <c r="G23" s="1"/>
      <c r="H23" s="1"/>
      <c r="I23" s="1"/>
      <c r="J23" s="1"/>
      <c r="K23" s="1"/>
      <c r="L23" s="1"/>
      <c r="M23" s="1"/>
      <c r="N23" s="67" t="s">
        <v>57</v>
      </c>
      <c r="O23" s="23"/>
      <c r="P23" s="1"/>
      <c r="Q23" s="1"/>
      <c r="R23" s="1"/>
    </row>
    <row r="24" ht="15.75" customHeight="1">
      <c r="A24" s="1"/>
      <c r="B24" s="68">
        <v>2.0</v>
      </c>
      <c r="C24" s="70"/>
      <c r="D24" s="71"/>
      <c r="E24" s="66"/>
      <c r="F24" s="1"/>
      <c r="G24" s="1"/>
      <c r="H24" s="1"/>
      <c r="I24" s="1"/>
      <c r="J24" s="1"/>
      <c r="K24" s="1"/>
      <c r="L24" s="1"/>
      <c r="M24" s="1"/>
      <c r="N24" s="74" t="s">
        <v>58</v>
      </c>
      <c r="O24" s="75"/>
      <c r="P24" s="1"/>
      <c r="Q24" s="1"/>
      <c r="R24" s="1"/>
    </row>
    <row r="25" ht="15.75" customHeight="1">
      <c r="A25" s="1"/>
      <c r="B25" s="63">
        <v>3.0</v>
      </c>
      <c r="C25" s="77"/>
      <c r="D25" s="78"/>
      <c r="E25" s="66"/>
      <c r="F25" s="1"/>
      <c r="G25" s="1"/>
      <c r="H25" s="1"/>
      <c r="I25" s="1"/>
      <c r="J25" s="1"/>
      <c r="K25" s="1"/>
      <c r="L25" s="1"/>
      <c r="M25" s="1"/>
      <c r="N25" s="79" t="s">
        <v>59</v>
      </c>
      <c r="O25" s="29"/>
      <c r="P25" s="1"/>
      <c r="Q25" s="1"/>
      <c r="R25" s="1"/>
    </row>
    <row r="26" ht="15.75" customHeight="1">
      <c r="A26" s="1"/>
      <c r="B26" s="68">
        <v>4.0</v>
      </c>
      <c r="C26" s="72"/>
      <c r="D26" s="73"/>
      <c r="E26" s="66"/>
      <c r="F26" s="1"/>
      <c r="G26" s="1"/>
      <c r="H26" s="1"/>
      <c r="I26" s="1"/>
      <c r="J26" s="1"/>
      <c r="K26" s="1"/>
      <c r="L26" s="1"/>
      <c r="M26" s="1"/>
      <c r="N26" s="81" t="s">
        <v>60</v>
      </c>
      <c r="O26" s="75"/>
      <c r="P26" s="1"/>
      <c r="Q26" s="1"/>
      <c r="R26" s="1"/>
    </row>
    <row r="27" ht="15.75" customHeight="1">
      <c r="A27" s="1"/>
      <c r="B27" s="63">
        <v>5.0</v>
      </c>
      <c r="C27" s="64"/>
      <c r="D27" s="65"/>
      <c r="E27" s="66"/>
      <c r="F27" s="82"/>
      <c r="G27" s="2"/>
      <c r="H27" s="1"/>
      <c r="I27" s="1"/>
      <c r="J27" s="1"/>
      <c r="K27" s="1"/>
      <c r="L27" s="1"/>
      <c r="M27" s="1"/>
      <c r="N27" s="83"/>
      <c r="O27" s="1"/>
      <c r="P27" s="1"/>
      <c r="Q27" s="1"/>
      <c r="R27" s="1"/>
    </row>
    <row r="28" ht="15.75" customHeight="1">
      <c r="A28" s="1"/>
      <c r="B28" s="68">
        <v>6.0</v>
      </c>
      <c r="C28" s="72"/>
      <c r="D28" s="73"/>
      <c r="E28" s="66"/>
      <c r="F28" s="1"/>
      <c r="G28" s="1"/>
      <c r="H28" s="1"/>
      <c r="I28" s="1"/>
      <c r="J28" s="1"/>
      <c r="K28" s="84" t="s">
        <v>61</v>
      </c>
      <c r="Q28" s="1"/>
      <c r="R28" s="1"/>
    </row>
    <row r="29" ht="15.75" customHeight="1">
      <c r="A29" s="1"/>
      <c r="B29" s="63">
        <v>7.0</v>
      </c>
      <c r="C29" s="64"/>
      <c r="D29" s="65"/>
      <c r="E29" s="66"/>
      <c r="F29" s="1"/>
      <c r="G29" s="1"/>
      <c r="H29" s="1"/>
      <c r="I29" s="1"/>
      <c r="J29" s="1"/>
      <c r="K29" s="85" t="s">
        <v>1</v>
      </c>
      <c r="L29" s="85" t="s">
        <v>62</v>
      </c>
      <c r="M29" s="85" t="s">
        <v>63</v>
      </c>
      <c r="N29" s="85" t="s">
        <v>64</v>
      </c>
      <c r="O29" s="85" t="s">
        <v>65</v>
      </c>
      <c r="P29" s="85" t="s">
        <v>66</v>
      </c>
      <c r="Q29" s="1"/>
      <c r="R29" s="1"/>
      <c r="AC29" s="86" t="s">
        <v>67</v>
      </c>
      <c r="AD29" s="86" t="s">
        <v>68</v>
      </c>
      <c r="AE29" s="86" t="s">
        <v>69</v>
      </c>
      <c r="AF29" s="86" t="s">
        <v>70</v>
      </c>
      <c r="AG29" s="86" t="s">
        <v>71</v>
      </c>
    </row>
    <row r="30" ht="15.75" customHeight="1">
      <c r="A30" s="1"/>
      <c r="B30" s="68">
        <v>8.0</v>
      </c>
      <c r="C30" s="72"/>
      <c r="D30" s="73"/>
      <c r="E30" s="66"/>
      <c r="F30" s="1"/>
      <c r="G30" s="1"/>
      <c r="H30" s="1"/>
      <c r="I30" s="1"/>
      <c r="J30" s="1"/>
      <c r="K30" s="87" t="str">
        <f t="shared" ref="K30:K33" si="2">IF(O23="","",O23)</f>
        <v/>
      </c>
      <c r="L30" s="88"/>
      <c r="M30" s="88"/>
      <c r="N30" s="88"/>
      <c r="O30" s="88"/>
      <c r="P30" s="88"/>
      <c r="Q30" s="1"/>
      <c r="R30" s="1"/>
      <c r="AC30" s="86" t="str">
        <f t="shared" ref="AC30:AC35" si="3">IF(AG30="","",IF(COUNT(L30:P30)&lt;5,"",L30/5*20+M30/5*25+N30/5*25+O30/5*15+P30/5*15))</f>
        <v/>
      </c>
      <c r="AD30" s="86" t="str">
        <f t="shared" ref="AD30:AD35" si="4">IF(AC30="","",IF(AC30&gt;=90,"Sangat Baik",IF(AC30&gt;=80,"Baik",IF(AC30&gt;=70,"Coaching","Underperform"))))</f>
        <v/>
      </c>
      <c r="AE30" s="86" t="str">
        <f t="shared" ref="AE30:AE35" si="5">IF(AG30="","",IF(OR(AG30="INDAH",AG30="ADDEL",AG30="AMEL",AG30="PENTIL",AG30="JIJANG"),"Admin/CS","Fotografer"))</f>
        <v/>
      </c>
      <c r="AF30" s="86" t="str">
        <f t="shared" ref="AF30:AF35" si="6">IF(OR(AG30="",COUNT(L30:P30)&lt;5),"",1)</f>
        <v/>
      </c>
      <c r="AG30" s="86" t="str">
        <f t="shared" ref="AG30:AG35" si="7">IFERROR(K30,"")</f>
        <v/>
      </c>
    </row>
    <row r="31" ht="15.75" customHeight="1">
      <c r="A31" s="1"/>
      <c r="B31" s="63">
        <v>9.0</v>
      </c>
      <c r="C31" s="64"/>
      <c r="D31" s="65"/>
      <c r="E31" s="66"/>
      <c r="F31" s="1"/>
      <c r="G31" s="1"/>
      <c r="H31" s="1"/>
      <c r="I31" s="1"/>
      <c r="J31" s="1"/>
      <c r="K31" s="87" t="str">
        <f t="shared" si="2"/>
        <v/>
      </c>
      <c r="L31" s="88"/>
      <c r="M31" s="88"/>
      <c r="N31" s="88"/>
      <c r="O31" s="88"/>
      <c r="P31" s="88"/>
      <c r="Q31" s="1"/>
      <c r="R31" s="1"/>
      <c r="AC31" s="86" t="str">
        <f t="shared" si="3"/>
        <v/>
      </c>
      <c r="AD31" s="86" t="str">
        <f t="shared" si="4"/>
        <v/>
      </c>
      <c r="AE31" s="86" t="str">
        <f t="shared" si="5"/>
        <v/>
      </c>
      <c r="AF31" s="86" t="str">
        <f t="shared" si="6"/>
        <v/>
      </c>
      <c r="AG31" s="86" t="str">
        <f t="shared" si="7"/>
        <v/>
      </c>
    </row>
    <row r="32" ht="15.75" customHeight="1">
      <c r="A32" s="1"/>
      <c r="B32" s="68">
        <v>10.0</v>
      </c>
      <c r="C32" s="72"/>
      <c r="D32" s="73"/>
      <c r="E32" s="66"/>
      <c r="F32" s="1"/>
      <c r="G32" s="1"/>
      <c r="H32" s="1"/>
      <c r="I32" s="1"/>
      <c r="J32" s="1"/>
      <c r="K32" s="87" t="str">
        <f t="shared" si="2"/>
        <v/>
      </c>
      <c r="L32" s="88"/>
      <c r="M32" s="88"/>
      <c r="N32" s="88"/>
      <c r="O32" s="88"/>
      <c r="P32" s="88"/>
      <c r="Q32" s="1"/>
      <c r="R32" s="1"/>
      <c r="AC32" s="86" t="str">
        <f t="shared" si="3"/>
        <v/>
      </c>
      <c r="AD32" s="86" t="str">
        <f t="shared" si="4"/>
        <v/>
      </c>
      <c r="AE32" s="86" t="str">
        <f t="shared" si="5"/>
        <v/>
      </c>
      <c r="AF32" s="86" t="str">
        <f t="shared" si="6"/>
        <v/>
      </c>
      <c r="AG32" s="86" t="str">
        <f t="shared" si="7"/>
        <v/>
      </c>
    </row>
    <row r="33" ht="15.75" customHeight="1">
      <c r="A33" s="1"/>
      <c r="B33" s="89">
        <v>11.0</v>
      </c>
      <c r="C33" s="90"/>
      <c r="D33" s="91"/>
      <c r="E33" s="66"/>
      <c r="F33" s="1"/>
      <c r="G33" s="1"/>
      <c r="H33" s="1"/>
      <c r="I33" s="1"/>
      <c r="J33" s="1"/>
      <c r="K33" s="87" t="str">
        <f t="shared" si="2"/>
        <v/>
      </c>
      <c r="L33" s="88"/>
      <c r="M33" s="88"/>
      <c r="N33" s="88"/>
      <c r="O33" s="88"/>
      <c r="P33" s="88"/>
      <c r="Q33" s="1"/>
      <c r="R33" s="1"/>
      <c r="AC33" s="86" t="str">
        <f t="shared" si="3"/>
        <v/>
      </c>
      <c r="AD33" s="86" t="str">
        <f t="shared" si="4"/>
        <v/>
      </c>
      <c r="AE33" s="86" t="str">
        <f t="shared" si="5"/>
        <v/>
      </c>
      <c r="AF33" s="86" t="str">
        <f t="shared" si="6"/>
        <v/>
      </c>
      <c r="AG33" s="86" t="str">
        <f t="shared" si="7"/>
        <v/>
      </c>
    </row>
    <row r="34" ht="15.75" customHeight="1">
      <c r="A34" s="1"/>
      <c r="B34" s="1"/>
      <c r="C34" s="2"/>
      <c r="D34" s="92">
        <f>SUM(D23:D33)</f>
        <v>0</v>
      </c>
      <c r="E34" s="1"/>
      <c r="F34" s="1"/>
      <c r="G34" s="1"/>
      <c r="H34" s="1"/>
      <c r="I34" s="1"/>
      <c r="J34" s="1"/>
      <c r="K34" s="87"/>
      <c r="L34" s="88"/>
      <c r="M34" s="88"/>
      <c r="N34" s="88"/>
      <c r="O34" s="88"/>
      <c r="P34" s="88"/>
      <c r="Q34" s="1"/>
      <c r="R34" s="1"/>
      <c r="AC34" s="86" t="str">
        <f t="shared" si="3"/>
        <v/>
      </c>
      <c r="AD34" s="86" t="str">
        <f t="shared" si="4"/>
        <v/>
      </c>
      <c r="AE34" s="86" t="str">
        <f t="shared" si="5"/>
        <v/>
      </c>
      <c r="AF34" s="86" t="str">
        <f t="shared" si="6"/>
        <v/>
      </c>
      <c r="AG34" s="8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7"/>
      <c r="L35" s="88"/>
      <c r="M35" s="88"/>
      <c r="N35" s="88"/>
      <c r="O35" s="88"/>
      <c r="P35" s="88"/>
      <c r="Q35" s="1"/>
      <c r="R35" s="1"/>
      <c r="AC35" s="86" t="str">
        <f t="shared" si="3"/>
        <v/>
      </c>
      <c r="AD35" s="86" t="str">
        <f t="shared" si="4"/>
        <v/>
      </c>
      <c r="AE35" s="86" t="str">
        <f t="shared" si="5"/>
        <v/>
      </c>
      <c r="AF35" s="86" t="str">
        <f t="shared" si="6"/>
        <v/>
      </c>
      <c r="AG35" s="8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3" t="s">
        <v>72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 t="s">
        <v>73</v>
      </c>
      <c r="N38" s="1"/>
      <c r="O38" s="1"/>
      <c r="P38" s="1"/>
      <c r="Q38" s="1"/>
      <c r="R38" s="1"/>
    </row>
    <row r="39" ht="15.75" customHeight="1">
      <c r="K39" s="96" t="s">
        <v>7</v>
      </c>
      <c r="L39" s="96" t="s">
        <v>74</v>
      </c>
      <c r="M39" s="96" t="s">
        <v>75</v>
      </c>
    </row>
    <row r="40" ht="15.75" customHeight="1">
      <c r="K40" s="98" t="str">
        <f t="shared" ref="K40:K41" si="8">IF(O23="","",O23)</f>
        <v/>
      </c>
      <c r="L40" s="99"/>
      <c r="M40" s="99"/>
    </row>
    <row r="41" ht="15.75" customHeight="1">
      <c r="K41" s="98" t="str">
        <f t="shared" si="8"/>
        <v/>
      </c>
      <c r="L41" s="99">
        <v>4.0</v>
      </c>
      <c r="M41" s="99"/>
    </row>
    <row r="42" ht="15.75" customHeight="1"/>
    <row r="43" ht="19.5" customHeight="1">
      <c r="K43" s="102" t="s">
        <v>78</v>
      </c>
    </row>
    <row r="44" ht="19.5" customHeight="1">
      <c r="K44" s="104" t="s">
        <v>79</v>
      </c>
      <c r="M44" s="99">
        <v>49.0</v>
      </c>
    </row>
    <row r="45" ht="19.5" customHeight="1">
      <c r="K45" s="105" t="s">
        <v>80</v>
      </c>
      <c r="M45" s="106">
        <f>COUNTIF($I$4:$I$21,"DP")</f>
        <v>0</v>
      </c>
    </row>
    <row r="46" ht="19.5" customHeight="1">
      <c r="K46" s="105" t="s">
        <v>81</v>
      </c>
      <c r="M46" s="106">
        <f>COUNTIFS($I$4:$I$21,"&lt;&gt;DP",$I$4:$I$21,"&lt;&gt;")</f>
        <v>0</v>
      </c>
    </row>
    <row r="47" ht="19.5" customHeight="1">
      <c r="K47" s="107" t="s">
        <v>82</v>
      </c>
      <c r="M47" s="106">
        <f>M45+M46</f>
        <v>0</v>
      </c>
    </row>
    <row r="48" ht="19.5" customHeight="1">
      <c r="K48" s="104" t="s">
        <v>83</v>
      </c>
      <c r="M48" s="108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17"/>
      <c r="F4" s="115"/>
      <c r="G4" s="19"/>
      <c r="H4" s="116"/>
      <c r="I4" s="14"/>
      <c r="J4" s="14"/>
      <c r="K4" s="14"/>
      <c r="L4" s="14"/>
      <c r="M4" s="14"/>
      <c r="N4" s="20"/>
      <c r="O4" s="20"/>
      <c r="P4" s="36"/>
      <c r="Q4" s="1"/>
      <c r="R4" s="1"/>
    </row>
    <row r="5" ht="15.75" customHeight="1">
      <c r="A5" s="1"/>
      <c r="B5" s="20">
        <v>2.0</v>
      </c>
      <c r="C5" s="34"/>
      <c r="D5" s="33"/>
      <c r="E5" s="17"/>
      <c r="F5" s="115"/>
      <c r="G5" s="19"/>
      <c r="H5" s="116"/>
      <c r="I5" s="14"/>
      <c r="J5" s="14"/>
      <c r="K5" s="14"/>
      <c r="L5" s="14"/>
      <c r="M5" s="14"/>
      <c r="N5" s="20"/>
      <c r="O5" s="20"/>
      <c r="P5" s="20"/>
      <c r="Q5" s="1"/>
      <c r="R5" s="1"/>
    </row>
    <row r="6" ht="15.75" customHeight="1">
      <c r="A6" s="1"/>
      <c r="B6" s="20">
        <v>3.0</v>
      </c>
      <c r="C6" s="34"/>
      <c r="D6" s="33"/>
      <c r="E6" s="17"/>
      <c r="F6" s="46"/>
      <c r="G6" s="19"/>
      <c r="H6" s="116"/>
      <c r="I6" s="14"/>
      <c r="J6" s="14"/>
      <c r="K6" s="14"/>
      <c r="L6" s="14"/>
      <c r="M6" s="14"/>
      <c r="N6" s="20"/>
      <c r="O6" s="20"/>
      <c r="P6" s="20"/>
      <c r="Q6" s="1"/>
      <c r="R6" s="1"/>
    </row>
    <row r="7" ht="15.75" customHeight="1">
      <c r="A7" s="1"/>
      <c r="B7" s="20">
        <v>4.0</v>
      </c>
      <c r="C7" s="34"/>
      <c r="D7" s="33"/>
      <c r="E7" s="17"/>
      <c r="F7" s="46"/>
      <c r="G7" s="19"/>
      <c r="H7" s="116"/>
      <c r="I7" s="14"/>
      <c r="J7" s="14"/>
      <c r="K7" s="14"/>
      <c r="L7" s="14"/>
      <c r="M7" s="14"/>
      <c r="N7" s="20"/>
      <c r="O7" s="20"/>
      <c r="P7" s="20"/>
      <c r="Q7" s="1"/>
      <c r="R7" s="1"/>
    </row>
    <row r="8" ht="15.75" customHeight="1">
      <c r="A8" s="1"/>
      <c r="B8" s="20">
        <v>5.0</v>
      </c>
      <c r="C8" s="34"/>
      <c r="D8" s="33"/>
      <c r="E8" s="17"/>
      <c r="F8" s="14"/>
      <c r="G8" s="30"/>
      <c r="H8" s="117"/>
      <c r="I8" s="14"/>
      <c r="J8" s="14"/>
      <c r="K8" s="14"/>
      <c r="L8" s="14"/>
      <c r="M8" s="14"/>
      <c r="N8" s="20"/>
      <c r="O8" s="20"/>
      <c r="P8" s="20"/>
      <c r="Q8" s="1"/>
      <c r="R8" s="1"/>
      <c r="S8" s="32"/>
    </row>
    <row r="9" ht="15.75" customHeight="1">
      <c r="A9" s="1"/>
      <c r="B9" s="20">
        <v>6.0</v>
      </c>
      <c r="C9" s="34"/>
      <c r="D9" s="33"/>
      <c r="E9" s="45"/>
      <c r="F9" s="14"/>
      <c r="G9" s="19"/>
      <c r="H9" s="116"/>
      <c r="I9" s="14"/>
      <c r="J9" s="14"/>
      <c r="K9" s="14"/>
      <c r="L9" s="14"/>
      <c r="M9" s="14"/>
      <c r="N9" s="20"/>
      <c r="O9" s="20"/>
      <c r="P9" s="20"/>
      <c r="Q9" s="1"/>
      <c r="R9" s="1"/>
      <c r="S9" s="32"/>
    </row>
    <row r="10" ht="15.75" customHeight="1">
      <c r="A10" s="1"/>
      <c r="B10" s="20">
        <v>7.0</v>
      </c>
      <c r="C10" s="34"/>
      <c r="D10" s="33"/>
      <c r="E10" s="45"/>
      <c r="F10" s="14"/>
      <c r="G10" s="19"/>
      <c r="H10" s="116"/>
      <c r="I10" s="14"/>
      <c r="J10" s="14"/>
      <c r="K10" s="14"/>
      <c r="L10" s="14"/>
      <c r="M10" s="14"/>
      <c r="N10" s="20"/>
      <c r="O10" s="20"/>
      <c r="P10" s="20"/>
      <c r="Q10" s="1"/>
      <c r="R10" s="1"/>
      <c r="S10" s="32"/>
      <c r="U10" s="32"/>
    </row>
    <row r="11" ht="15.75" customHeight="1">
      <c r="A11" s="1"/>
      <c r="B11" s="20">
        <v>8.0</v>
      </c>
      <c r="C11" s="34"/>
      <c r="D11" s="33"/>
      <c r="E11" s="17"/>
      <c r="F11" s="14"/>
      <c r="G11" s="19"/>
      <c r="H11" s="116"/>
      <c r="I11" s="14"/>
      <c r="J11" s="14"/>
      <c r="K11" s="14"/>
      <c r="L11" s="14"/>
      <c r="M11" s="14"/>
      <c r="N11" s="20"/>
      <c r="O11" s="20"/>
      <c r="P11" s="20"/>
      <c r="Q11" s="1"/>
      <c r="R11" s="1"/>
      <c r="S11" s="32"/>
      <c r="U11" s="32"/>
    </row>
    <row r="12" ht="15.75" customHeight="1">
      <c r="A12" s="1"/>
      <c r="B12" s="20">
        <v>9.0</v>
      </c>
      <c r="C12" s="34"/>
      <c r="D12" s="33"/>
      <c r="E12" s="17"/>
      <c r="F12" s="14"/>
      <c r="G12" s="19"/>
      <c r="H12" s="116"/>
      <c r="I12" s="14"/>
      <c r="J12" s="14"/>
      <c r="K12" s="14"/>
      <c r="L12" s="14"/>
      <c r="M12" s="14"/>
      <c r="N12" s="20"/>
      <c r="O12" s="20"/>
      <c r="P12" s="20"/>
      <c r="Q12" s="1"/>
      <c r="R12" s="1"/>
      <c r="S12" s="32"/>
      <c r="U12" s="32"/>
    </row>
    <row r="13" ht="15.75" customHeight="1">
      <c r="A13" s="1"/>
      <c r="B13" s="20">
        <v>10.0</v>
      </c>
      <c r="C13" s="14"/>
      <c r="D13" s="33"/>
      <c r="E13" s="17"/>
      <c r="F13" s="14"/>
      <c r="G13" s="19"/>
      <c r="H13" s="116"/>
      <c r="I13" s="14"/>
      <c r="J13" s="14"/>
      <c r="K13" s="14"/>
      <c r="L13" s="14"/>
      <c r="M13" s="14"/>
      <c r="N13" s="20"/>
      <c r="O13" s="20"/>
      <c r="P13" s="20"/>
      <c r="Q13" s="1"/>
      <c r="R13" s="1"/>
      <c r="S13" s="32"/>
      <c r="U13" s="32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17"/>
      <c r="F4" s="14"/>
      <c r="G4" s="19"/>
      <c r="H4" s="116"/>
      <c r="I4" s="14"/>
      <c r="J4" s="14"/>
      <c r="K4" s="14"/>
      <c r="L4" s="14"/>
      <c r="M4" s="14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45"/>
      <c r="F5" s="14"/>
      <c r="G5" s="19"/>
      <c r="H5" s="116"/>
      <c r="I5" s="14"/>
      <c r="J5" s="14"/>
      <c r="K5" s="14"/>
      <c r="L5" s="14"/>
      <c r="M5" s="14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17"/>
      <c r="F6" s="14"/>
      <c r="G6" s="19"/>
      <c r="H6" s="116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17"/>
      <c r="F7" s="14"/>
      <c r="G7" s="19"/>
      <c r="H7" s="116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17"/>
      <c r="F8" s="14"/>
      <c r="G8" s="19"/>
      <c r="H8" s="116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17"/>
      <c r="F9" s="14"/>
      <c r="G9" s="19"/>
      <c r="H9" s="116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17"/>
      <c r="F10" s="14"/>
      <c r="G10" s="30"/>
      <c r="H10" s="117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4"/>
      <c r="D11" s="33"/>
      <c r="E11" s="17"/>
      <c r="F11" s="14"/>
      <c r="G11" s="30"/>
      <c r="H11" s="117"/>
      <c r="I11" s="14"/>
      <c r="J11" s="14"/>
      <c r="K11" s="14"/>
      <c r="L11" s="14"/>
      <c r="M11" s="14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3"/>
      <c r="E12" s="17"/>
      <c r="F12" s="14"/>
      <c r="G12" s="30"/>
      <c r="H12" s="117"/>
      <c r="I12" s="14"/>
      <c r="J12" s="14"/>
      <c r="K12" s="14"/>
      <c r="L12" s="14"/>
      <c r="M12" s="14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4"/>
      <c r="D13" s="33"/>
      <c r="E13" s="17"/>
      <c r="F13" s="14"/>
      <c r="G13" s="19"/>
      <c r="H13" s="116"/>
      <c r="I13" s="14"/>
      <c r="J13" s="14"/>
      <c r="K13" s="14"/>
      <c r="L13" s="14"/>
      <c r="M13" s="14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14"/>
      <c r="G4" s="26"/>
      <c r="H4" s="28"/>
      <c r="I4" s="14"/>
      <c r="J4" s="42"/>
      <c r="K4" s="42"/>
      <c r="L4" s="14"/>
      <c r="M4" s="42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25"/>
      <c r="F5" s="14"/>
      <c r="G5" s="26"/>
      <c r="H5" s="28"/>
      <c r="I5" s="14"/>
      <c r="J5" s="42"/>
      <c r="K5" s="42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25"/>
      <c r="F6" s="14"/>
      <c r="G6" s="38"/>
      <c r="H6" s="28"/>
      <c r="I6" s="14"/>
      <c r="J6" s="14"/>
      <c r="K6" s="14"/>
      <c r="L6" s="14"/>
      <c r="M6" s="14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17"/>
      <c r="F7" s="14"/>
      <c r="G7" s="26"/>
      <c r="H7" s="28"/>
      <c r="I7" s="14"/>
      <c r="J7" s="42"/>
      <c r="K7" s="42"/>
      <c r="L7" s="14"/>
      <c r="M7" s="42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25"/>
      <c r="F8" s="14"/>
      <c r="G8" s="26"/>
      <c r="H8" s="28"/>
      <c r="I8" s="14"/>
      <c r="J8" s="42"/>
      <c r="K8" s="42"/>
      <c r="L8" s="14"/>
      <c r="M8" s="42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14"/>
      <c r="G9" s="26"/>
      <c r="H9" s="28"/>
      <c r="I9" s="14"/>
      <c r="J9" s="42"/>
      <c r="K9" s="42"/>
      <c r="L9" s="14"/>
      <c r="M9" s="42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17"/>
      <c r="F10" s="14"/>
      <c r="G10" s="38"/>
      <c r="H10" s="50"/>
      <c r="I10" s="14"/>
      <c r="J10" s="42"/>
      <c r="K10" s="42"/>
      <c r="L10" s="14"/>
      <c r="M10" s="42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4"/>
      <c r="D11" s="33"/>
      <c r="E11" s="25"/>
      <c r="F11" s="14"/>
      <c r="G11" s="38"/>
      <c r="H11" s="50"/>
      <c r="I11" s="14"/>
      <c r="J11" s="42"/>
      <c r="K11" s="42"/>
      <c r="L11" s="14"/>
      <c r="M11" s="42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3"/>
      <c r="E12" s="25"/>
      <c r="F12" s="14"/>
      <c r="G12" s="26"/>
      <c r="H12" s="28"/>
      <c r="I12" s="14"/>
      <c r="J12" s="14"/>
      <c r="K12" s="14"/>
      <c r="L12" s="14"/>
      <c r="M12" s="14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4"/>
      <c r="D13" s="33"/>
      <c r="E13" s="17"/>
      <c r="F13" s="43"/>
      <c r="G13" s="26"/>
      <c r="H13" s="28"/>
      <c r="I13" s="14"/>
      <c r="J13" s="14"/>
      <c r="K13" s="14"/>
      <c r="L13" s="14"/>
      <c r="M13" s="14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0"/>
      <c r="D21" s="71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77"/>
      <c r="D22" s="78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14"/>
      <c r="G4" s="26"/>
      <c r="H4" s="28"/>
      <c r="I4" s="14"/>
      <c r="J4" s="42"/>
      <c r="K4" s="42"/>
      <c r="L4" s="14"/>
      <c r="M4" s="14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4"/>
      <c r="D5" s="33"/>
      <c r="E5" s="25"/>
      <c r="F5" s="14"/>
      <c r="G5" s="26"/>
      <c r="H5" s="28"/>
      <c r="I5" s="14"/>
      <c r="J5" s="42"/>
      <c r="K5" s="42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4"/>
      <c r="D6" s="33"/>
      <c r="E6" s="25"/>
      <c r="F6" s="14"/>
      <c r="G6" s="26"/>
      <c r="H6" s="28"/>
      <c r="I6" s="14"/>
      <c r="J6" s="42"/>
      <c r="K6" s="42"/>
      <c r="L6" s="14"/>
      <c r="M6" s="42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17"/>
      <c r="F7" s="14"/>
      <c r="G7" s="26"/>
      <c r="H7" s="28"/>
      <c r="I7" s="14"/>
      <c r="J7" s="14"/>
      <c r="K7" s="14"/>
      <c r="L7" s="14"/>
      <c r="M7" s="14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25"/>
      <c r="F8" s="14"/>
      <c r="G8" s="26"/>
      <c r="H8" s="28"/>
      <c r="I8" s="14"/>
      <c r="J8" s="42"/>
      <c r="K8" s="42"/>
      <c r="L8" s="14"/>
      <c r="M8" s="42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14"/>
      <c r="G9" s="26"/>
      <c r="H9" s="28"/>
      <c r="I9" s="14"/>
      <c r="J9" s="42"/>
      <c r="K9" s="42"/>
      <c r="L9" s="14"/>
      <c r="M9" s="42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25"/>
      <c r="F10" s="14"/>
      <c r="G10" s="26"/>
      <c r="H10" s="28"/>
      <c r="I10" s="14"/>
      <c r="J10" s="42"/>
      <c r="K10" s="42"/>
      <c r="L10" s="14"/>
      <c r="M10" s="42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4"/>
      <c r="D11" s="33"/>
      <c r="E11" s="25"/>
      <c r="F11" s="46"/>
      <c r="G11" s="26"/>
      <c r="H11" s="28"/>
      <c r="I11" s="14"/>
      <c r="J11" s="42"/>
      <c r="K11" s="42"/>
      <c r="L11" s="14"/>
      <c r="M11" s="42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3"/>
      <c r="E12" s="25"/>
      <c r="F12" s="46"/>
      <c r="G12" s="26"/>
      <c r="H12" s="28"/>
      <c r="I12" s="14"/>
      <c r="J12" s="42"/>
      <c r="K12" s="42"/>
      <c r="L12" s="14"/>
      <c r="M12" s="42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4"/>
      <c r="D13" s="33"/>
      <c r="E13" s="25"/>
      <c r="F13" s="46"/>
      <c r="G13" s="26"/>
      <c r="H13" s="28"/>
      <c r="I13" s="14"/>
      <c r="J13" s="14"/>
      <c r="K13" s="14"/>
      <c r="L13" s="14"/>
      <c r="M13" s="42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/>
    </row>
    <row r="41" ht="19.5" customHeight="1">
      <c r="K41" s="105" t="s">
        <v>81</v>
      </c>
      <c r="M41" s="106"/>
    </row>
    <row r="42" ht="19.5" customHeight="1">
      <c r="K42" s="107" t="s">
        <v>82</v>
      </c>
      <c r="M42" s="106"/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2"/>
      <c r="D4" s="33"/>
      <c r="E4" s="25"/>
      <c r="F4" s="14"/>
      <c r="G4" s="26"/>
      <c r="H4" s="28"/>
      <c r="I4" s="14"/>
      <c r="J4" s="14"/>
      <c r="K4" s="14"/>
      <c r="L4" s="14"/>
      <c r="M4" s="42"/>
      <c r="N4" s="23"/>
      <c r="O4" s="23"/>
      <c r="P4" s="24"/>
      <c r="Q4" s="1"/>
      <c r="R4" s="1"/>
    </row>
    <row r="5" ht="15.75" customHeight="1">
      <c r="A5" s="1"/>
      <c r="B5" s="20">
        <v>2.0</v>
      </c>
      <c r="C5" s="14"/>
      <c r="D5" s="33"/>
      <c r="E5" s="25"/>
      <c r="F5" s="14"/>
      <c r="G5" s="26"/>
      <c r="H5" s="28"/>
      <c r="I5" s="14"/>
      <c r="J5" s="14"/>
      <c r="K5" s="14"/>
      <c r="L5" s="14"/>
      <c r="M5" s="42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2"/>
      <c r="D6" s="33"/>
      <c r="E6" s="25"/>
      <c r="F6" s="14"/>
      <c r="G6" s="26"/>
      <c r="H6" s="28"/>
      <c r="I6" s="14"/>
      <c r="J6" s="14"/>
      <c r="K6" s="14"/>
      <c r="L6" s="119"/>
      <c r="M6" s="42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4"/>
      <c r="D7" s="33"/>
      <c r="E7" s="17"/>
      <c r="F7" s="14"/>
      <c r="G7" s="26"/>
      <c r="H7" s="28"/>
      <c r="I7" s="14"/>
      <c r="J7" s="14"/>
      <c r="K7" s="14"/>
      <c r="L7" s="14"/>
      <c r="M7" s="42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4"/>
      <c r="D8" s="33"/>
      <c r="E8" s="25"/>
      <c r="F8" s="14"/>
      <c r="G8" s="26"/>
      <c r="H8" s="28"/>
      <c r="I8" s="14"/>
      <c r="J8" s="14"/>
      <c r="K8" s="14"/>
      <c r="L8" s="14"/>
      <c r="M8" s="14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4"/>
      <c r="D9" s="33"/>
      <c r="E9" s="25"/>
      <c r="F9" s="14"/>
      <c r="G9" s="26"/>
      <c r="H9" s="28"/>
      <c r="I9" s="14"/>
      <c r="J9" s="14"/>
      <c r="K9" s="14"/>
      <c r="L9" s="14"/>
      <c r="M9" s="14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4"/>
      <c r="D10" s="33"/>
      <c r="E10" s="25"/>
      <c r="F10" s="14"/>
      <c r="G10" s="26"/>
      <c r="H10" s="28"/>
      <c r="I10" s="14"/>
      <c r="J10" s="14"/>
      <c r="K10" s="14"/>
      <c r="L10" s="14"/>
      <c r="M10" s="14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4"/>
      <c r="D11" s="33"/>
      <c r="E11" s="25"/>
      <c r="F11" s="14"/>
      <c r="G11" s="38"/>
      <c r="H11" s="50"/>
      <c r="I11" s="14"/>
      <c r="J11" s="14"/>
      <c r="K11" s="14"/>
      <c r="L11" s="14"/>
      <c r="M11" s="14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4"/>
      <c r="D12" s="33"/>
      <c r="E12" s="25"/>
      <c r="F12" s="14"/>
      <c r="G12" s="26"/>
      <c r="H12" s="28"/>
      <c r="I12" s="14"/>
      <c r="J12" s="14"/>
      <c r="K12" s="14"/>
      <c r="L12" s="14"/>
      <c r="M12" s="42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4"/>
      <c r="D13" s="33"/>
      <c r="E13" s="25"/>
      <c r="F13" s="14"/>
      <c r="G13" s="26"/>
      <c r="H13" s="28"/>
      <c r="I13" s="14"/>
      <c r="J13" s="14"/>
      <c r="K13" s="14"/>
      <c r="L13" s="14"/>
      <c r="M13" s="42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0"/>
      <c r="D19" s="71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77"/>
      <c r="D20" s="78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46"/>
      <c r="G4" s="26"/>
      <c r="H4" s="28"/>
      <c r="I4" s="14"/>
      <c r="J4" s="14"/>
      <c r="K4" s="14"/>
      <c r="L4" s="14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14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48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47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/>
    </row>
    <row r="41" ht="19.5" customHeight="1">
      <c r="K41" s="105" t="s">
        <v>81</v>
      </c>
      <c r="M41" s="106"/>
    </row>
    <row r="42" ht="19.5" customHeight="1">
      <c r="K42" s="107" t="s">
        <v>82</v>
      </c>
      <c r="M42" s="106"/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36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52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47"/>
      <c r="D6" s="34"/>
      <c r="E6" s="14"/>
      <c r="F6" s="48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48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120"/>
      <c r="D8" s="34"/>
      <c r="E8" s="14"/>
      <c r="F8" s="48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48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47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52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52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48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48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48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">
        <v>84</v>
      </c>
      <c r="L35" s="99"/>
      <c r="M35" s="99"/>
      <c r="N35" s="123"/>
    </row>
    <row r="36" ht="15.75" customHeight="1">
      <c r="K36" s="98" t="s">
        <v>84</v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124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41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82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82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14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48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48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48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52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52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48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48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48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36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26"/>
    </row>
    <row r="41" ht="19.5" customHeight="1">
      <c r="K41" s="105" t="s">
        <v>81</v>
      </c>
      <c r="M41" s="106"/>
    </row>
    <row r="42" ht="19.5" customHeight="1">
      <c r="K42" s="107" t="s">
        <v>82</v>
      </c>
      <c r="M42" s="106"/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36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125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124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88"/>
      <c r="M26" s="88"/>
      <c r="N26" s="88"/>
      <c r="O26" s="88"/>
      <c r="P26" s="8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88"/>
      <c r="M27" s="88"/>
      <c r="N27" s="88"/>
      <c r="O27" s="88"/>
      <c r="P27" s="8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88"/>
      <c r="M28" s="88"/>
      <c r="N28" s="88"/>
      <c r="O28" s="88"/>
      <c r="P28" s="8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47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52"/>
      <c r="G4" s="53"/>
      <c r="H4" s="41"/>
      <c r="I4" s="20"/>
      <c r="J4" s="20"/>
      <c r="K4" s="20"/>
      <c r="L4" s="20"/>
      <c r="M4" s="20"/>
      <c r="N4" s="23"/>
      <c r="O4" s="23"/>
      <c r="P4" s="23"/>
      <c r="Q4" s="1"/>
      <c r="R4" s="1"/>
    </row>
    <row r="5" ht="15.75" customHeight="1">
      <c r="A5" s="1"/>
      <c r="B5" s="20">
        <v>2.0</v>
      </c>
      <c r="C5" s="31"/>
      <c r="D5" s="34"/>
      <c r="E5" s="14"/>
      <c r="F5" s="52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2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48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41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36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48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48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48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48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82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20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20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127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4"/>
      <c r="D4" s="33"/>
      <c r="E4" s="25"/>
      <c r="F4" s="43"/>
      <c r="G4" s="26"/>
      <c r="H4" s="28"/>
      <c r="I4" s="14"/>
      <c r="J4" s="42"/>
      <c r="K4" s="42"/>
      <c r="L4" s="14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52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52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47"/>
      <c r="D9" s="34"/>
      <c r="E9" s="14"/>
      <c r="F9" s="52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52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52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52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52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54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55</v>
      </c>
      <c r="O17" s="62" t="s">
        <v>1</v>
      </c>
      <c r="P17" s="1"/>
      <c r="Q17" s="1"/>
      <c r="R17" s="1"/>
    </row>
    <row r="18" ht="15.75" customHeight="1">
      <c r="A18" s="1"/>
      <c r="B18" s="63">
        <v>1.0</v>
      </c>
      <c r="C18" s="64" t="s">
        <v>56</v>
      </c>
      <c r="D18" s="65">
        <f>SUM(G14)</f>
        <v>0</v>
      </c>
      <c r="E18" s="66"/>
      <c r="F18" s="1"/>
      <c r="G18" s="1"/>
      <c r="H18" s="1"/>
      <c r="I18" s="1"/>
      <c r="J18" s="1"/>
      <c r="K18" s="1"/>
      <c r="L18" s="1"/>
      <c r="M18" s="1"/>
      <c r="N18" s="67" t="s">
        <v>57</v>
      </c>
      <c r="O18" s="23"/>
      <c r="P18" s="1"/>
      <c r="Q18" s="1"/>
      <c r="R18" s="1"/>
    </row>
    <row r="19" ht="15.75" customHeight="1">
      <c r="A19" s="1"/>
      <c r="B19" s="68">
        <v>2.0</v>
      </c>
      <c r="C19" s="72"/>
      <c r="D19" s="73"/>
      <c r="E19" s="66"/>
      <c r="F19" s="1"/>
      <c r="G19" s="1"/>
      <c r="H19" s="1"/>
      <c r="I19" s="1"/>
      <c r="J19" s="1"/>
      <c r="K19" s="1"/>
      <c r="L19" s="1"/>
      <c r="M19" s="1"/>
      <c r="N19" s="74" t="s">
        <v>58</v>
      </c>
      <c r="O19" s="75"/>
      <c r="P19" s="1"/>
      <c r="Q19" s="1"/>
      <c r="R19" s="1"/>
    </row>
    <row r="20" ht="15.75" customHeight="1">
      <c r="A20" s="1"/>
      <c r="B20" s="63">
        <v>3.0</v>
      </c>
      <c r="C20" s="64"/>
      <c r="D20" s="65"/>
      <c r="E20" s="66"/>
      <c r="F20" s="1"/>
      <c r="G20" s="1"/>
      <c r="H20" s="1"/>
      <c r="I20" s="1"/>
      <c r="J20" s="1"/>
      <c r="K20" s="1"/>
      <c r="L20" s="1"/>
      <c r="M20" s="1"/>
      <c r="N20" s="79" t="s">
        <v>59</v>
      </c>
      <c r="O20" s="29"/>
      <c r="P20" s="1"/>
      <c r="Q20" s="1"/>
      <c r="R20" s="1"/>
    </row>
    <row r="21" ht="15.75" customHeight="1">
      <c r="A21" s="1"/>
      <c r="B21" s="68">
        <v>4.0</v>
      </c>
      <c r="C21" s="72"/>
      <c r="D21" s="73"/>
      <c r="E21" s="66"/>
      <c r="F21" s="1"/>
      <c r="G21" s="1"/>
      <c r="H21" s="1"/>
      <c r="I21" s="1"/>
      <c r="J21" s="1"/>
      <c r="K21" s="1"/>
      <c r="L21" s="1"/>
      <c r="M21" s="1"/>
      <c r="N21" s="81" t="s">
        <v>60</v>
      </c>
      <c r="O21" s="75"/>
      <c r="P21" s="1"/>
      <c r="Q21" s="1"/>
      <c r="R21" s="1"/>
    </row>
    <row r="22" ht="15.75" customHeight="1">
      <c r="A22" s="1"/>
      <c r="B22" s="63">
        <v>5.0</v>
      </c>
      <c r="C22" s="64"/>
      <c r="D22" s="65"/>
      <c r="E22" s="66"/>
      <c r="F22" s="1"/>
      <c r="G22" s="1"/>
      <c r="H22" s="1"/>
      <c r="I22" s="1"/>
      <c r="J22" s="1"/>
      <c r="K22" s="1"/>
      <c r="L22" s="1"/>
      <c r="M22" s="1"/>
      <c r="N22" s="83"/>
      <c r="O22" s="1"/>
      <c r="P22" s="1"/>
      <c r="Q22" s="1"/>
      <c r="R22" s="1"/>
    </row>
    <row r="23" ht="15.75" customHeight="1">
      <c r="A23" s="1"/>
      <c r="B23" s="68">
        <v>6.0</v>
      </c>
      <c r="C23" s="72"/>
      <c r="D23" s="73"/>
      <c r="E23" s="66"/>
      <c r="F23" s="1"/>
      <c r="G23" s="1"/>
      <c r="H23" s="1"/>
      <c r="I23" s="1"/>
      <c r="J23" s="1"/>
      <c r="K23" s="84" t="s">
        <v>61</v>
      </c>
      <c r="Q23" s="1"/>
      <c r="R23" s="1"/>
    </row>
    <row r="24" ht="15.75" customHeight="1">
      <c r="A24" s="1"/>
      <c r="B24" s="63">
        <v>7.0</v>
      </c>
      <c r="C24" s="64"/>
      <c r="D24" s="65"/>
      <c r="E24" s="66"/>
      <c r="F24" s="1"/>
      <c r="G24" s="1"/>
      <c r="H24" s="1"/>
      <c r="I24" s="1"/>
      <c r="J24" s="1"/>
      <c r="K24" s="85" t="s">
        <v>1</v>
      </c>
      <c r="L24" s="85" t="s">
        <v>62</v>
      </c>
      <c r="M24" s="85" t="s">
        <v>63</v>
      </c>
      <c r="N24" s="85" t="s">
        <v>64</v>
      </c>
      <c r="O24" s="85" t="s">
        <v>65</v>
      </c>
      <c r="P24" s="85" t="s">
        <v>66</v>
      </c>
      <c r="Q24" s="1"/>
      <c r="R24" s="1"/>
      <c r="AC24" s="86" t="s">
        <v>67</v>
      </c>
      <c r="AD24" s="86" t="s">
        <v>68</v>
      </c>
      <c r="AE24" s="86" t="s">
        <v>69</v>
      </c>
      <c r="AF24" s="86" t="s">
        <v>70</v>
      </c>
      <c r="AG24" s="86" t="s">
        <v>71</v>
      </c>
    </row>
    <row r="25" ht="15.75" customHeight="1">
      <c r="A25" s="1"/>
      <c r="B25" s="68">
        <v>8.0</v>
      </c>
      <c r="C25" s="72"/>
      <c r="D25" s="73"/>
      <c r="E25" s="66"/>
      <c r="F25" s="1"/>
      <c r="G25" s="1"/>
      <c r="H25" s="1"/>
      <c r="I25" s="1"/>
      <c r="J25" s="1"/>
      <c r="K25" s="87" t="str">
        <f t="shared" ref="K25:K28" si="2">IF(O18="","",O18)</f>
        <v/>
      </c>
      <c r="L25" s="118"/>
      <c r="M25" s="118"/>
      <c r="N25" s="118"/>
      <c r="O25" s="118"/>
      <c r="P25" s="118"/>
      <c r="Q25" s="1"/>
      <c r="R25" s="1"/>
      <c r="AC25" s="86" t="str">
        <f t="shared" ref="AC25:AC30" si="3">IF(AG25="","",IF(COUNT(L25:P25)&lt;5,"",L25/5*20+M25/5*25+N25/5*25+O25/5*15+P25/5*15))</f>
        <v/>
      </c>
      <c r="AD25" s="86" t="str">
        <f t="shared" ref="AD25:AD30" si="4">IF(AC25="","",IF(AC25&gt;=90,"Sangat Baik",IF(AC25&gt;=80,"Baik",IF(AC25&gt;=70,"Coaching","Underperform"))))</f>
        <v/>
      </c>
      <c r="AE25" s="86" t="str">
        <f t="shared" ref="AE25:AE30" si="5">IF(AG25="","",IF(OR(AG25="INDAH",AG25="ADDEL",AG25="AMEL",AG25="PENTIL",AG25="JIJANG"),"Admin/CS","Fotografer"))</f>
        <v/>
      </c>
      <c r="AF25" s="86" t="str">
        <f t="shared" ref="AF25:AF30" si="6">IF(OR(AG25="",COUNT(L25:P25)&lt;5),"",1)</f>
        <v/>
      </c>
      <c r="AG25" s="86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5"/>
      <c r="E26" s="66"/>
      <c r="F26" s="1"/>
      <c r="G26" s="1"/>
      <c r="H26" s="1"/>
      <c r="I26" s="1"/>
      <c r="J26" s="1"/>
      <c r="K26" s="87" t="str">
        <f t="shared" si="2"/>
        <v/>
      </c>
      <c r="L26" s="118"/>
      <c r="M26" s="118"/>
      <c r="N26" s="118"/>
      <c r="O26" s="118"/>
      <c r="P26" s="118"/>
      <c r="Q26" s="1"/>
      <c r="R26" s="1"/>
      <c r="AC26" s="86" t="str">
        <f t="shared" si="3"/>
        <v/>
      </c>
      <c r="AD26" s="86" t="str">
        <f t="shared" si="4"/>
        <v/>
      </c>
      <c r="AE26" s="86" t="str">
        <f t="shared" si="5"/>
        <v/>
      </c>
      <c r="AF26" s="86" t="str">
        <f t="shared" si="6"/>
        <v/>
      </c>
      <c r="AG26" s="86" t="str">
        <f t="shared" si="7"/>
        <v/>
      </c>
    </row>
    <row r="27" ht="15.75" customHeight="1">
      <c r="A27" s="1"/>
      <c r="B27" s="68">
        <v>10.0</v>
      </c>
      <c r="C27" s="72"/>
      <c r="D27" s="73"/>
      <c r="E27" s="66"/>
      <c r="F27" s="1"/>
      <c r="G27" s="1"/>
      <c r="H27" s="1"/>
      <c r="I27" s="1"/>
      <c r="J27" s="1"/>
      <c r="K27" s="87" t="str">
        <f t="shared" si="2"/>
        <v/>
      </c>
      <c r="L27" s="118"/>
      <c r="M27" s="118"/>
      <c r="N27" s="118"/>
      <c r="O27" s="118"/>
      <c r="P27" s="118"/>
      <c r="Q27" s="1"/>
      <c r="R27" s="1"/>
      <c r="AC27" s="86" t="str">
        <f t="shared" si="3"/>
        <v/>
      </c>
      <c r="AD27" s="86" t="str">
        <f t="shared" si="4"/>
        <v/>
      </c>
      <c r="AE27" s="86" t="str">
        <f t="shared" si="5"/>
        <v/>
      </c>
      <c r="AF27" s="86" t="str">
        <f t="shared" si="6"/>
        <v/>
      </c>
      <c r="AG27" s="86" t="str">
        <f t="shared" si="7"/>
        <v/>
      </c>
    </row>
    <row r="28" ht="15.75" customHeight="1">
      <c r="A28" s="1"/>
      <c r="B28" s="89">
        <v>11.0</v>
      </c>
      <c r="C28" s="90"/>
      <c r="D28" s="91"/>
      <c r="E28" s="66"/>
      <c r="F28" s="1"/>
      <c r="G28" s="1"/>
      <c r="H28" s="1"/>
      <c r="I28" s="1"/>
      <c r="J28" s="1"/>
      <c r="K28" s="87" t="str">
        <f t="shared" si="2"/>
        <v/>
      </c>
      <c r="L28" s="118"/>
      <c r="M28" s="118"/>
      <c r="N28" s="118"/>
      <c r="O28" s="118"/>
      <c r="P28" s="118"/>
      <c r="Q28" s="1"/>
      <c r="R28" s="1"/>
      <c r="AC28" s="86" t="str">
        <f t="shared" si="3"/>
        <v/>
      </c>
      <c r="AD28" s="86" t="str">
        <f t="shared" si="4"/>
        <v/>
      </c>
      <c r="AE28" s="86" t="str">
        <f t="shared" si="5"/>
        <v/>
      </c>
      <c r="AF28" s="86" t="str">
        <f t="shared" si="6"/>
        <v/>
      </c>
      <c r="AG28" s="86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7"/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/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72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73</v>
      </c>
      <c r="N33" s="121"/>
      <c r="O33" s="1"/>
      <c r="P33" s="1"/>
      <c r="Q33" s="1"/>
      <c r="R33" s="1"/>
    </row>
    <row r="34" ht="15.75" customHeight="1">
      <c r="K34" s="96" t="s">
        <v>7</v>
      </c>
      <c r="L34" s="96" t="s">
        <v>74</v>
      </c>
      <c r="M34" s="96" t="s">
        <v>75</v>
      </c>
      <c r="N34" s="122" t="s">
        <v>76</v>
      </c>
    </row>
    <row r="35" ht="15.75" customHeight="1">
      <c r="K35" s="98" t="str">
        <f t="shared" ref="K35:K36" si="8">IF(O18="","",O18)</f>
        <v/>
      </c>
      <c r="L35" s="99"/>
      <c r="M35" s="99"/>
      <c r="N35" s="123"/>
    </row>
    <row r="36" ht="15.75" customHeight="1">
      <c r="K36" s="98" t="str">
        <f t="shared" si="8"/>
        <v/>
      </c>
      <c r="L36" s="99"/>
      <c r="M36" s="99"/>
      <c r="N36" s="123"/>
    </row>
    <row r="37" ht="15.75" customHeight="1"/>
    <row r="38" ht="19.5" customHeight="1">
      <c r="K38" s="102" t="s">
        <v>78</v>
      </c>
    </row>
    <row r="39" ht="19.5" customHeight="1">
      <c r="K39" s="104" t="s">
        <v>79</v>
      </c>
      <c r="M39" s="99"/>
    </row>
    <row r="40" ht="19.5" customHeight="1">
      <c r="K40" s="105" t="s">
        <v>80</v>
      </c>
      <c r="M40" s="106">
        <f>COUNTIF($I$4:$I$16,"DP")</f>
        <v>0</v>
      </c>
    </row>
    <row r="41" ht="19.5" customHeight="1">
      <c r="K41" s="105" t="s">
        <v>81</v>
      </c>
      <c r="M41" s="106">
        <f>COUNTIFS($I$4:$I$16,"&lt;&gt;DP",$I$4:$I$16,"&lt;&gt;")</f>
        <v>0</v>
      </c>
    </row>
    <row r="42" ht="19.5" customHeight="1">
      <c r="K42" s="107" t="s">
        <v>82</v>
      </c>
      <c r="M42" s="106">
        <f>M40+M41</f>
        <v>0</v>
      </c>
    </row>
    <row r="43" ht="19.5" customHeight="1">
      <c r="K43" s="104" t="s">
        <v>83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52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48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52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48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48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48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48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48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48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8">
        <f t="shared" ref="G14:H14" si="1">SUM(G4:G13)</f>
        <v>0</v>
      </c>
      <c r="H14" s="5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1" t="s">
        <v>0</v>
      </c>
      <c r="C18" s="62" t="s">
        <v>6</v>
      </c>
      <c r="D18" s="62" t="s">
        <v>54</v>
      </c>
      <c r="E18" s="1"/>
      <c r="F18" s="1"/>
      <c r="G18" s="1"/>
      <c r="H18" s="1"/>
      <c r="I18" s="1"/>
      <c r="J18" s="1"/>
      <c r="K18" s="1"/>
      <c r="L18" s="1"/>
      <c r="M18" s="1"/>
      <c r="N18" s="62" t="s">
        <v>55</v>
      </c>
      <c r="O18" s="62" t="s">
        <v>1</v>
      </c>
      <c r="P18" s="1"/>
      <c r="Q18" s="1"/>
      <c r="R18" s="1"/>
    </row>
    <row r="19" ht="15.75" customHeight="1">
      <c r="A19" s="1"/>
      <c r="B19" s="63">
        <v>1.0</v>
      </c>
      <c r="C19" s="64" t="s">
        <v>56</v>
      </c>
      <c r="D19" s="65">
        <f>SUM(G14)</f>
        <v>0</v>
      </c>
      <c r="E19" s="66"/>
      <c r="F19" s="1"/>
      <c r="G19" s="1"/>
      <c r="H19" s="1"/>
      <c r="I19" s="1"/>
      <c r="J19" s="1"/>
      <c r="K19" s="1"/>
      <c r="L19" s="1"/>
      <c r="M19" s="1"/>
      <c r="N19" s="67" t="s">
        <v>57</v>
      </c>
      <c r="O19" s="23"/>
      <c r="P19" s="1"/>
      <c r="Q19" s="1"/>
      <c r="R19" s="1"/>
    </row>
    <row r="20" ht="15.75" customHeight="1">
      <c r="A20" s="1"/>
      <c r="B20" s="68">
        <v>2.0</v>
      </c>
      <c r="C20" s="72"/>
      <c r="D20" s="73"/>
      <c r="E20" s="66"/>
      <c r="F20" s="1"/>
      <c r="G20" s="82"/>
      <c r="H20" s="1"/>
      <c r="I20" s="1"/>
      <c r="J20" s="1"/>
      <c r="K20" s="1"/>
      <c r="L20" s="1"/>
      <c r="M20" s="1"/>
      <c r="N20" s="74" t="s">
        <v>58</v>
      </c>
      <c r="O20" s="75"/>
      <c r="P20" s="1"/>
      <c r="Q20" s="1"/>
      <c r="R20" s="1"/>
    </row>
    <row r="21" ht="15.75" customHeight="1">
      <c r="A21" s="1"/>
      <c r="B21" s="63">
        <v>3.0</v>
      </c>
      <c r="C21" s="64"/>
      <c r="D21" s="65"/>
      <c r="E21" s="66"/>
      <c r="F21" s="1"/>
      <c r="G21" s="82"/>
      <c r="H21" s="1"/>
      <c r="I21" s="1"/>
      <c r="J21" s="1"/>
      <c r="K21" s="1"/>
      <c r="L21" s="1"/>
      <c r="M21" s="1"/>
      <c r="N21" s="79" t="s">
        <v>59</v>
      </c>
      <c r="O21" s="29"/>
      <c r="P21" s="1"/>
      <c r="Q21" s="1"/>
      <c r="R21" s="1"/>
    </row>
    <row r="22" ht="15.75" customHeight="1">
      <c r="A22" s="1"/>
      <c r="B22" s="68">
        <v>4.0</v>
      </c>
      <c r="C22" s="72"/>
      <c r="D22" s="73"/>
      <c r="E22" s="66"/>
      <c r="F22" s="1"/>
      <c r="G22" s="1"/>
      <c r="H22" s="1"/>
      <c r="I22" s="1"/>
      <c r="J22" s="1"/>
      <c r="K22" s="1"/>
      <c r="L22" s="1"/>
      <c r="M22" s="1"/>
      <c r="N22" s="81" t="s">
        <v>60</v>
      </c>
      <c r="O22" s="75"/>
      <c r="P22" s="1"/>
      <c r="Q22" s="1"/>
      <c r="R22" s="1"/>
    </row>
    <row r="23" ht="15.75" customHeight="1">
      <c r="A23" s="1"/>
      <c r="B23" s="63">
        <v>5.0</v>
      </c>
      <c r="C23" s="64"/>
      <c r="D23" s="65"/>
      <c r="E23" s="66"/>
      <c r="F23" s="1"/>
      <c r="G23" s="1"/>
      <c r="H23" s="1"/>
      <c r="I23" s="1"/>
      <c r="J23" s="1"/>
      <c r="K23" s="1"/>
      <c r="L23" s="1"/>
      <c r="M23" s="1"/>
      <c r="N23" s="83"/>
      <c r="O23" s="1"/>
      <c r="P23" s="1"/>
      <c r="Q23" s="1"/>
      <c r="R23" s="1"/>
    </row>
    <row r="24" ht="15.75" customHeight="1">
      <c r="A24" s="1"/>
      <c r="B24" s="68">
        <v>6.0</v>
      </c>
      <c r="C24" s="72"/>
      <c r="D24" s="73"/>
      <c r="E24" s="6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>
        <v>7.0</v>
      </c>
      <c r="C25" s="64"/>
      <c r="D25" s="65"/>
      <c r="E25" s="66"/>
      <c r="F25" s="8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>
        <v>8.0</v>
      </c>
      <c r="C26" s="72"/>
      <c r="D26" s="73"/>
      <c r="E26" s="66"/>
      <c r="F26" s="1"/>
      <c r="G26" s="1"/>
      <c r="H26" s="1"/>
      <c r="I26" s="1"/>
      <c r="J26" s="1"/>
      <c r="K26" s="84" t="s">
        <v>61</v>
      </c>
      <c r="Q26" s="1"/>
      <c r="R26" s="1"/>
    </row>
    <row r="27" ht="15.75" customHeight="1">
      <c r="A27" s="1"/>
      <c r="B27" s="63">
        <v>9.0</v>
      </c>
      <c r="C27" s="64"/>
      <c r="D27" s="65"/>
      <c r="E27" s="66"/>
      <c r="F27" s="1"/>
      <c r="G27" s="1"/>
      <c r="H27" s="1"/>
      <c r="I27" s="1"/>
      <c r="J27" s="1"/>
      <c r="K27" s="85" t="s">
        <v>1</v>
      </c>
      <c r="L27" s="85" t="s">
        <v>62</v>
      </c>
      <c r="M27" s="85" t="s">
        <v>63</v>
      </c>
      <c r="N27" s="85" t="s">
        <v>64</v>
      </c>
      <c r="O27" s="85" t="s">
        <v>65</v>
      </c>
      <c r="P27" s="85" t="s">
        <v>66</v>
      </c>
      <c r="Q27" s="1"/>
      <c r="R27" s="1"/>
      <c r="AC27" s="86" t="s">
        <v>67</v>
      </c>
      <c r="AD27" s="86" t="s">
        <v>68</v>
      </c>
      <c r="AE27" s="86" t="s">
        <v>69</v>
      </c>
      <c r="AF27" s="86" t="s">
        <v>70</v>
      </c>
      <c r="AG27" s="86" t="s">
        <v>71</v>
      </c>
    </row>
    <row r="28" ht="15.75" customHeight="1">
      <c r="A28" s="1"/>
      <c r="B28" s="68">
        <v>10.0</v>
      </c>
      <c r="C28" s="72"/>
      <c r="D28" s="73"/>
      <c r="E28" s="66"/>
      <c r="F28" s="1"/>
      <c r="G28" s="1"/>
      <c r="H28" s="1"/>
      <c r="I28" s="1"/>
      <c r="J28" s="1"/>
      <c r="K28" s="87" t="str">
        <f t="shared" ref="K28:K31" si="2">IF(O19="","",O19)</f>
        <v/>
      </c>
      <c r="L28" s="88"/>
      <c r="M28" s="88"/>
      <c r="N28" s="88"/>
      <c r="O28" s="88"/>
      <c r="P28" s="88"/>
      <c r="Q28" s="1"/>
      <c r="R28" s="1"/>
      <c r="AC28" s="86" t="str">
        <f t="shared" ref="AC28:AC33" si="3">IF(AG28="","",IF(COUNT(L28:P28)&lt;5,"",L28/5*20+M28/5*25+N28/5*25+O28/5*15+P28/5*15))</f>
        <v/>
      </c>
      <c r="AD28" s="86" t="str">
        <f t="shared" ref="AD28:AD33" si="4">IF(AC28="","",IF(AC28&gt;=90,"Sangat Baik",IF(AC28&gt;=80,"Baik",IF(AC28&gt;=70,"Coaching","Underperform"))))</f>
        <v/>
      </c>
      <c r="AE28" s="86" t="str">
        <f t="shared" ref="AE28:AE33" si="5">IF(AG28="","",IF(OR(AG28="INDAH",AG28="ADDEL",AG28="AMEL",AG28="PENTIL",AG28="JIJANG"),"Admin/CS","Fotografer"))</f>
        <v/>
      </c>
      <c r="AF28" s="86" t="str">
        <f t="shared" ref="AF28:AF33" si="6">IF(OR(AG28="",COUNT(L28:P28)&lt;5),"",1)</f>
        <v/>
      </c>
      <c r="AG28" s="86" t="str">
        <f t="shared" ref="AG28:AG33" si="7">IFERROR(K28,"")</f>
        <v/>
      </c>
    </row>
    <row r="29" ht="15.75" customHeight="1">
      <c r="A29" s="1"/>
      <c r="B29" s="89">
        <v>11.0</v>
      </c>
      <c r="C29" s="90"/>
      <c r="D29" s="91"/>
      <c r="E29" s="66"/>
      <c r="F29" s="1"/>
      <c r="G29" s="1"/>
      <c r="H29" s="1"/>
      <c r="I29" s="1"/>
      <c r="J29" s="1"/>
      <c r="K29" s="87" t="str">
        <f t="shared" si="2"/>
        <v/>
      </c>
      <c r="L29" s="88"/>
      <c r="M29" s="88"/>
      <c r="N29" s="88"/>
      <c r="O29" s="88"/>
      <c r="P29" s="88"/>
      <c r="Q29" s="1"/>
      <c r="R29" s="1"/>
      <c r="AC29" s="86" t="str">
        <f t="shared" si="3"/>
        <v/>
      </c>
      <c r="AD29" s="86" t="str">
        <f t="shared" si="4"/>
        <v/>
      </c>
      <c r="AE29" s="86" t="str">
        <f t="shared" si="5"/>
        <v/>
      </c>
      <c r="AF29" s="86" t="str">
        <f t="shared" si="6"/>
        <v/>
      </c>
      <c r="AG29" s="86" t="str">
        <f t="shared" si="7"/>
        <v/>
      </c>
    </row>
    <row r="30" ht="15.75" customHeight="1">
      <c r="A30" s="1"/>
      <c r="B30" s="1"/>
      <c r="C30" s="2"/>
      <c r="D30" s="92">
        <f>SUM(D19:D29)</f>
        <v>0</v>
      </c>
      <c r="E30" s="1"/>
      <c r="F30" s="1"/>
      <c r="G30" s="1"/>
      <c r="H30" s="1"/>
      <c r="I30" s="1"/>
      <c r="J30" s="1"/>
      <c r="K30" s="87" t="str">
        <f t="shared" si="2"/>
        <v/>
      </c>
      <c r="L30" s="88"/>
      <c r="M30" s="88"/>
      <c r="N30" s="88"/>
      <c r="O30" s="88"/>
      <c r="P30" s="88"/>
      <c r="Q30" s="1"/>
      <c r="R30" s="1"/>
      <c r="AC30" s="86" t="str">
        <f t="shared" si="3"/>
        <v/>
      </c>
      <c r="AD30" s="86" t="str">
        <f t="shared" si="4"/>
        <v/>
      </c>
      <c r="AE30" s="86" t="str">
        <f t="shared" si="5"/>
        <v/>
      </c>
      <c r="AF30" s="86" t="str">
        <f t="shared" si="6"/>
        <v/>
      </c>
      <c r="AG30" s="8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tr">
        <f t="shared" si="2"/>
        <v/>
      </c>
      <c r="L31" s="88"/>
      <c r="M31" s="88"/>
      <c r="N31" s="88"/>
      <c r="O31" s="88"/>
      <c r="P31" s="88"/>
      <c r="Q31" s="1"/>
      <c r="R31" s="1"/>
      <c r="AC31" s="86" t="str">
        <f t="shared" si="3"/>
        <v/>
      </c>
      <c r="AD31" s="86" t="str">
        <f t="shared" si="4"/>
        <v/>
      </c>
      <c r="AE31" s="86" t="str">
        <f t="shared" si="5"/>
        <v/>
      </c>
      <c r="AF31" s="86" t="str">
        <f t="shared" si="6"/>
        <v/>
      </c>
      <c r="AG31" s="8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7"/>
      <c r="L32" s="88"/>
      <c r="M32" s="88"/>
      <c r="N32" s="88"/>
      <c r="O32" s="88"/>
      <c r="P32" s="88"/>
      <c r="Q32" s="1"/>
      <c r="R32" s="1"/>
      <c r="AC32" s="86" t="str">
        <f t="shared" si="3"/>
        <v/>
      </c>
      <c r="AD32" s="86" t="str">
        <f t="shared" si="4"/>
        <v/>
      </c>
      <c r="AE32" s="86" t="str">
        <f t="shared" si="5"/>
        <v/>
      </c>
      <c r="AF32" s="86" t="str">
        <f t="shared" si="6"/>
        <v/>
      </c>
      <c r="AG32" s="8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7"/>
      <c r="L33" s="88"/>
      <c r="M33" s="88"/>
      <c r="N33" s="88"/>
      <c r="O33" s="88"/>
      <c r="P33" s="88"/>
      <c r="Q33" s="1"/>
      <c r="R33" s="1"/>
      <c r="AC33" s="86" t="str">
        <f t="shared" si="3"/>
        <v/>
      </c>
      <c r="AD33" s="86" t="str">
        <f t="shared" si="4"/>
        <v/>
      </c>
      <c r="AE33" s="86" t="str">
        <f t="shared" si="5"/>
        <v/>
      </c>
      <c r="AF33" s="86" t="str">
        <f t="shared" si="6"/>
        <v/>
      </c>
      <c r="AG33" s="8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3" t="s">
        <v>72</v>
      </c>
      <c r="Q34" s="1"/>
      <c r="R34" s="1"/>
    </row>
    <row r="35" ht="15.75" customHeight="1"/>
    <row r="36" ht="15.75" customHeight="1">
      <c r="K36" s="128" t="s">
        <v>73</v>
      </c>
    </row>
    <row r="37" ht="15.75" customHeight="1">
      <c r="K37" s="96" t="s">
        <v>7</v>
      </c>
      <c r="L37" s="96" t="s">
        <v>74</v>
      </c>
      <c r="M37" s="96" t="s">
        <v>75</v>
      </c>
    </row>
    <row r="38" ht="15.75" customHeight="1">
      <c r="K38" s="98" t="str">
        <f t="shared" ref="K38:K39" si="8">IF(O19="","",O19)</f>
        <v/>
      </c>
      <c r="L38" s="99"/>
      <c r="M38" s="99"/>
    </row>
    <row r="39" ht="15.75" customHeight="1">
      <c r="K39" s="98" t="str">
        <f t="shared" si="8"/>
        <v/>
      </c>
      <c r="L39" s="99"/>
      <c r="M39" s="99"/>
    </row>
    <row r="40" ht="15.75" customHeight="1"/>
    <row r="41" ht="19.5" customHeight="1">
      <c r="K41" s="102" t="s">
        <v>78</v>
      </c>
    </row>
    <row r="42" ht="19.5" customHeight="1">
      <c r="K42" s="104" t="s">
        <v>79</v>
      </c>
      <c r="M42" s="99"/>
    </row>
    <row r="43" ht="19.5" customHeight="1">
      <c r="K43" s="105" t="s">
        <v>80</v>
      </c>
      <c r="M43" s="106">
        <f>COUNTIF($I$4:$I$17,"DP")</f>
        <v>0</v>
      </c>
    </row>
    <row r="44" ht="19.5" customHeight="1">
      <c r="K44" s="105" t="s">
        <v>81</v>
      </c>
      <c r="M44" s="106">
        <f>COUNTIFS($I$4:$I$17,"&lt;&gt;DP",$I$4:$I$17,"&lt;&gt;")</f>
        <v>0</v>
      </c>
    </row>
    <row r="45" ht="19.5" customHeight="1">
      <c r="K45" s="107" t="s">
        <v>82</v>
      </c>
      <c r="M45" s="106">
        <f>M43+M44</f>
        <v>0</v>
      </c>
    </row>
    <row r="46" ht="19.5" customHeight="1">
      <c r="K46" s="104" t="s">
        <v>83</v>
      </c>
      <c r="M46" s="108" t="str">
        <f>IF(OR(M42="",M42=0),"",M43/M42)</f>
        <v/>
      </c>
    </row>
    <row r="47" ht="15.75" customHeight="1">
      <c r="A47" s="12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0" t="s">
        <v>85</v>
      </c>
      <c r="E49" s="130" t="s">
        <v>86</v>
      </c>
      <c r="I49" s="130" t="s">
        <v>87</v>
      </c>
      <c r="M49" s="130" t="s">
        <v>88</v>
      </c>
    </row>
    <row r="50" ht="15.75" customHeight="1">
      <c r="A50" s="131">
        <f>IFERROR(SUMIFS($D$56:$D$68,$C$56:$C$68,"&gt;0")/COUNTIFS($C$56:$C$68,"&gt;0"),0)</f>
        <v>0</v>
      </c>
      <c r="E50" s="131">
        <f>IFERROR(SUMIFS($D$56:$D$68,$B$56:$B$68,"Admin/CS",$C$56:$C$68,"&gt;0")/COUNTIFS($B$56:$B$68,"Admin/CS",$C$56:$C$68,"&gt;0"),0)</f>
        <v>0</v>
      </c>
      <c r="I50" s="131">
        <f>IFERROR(SUMIFS($D$56:$D$68,$B$56:$B$68,"Fotografer",$C$56:$C$68,"&gt;0")/COUNTIFS($B$56:$B$68,"Fotografer",$C$56:$C$68,"&gt;0"),0)</f>
        <v>0</v>
      </c>
      <c r="M50" s="13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2" t="s">
        <v>1</v>
      </c>
      <c r="B55" s="132" t="s">
        <v>89</v>
      </c>
      <c r="C55" s="132" t="s">
        <v>90</v>
      </c>
      <c r="D55" s="132" t="s">
        <v>91</v>
      </c>
      <c r="E55" s="132" t="s">
        <v>92</v>
      </c>
      <c r="F55" s="132" t="s">
        <v>93</v>
      </c>
      <c r="G55" s="132" t="s">
        <v>94</v>
      </c>
    </row>
    <row r="56" ht="15.75" customHeight="1">
      <c r="A56" s="133" t="str">
        <f>IF($A$78="","",$A$78)</f>
        <v>INDAH</v>
      </c>
      <c r="B56" s="133" t="str">
        <f>IF(A56="","",$B$78)</f>
        <v>Admin/CS</v>
      </c>
      <c r="C56" s="134">
        <f>IF(A56="","",SUMIF('1'!$AG$29:$AG$34,A56,'1'!$AF$29:$AF$34)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37" t="str">
        <f>IF(OR(A56="",C56=0),"",(SUMIF('1'!$AG$29:$AG$34,A56,'1'!$AC$29:$AC$34)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34">
        <f>IF(A56="","",COUNTIFS('1'!$AG$29:$AG$34,A56,'1'!$AD$29:$AD$34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3" t="str">
        <f t="shared" ref="F56:F68" si="9">IF(D56="","",IF(D56&gt;=90,"Sangat Baik",IF(D56&gt;=80,"Baik",IF(D56&gt;=70,"Coaching","Underperform"))))</f>
        <v/>
      </c>
      <c r="G56" s="140"/>
    </row>
    <row r="57" ht="15.75" customHeight="1">
      <c r="A57" s="133" t="str">
        <f>IF($A$79="","",$A$79)</f>
        <v>ADDEL</v>
      </c>
      <c r="B57" s="133" t="str">
        <f>IF(A57="","",$B$79)</f>
        <v>Admin/CS</v>
      </c>
      <c r="C57" s="134">
        <f>IF(A57="","",SUMIF('1'!$AG$29:$AG$34,A57,'1'!$AF$29:$AF$34)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37" t="str">
        <f>IF(OR(A57="",C57=0),"",(SUMIF('1'!$AG$29:$AG$34,A57,'1'!$AC$29:$AC$34)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34">
        <f>IF(A57="","",COUNTIFS('1'!$AG$29:$AG$34,A57,'1'!$AD$29:$AD$34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3" t="str">
        <f t="shared" si="9"/>
        <v/>
      </c>
      <c r="G57" s="140"/>
    </row>
    <row r="58" ht="15.75" customHeight="1">
      <c r="A58" s="133" t="str">
        <f>IF($A$80="","",$A$80)</f>
        <v>AMEL</v>
      </c>
      <c r="B58" s="133" t="str">
        <f>IF(A58="","",$B$80)</f>
        <v>Admin/CS</v>
      </c>
      <c r="C58" s="134">
        <f>IF(A58="","",SUMIF('1'!$AG$29:$AG$34,A58,'1'!$AF$29:$AF$34)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37" t="str">
        <f>IF(OR(A58="",C58=0),"",(SUMIF('1'!$AG$29:$AG$34,A58,'1'!$AC$29:$AC$34)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34">
        <f>IF(A58="","",COUNTIFS('1'!$AG$29:$AG$34,A58,'1'!$AD$29:$AD$34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3" t="str">
        <f t="shared" si="9"/>
        <v/>
      </c>
      <c r="G58" s="140"/>
    </row>
    <row r="59" ht="15.75" customHeight="1">
      <c r="A59" s="133" t="str">
        <f>IF($A$81="","",$A$81)</f>
        <v>PENTIL</v>
      </c>
      <c r="B59" s="133" t="str">
        <f>IF(A59="","",$B$81)</f>
        <v>Admin/CS</v>
      </c>
      <c r="C59" s="134">
        <f>IF(A59="","",SUMIF('1'!$AG$29:$AG$34,A59,'1'!$AF$29:$AF$34)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37" t="str">
        <f>IF(OR(A59="",C59=0),"",(SUMIF('1'!$AG$29:$AG$34,A59,'1'!$AC$29:$AC$34)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34">
        <f>IF(A59="","",COUNTIFS('1'!$AG$29:$AG$34,A59,'1'!$AD$29:$AD$34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3" t="str">
        <f t="shared" si="9"/>
        <v/>
      </c>
      <c r="G59" s="140"/>
    </row>
    <row r="60" ht="15.75" customHeight="1">
      <c r="A60" s="133" t="str">
        <f>IF($A$82="","",$A$82)</f>
        <v>JIJANG</v>
      </c>
      <c r="B60" s="133" t="str">
        <f>IF(A60="","",$B$82)</f>
        <v>Admin/CS</v>
      </c>
      <c r="C60" s="134">
        <f>IF(A60="","",SUMIF('1'!$AG$29:$AG$34,A60,'1'!$AF$29:$AF$34)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37" t="str">
        <f>IF(OR(A60="",C60=0),"",(SUMIF('1'!$AG$29:$AG$34,A60,'1'!$AC$29:$AC$34)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34">
        <f>IF(A60="","",COUNTIFS('1'!$AG$29:$AG$34,A60,'1'!$AD$29:$AD$34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3" t="str">
        <f t="shared" si="9"/>
        <v/>
      </c>
      <c r="G60" s="140"/>
    </row>
    <row r="61" ht="15.75" customHeight="1">
      <c r="A61" s="133" t="str">
        <f>IF($A$83="","",$A$83)</f>
        <v>HANIF</v>
      </c>
      <c r="B61" s="133" t="str">
        <f>IF(A61="","",$B$83)</f>
        <v>Fotografer</v>
      </c>
      <c r="C61" s="134">
        <f>IF(A61="","",SUMIF('1'!$AG$29:$AG$34,A61,'1'!$AF$29:$AF$34)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37" t="str">
        <f>IF(OR(A61="",C61=0),"",(SUMIF('1'!$AG$29:$AG$34,A61,'1'!$AC$29:$AC$34)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34">
        <f>IF(A61="","",COUNTIFS('1'!$AG$29:$AG$34,A61,'1'!$AD$29:$AD$34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3" t="str">
        <f t="shared" si="9"/>
        <v/>
      </c>
      <c r="G61" s="140"/>
    </row>
    <row r="62" ht="15.75" customHeight="1">
      <c r="A62" s="133" t="str">
        <f>IF($A$84="","",$A$84)</f>
        <v>FAHME</v>
      </c>
      <c r="B62" s="133" t="str">
        <f>IF(A62="","",$B$84)</f>
        <v>Fotografer</v>
      </c>
      <c r="C62" s="134">
        <f>IF(A62="","",SUMIF('1'!$AG$29:$AG$34,A62,'1'!$AF$29:$AF$34)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37" t="str">
        <f>IF(OR(A62="",C62=0),"",(SUMIF('1'!$AG$29:$AG$34,A62,'1'!$AC$29:$AC$34)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34">
        <f>IF(A62="","",COUNTIFS('1'!$AG$29:$AG$34,A62,'1'!$AD$29:$AD$34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3" t="str">
        <f t="shared" si="9"/>
        <v/>
      </c>
      <c r="G62" s="140"/>
    </row>
    <row r="63" ht="15.75" customHeight="1">
      <c r="A63" s="133" t="str">
        <f>IF($A$85="","",$A$85)</f>
        <v>ADIF</v>
      </c>
      <c r="B63" s="133" t="str">
        <f>IF(A63="","",$B$85)</f>
        <v>Fotografer</v>
      </c>
      <c r="C63" s="134">
        <f>IF(A63="","",SUMIF('1'!$AG$29:$AG$34,A63,'1'!$AF$29:$AF$34)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37" t="str">
        <f>IF(OR(A63="",C63=0),"",(SUMIF('1'!$AG$29:$AG$34,A63,'1'!$AC$29:$AC$34)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34">
        <f>IF(A63="","",COUNTIFS('1'!$AG$29:$AG$34,A63,'1'!$AD$29:$AD$34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3" t="str">
        <f t="shared" si="9"/>
        <v/>
      </c>
      <c r="G63" s="140"/>
    </row>
    <row r="64" ht="15.75" customHeight="1">
      <c r="A64" s="133" t="str">
        <f>IF($A$86="","",$A$86)</f>
        <v>ABROR</v>
      </c>
      <c r="B64" s="133" t="str">
        <f>IF(A64="","",$B$86)</f>
        <v>Fotografer</v>
      </c>
      <c r="C64" s="134">
        <f>IF(A64="","",SUMIF('1'!$AG$29:$AG$34,A64,'1'!$AF$29:$AF$34)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37" t="str">
        <f>IF(OR(A64="",C64=0),"",(SUMIF('1'!$AG$29:$AG$34,A64,'1'!$AC$29:$AC$34)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34">
        <f>IF(A64="","",COUNTIFS('1'!$AG$29:$AG$34,A64,'1'!$AD$29:$AD$34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3" t="str">
        <f t="shared" si="9"/>
        <v/>
      </c>
      <c r="G64" s="140"/>
    </row>
    <row r="65" ht="15.75" customHeight="1">
      <c r="A65" s="133" t="str">
        <f>IF($A$87="","",$A$87)</f>
        <v>FADEL</v>
      </c>
      <c r="B65" s="133" t="str">
        <f>IF(A65="","",$B$87)</f>
        <v>Fotografer</v>
      </c>
      <c r="C65" s="134">
        <f>IF(A65="","",SUMIF('1'!$AG$29:$AG$34,A65,'1'!$AF$29:$AF$34)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37" t="str">
        <f>IF(OR(A65="",C65=0),"",(SUMIF('1'!$AG$29:$AG$34,A65,'1'!$AC$29:$AC$34)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34">
        <f>IF(A65="","",COUNTIFS('1'!$AG$29:$AG$34,A65,'1'!$AD$29:$AD$34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3" t="str">
        <f t="shared" si="9"/>
        <v/>
      </c>
      <c r="G65" s="140"/>
    </row>
    <row r="66" ht="15.75" customHeight="1">
      <c r="A66" s="133" t="str">
        <f>IF($A$88="","",$A$88)</f>
        <v>SAKA</v>
      </c>
      <c r="B66" s="133" t="str">
        <f>IF(A66="","",$B$88)</f>
        <v>Fotografer</v>
      </c>
      <c r="C66" s="134">
        <f>IF(A66="","",SUMIF('1'!$AG$29:$AG$34,A66,'1'!$AF$29:$AF$34)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37" t="str">
        <f>IF(OR(A66="",C66=0),"",(SUMIF('1'!$AG$29:$AG$34,A66,'1'!$AC$29:$AC$34)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34">
        <f>IF(A66="","",COUNTIFS('1'!$AG$29:$AG$34,A66,'1'!$AD$29:$AD$34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3" t="str">
        <f t="shared" si="9"/>
        <v/>
      </c>
      <c r="G66" s="140"/>
    </row>
    <row r="67" ht="15.75" customHeight="1">
      <c r="A67" s="133" t="str">
        <f>IF($A$89="","",$A$89)</f>
        <v/>
      </c>
      <c r="B67" s="133" t="str">
        <f>IF(A67="","",$B$89)</f>
        <v/>
      </c>
      <c r="C67" s="134" t="str">
        <f>IF(A67="","",SUMIF('1'!$K$29:$K$34,A67,'1'!$AF$29:$AF$34)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37" t="str">
        <f>IF(OR(A67="",C67=0),"",(SUMIF('1'!$K$29:$K$34,A67,'1'!$AC$29:$AC$34)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34" t="str">
        <f>IF(A67="","",COUNTIFS('1'!$K$29:$K$34,A67,'1'!$AD$29:$AD$34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3" t="str">
        <f t="shared" si="9"/>
        <v/>
      </c>
      <c r="G67" s="140"/>
    </row>
    <row r="68" ht="15.75" customHeight="1">
      <c r="A68" s="133" t="str">
        <f>IF($A$90="","",$A$90)</f>
        <v/>
      </c>
      <c r="B68" s="133" t="str">
        <f>IF(A68="","",$B$90)</f>
        <v/>
      </c>
      <c r="C68" s="134" t="str">
        <f>IF(A68="","",SUMIF('1'!$K$29:$K$34,A68,'1'!$AF$29:$AF$34)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37" t="str">
        <f>IF(OR(A68="",C68=0),"",(SUMIF('1'!$K$29:$K$34,A68,'1'!$AC$29:$AC$34)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34" t="str">
        <f>IF(A68="","",COUNTIFS('1'!$K$29:$K$34,A68,'1'!$AD$29:$AD$34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3" t="str">
        <f t="shared" si="9"/>
        <v/>
      </c>
      <c r="G68" s="140"/>
    </row>
    <row r="69" ht="15.75" customHeight="1"/>
    <row r="70" ht="15.75" customHeight="1">
      <c r="A70" s="143" t="s">
        <v>111</v>
      </c>
    </row>
    <row r="71" ht="15.75" customHeight="1">
      <c r="A71" s="14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5" t="s">
        <v>112</v>
      </c>
      <c r="B77" s="145" t="s">
        <v>113</v>
      </c>
      <c r="D77" s="128" t="s">
        <v>114</v>
      </c>
    </row>
    <row r="78" ht="15.75" customHeight="1">
      <c r="A78" s="141" t="s">
        <v>84</v>
      </c>
      <c r="B78" s="141" t="s">
        <v>105</v>
      </c>
      <c r="D78" s="146" t="s">
        <v>74</v>
      </c>
      <c r="E78" s="106">
        <f>SUM('1'!$L$39:$L$40)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</v>
      </c>
    </row>
    <row r="79" ht="15.75" customHeight="1">
      <c r="A79" s="141" t="s">
        <v>108</v>
      </c>
      <c r="B79" s="141" t="s">
        <v>105</v>
      </c>
      <c r="D79" s="146" t="s">
        <v>75</v>
      </c>
      <c r="E79" s="106">
        <f>SUM('1'!$M$39:$M$40)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1" t="s">
        <v>23</v>
      </c>
      <c r="B80" s="141" t="s">
        <v>105</v>
      </c>
      <c r="D80" s="146" t="s">
        <v>79</v>
      </c>
      <c r="E80" s="106">
        <f>SUM('1'!$M$43)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1" t="s">
        <v>115</v>
      </c>
      <c r="B81" s="141" t="s">
        <v>105</v>
      </c>
      <c r="D81" s="146" t="s">
        <v>80</v>
      </c>
      <c r="E81" s="106">
        <f>SUM('1'!$M$44)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</v>
      </c>
    </row>
    <row r="82" ht="15.75" customHeight="1">
      <c r="A82" s="141" t="s">
        <v>116</v>
      </c>
      <c r="B82" s="141" t="s">
        <v>105</v>
      </c>
      <c r="D82" s="146" t="s">
        <v>81</v>
      </c>
      <c r="E82" s="106">
        <f>SUM('1'!$M$45)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9</v>
      </c>
    </row>
    <row r="83" ht="15.75" customHeight="1">
      <c r="A83" s="141" t="s">
        <v>106</v>
      </c>
      <c r="B83" s="141" t="s">
        <v>117</v>
      </c>
      <c r="D83" s="146" t="s">
        <v>82</v>
      </c>
      <c r="E83" s="106">
        <f>SUM('1'!$M$46)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14</v>
      </c>
    </row>
    <row r="84" ht="15.75" customHeight="1">
      <c r="A84" s="141" t="s">
        <v>109</v>
      </c>
      <c r="B84" s="141" t="s">
        <v>117</v>
      </c>
      <c r="D84" s="146" t="s">
        <v>83</v>
      </c>
      <c r="E84" s="108">
        <f>IFERROR(E81/E80,0)</f>
        <v>0.06024096386</v>
      </c>
    </row>
    <row r="85" ht="15.75" customHeight="1">
      <c r="A85" s="141" t="s">
        <v>32</v>
      </c>
      <c r="B85" s="141" t="s">
        <v>117</v>
      </c>
    </row>
    <row r="86" ht="15.75" customHeight="1">
      <c r="A86" s="141" t="s">
        <v>118</v>
      </c>
      <c r="B86" s="141" t="s">
        <v>117</v>
      </c>
    </row>
    <row r="87" ht="15.75" customHeight="1">
      <c r="A87" s="141" t="s">
        <v>119</v>
      </c>
      <c r="B87" s="141" t="s">
        <v>117</v>
      </c>
    </row>
    <row r="88" ht="15.75" customHeight="1">
      <c r="A88" s="141" t="s">
        <v>120</v>
      </c>
      <c r="B88" s="141" t="s">
        <v>117</v>
      </c>
    </row>
    <row r="89" ht="15.75" customHeight="1">
      <c r="A89" s="141"/>
      <c r="B89" s="141"/>
    </row>
    <row r="90" ht="15.75" customHeight="1">
      <c r="A90" s="141"/>
      <c r="B90" s="14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0">
        <v>1.0</v>
      </c>
      <c r="C4" s="31"/>
      <c r="D4" s="34"/>
      <c r="E4" s="14"/>
      <c r="F4" s="36"/>
      <c r="G4" s="53"/>
      <c r="H4" s="41"/>
      <c r="I4" s="20"/>
      <c r="J4" s="20"/>
      <c r="K4" s="20"/>
      <c r="L4" s="20"/>
      <c r="M4" s="20"/>
      <c r="N4" s="23"/>
      <c r="O4" s="23"/>
      <c r="P4" s="24"/>
      <c r="Q4" s="1"/>
      <c r="R4" s="1"/>
    </row>
    <row r="5" ht="15.75" customHeight="1">
      <c r="A5" s="1"/>
      <c r="B5" s="20">
        <v>2.0</v>
      </c>
      <c r="C5" s="31"/>
      <c r="D5" s="34"/>
      <c r="E5" s="14"/>
      <c r="F5" s="36"/>
      <c r="G5" s="53"/>
      <c r="H5" s="41"/>
      <c r="I5" s="20"/>
      <c r="J5" s="20"/>
      <c r="K5" s="20"/>
      <c r="L5" s="20"/>
      <c r="M5" s="20"/>
      <c r="N5" s="29"/>
      <c r="O5" s="29"/>
      <c r="P5" s="29"/>
      <c r="Q5" s="1"/>
      <c r="R5" s="1"/>
    </row>
    <row r="6" ht="15.75" customHeight="1">
      <c r="A6" s="1"/>
      <c r="B6" s="20">
        <v>3.0</v>
      </c>
      <c r="C6" s="31"/>
      <c r="D6" s="34"/>
      <c r="E6" s="14"/>
      <c r="F6" s="20"/>
      <c r="G6" s="53"/>
      <c r="H6" s="41"/>
      <c r="I6" s="20"/>
      <c r="J6" s="20"/>
      <c r="K6" s="20"/>
      <c r="L6" s="20"/>
      <c r="M6" s="20"/>
      <c r="N6" s="29"/>
      <c r="O6" s="29"/>
      <c r="P6" s="29"/>
      <c r="Q6" s="1"/>
      <c r="R6" s="1"/>
    </row>
    <row r="7" ht="15.75" customHeight="1">
      <c r="A7" s="1"/>
      <c r="B7" s="20">
        <v>4.0</v>
      </c>
      <c r="C7" s="31"/>
      <c r="D7" s="34"/>
      <c r="E7" s="14"/>
      <c r="F7" s="20"/>
      <c r="G7" s="53"/>
      <c r="H7" s="41"/>
      <c r="I7" s="20"/>
      <c r="J7" s="20"/>
      <c r="K7" s="20"/>
      <c r="L7" s="20"/>
      <c r="M7" s="20"/>
      <c r="N7" s="29"/>
      <c r="O7" s="29"/>
      <c r="P7" s="29"/>
      <c r="Q7" s="1"/>
      <c r="R7" s="1"/>
    </row>
    <row r="8" ht="15.75" customHeight="1">
      <c r="A8" s="1"/>
      <c r="B8" s="20">
        <v>5.0</v>
      </c>
      <c r="C8" s="31"/>
      <c r="D8" s="34"/>
      <c r="E8" s="14"/>
      <c r="F8" s="20"/>
      <c r="G8" s="53"/>
      <c r="H8" s="41"/>
      <c r="I8" s="20"/>
      <c r="J8" s="20"/>
      <c r="K8" s="20"/>
      <c r="L8" s="20"/>
      <c r="M8" s="20"/>
      <c r="N8" s="29"/>
      <c r="O8" s="29"/>
      <c r="P8" s="29"/>
      <c r="Q8" s="1"/>
      <c r="R8" s="1"/>
    </row>
    <row r="9" ht="15.75" customHeight="1">
      <c r="A9" s="1"/>
      <c r="B9" s="20">
        <v>6.0</v>
      </c>
      <c r="C9" s="31"/>
      <c r="D9" s="34"/>
      <c r="E9" s="14"/>
      <c r="F9" s="20"/>
      <c r="G9" s="53"/>
      <c r="H9" s="41"/>
      <c r="I9" s="20"/>
      <c r="J9" s="20"/>
      <c r="K9" s="20"/>
      <c r="L9" s="20"/>
      <c r="M9" s="20"/>
      <c r="N9" s="29"/>
      <c r="O9" s="29"/>
      <c r="P9" s="29"/>
      <c r="Q9" s="1"/>
      <c r="R9" s="1"/>
    </row>
    <row r="10" ht="15.75" customHeight="1">
      <c r="A10" s="1"/>
      <c r="B10" s="20">
        <v>7.0</v>
      </c>
      <c r="C10" s="31"/>
      <c r="D10" s="34"/>
      <c r="E10" s="14"/>
      <c r="F10" s="20"/>
      <c r="G10" s="53"/>
      <c r="H10" s="41"/>
      <c r="I10" s="20"/>
      <c r="J10" s="20"/>
      <c r="K10" s="20"/>
      <c r="L10" s="20"/>
      <c r="M10" s="20"/>
      <c r="N10" s="29"/>
      <c r="O10" s="29"/>
      <c r="P10" s="29"/>
      <c r="Q10" s="1"/>
      <c r="R10" s="1"/>
    </row>
    <row r="11" ht="15.75" customHeight="1">
      <c r="A11" s="1"/>
      <c r="B11" s="20">
        <v>8.0</v>
      </c>
      <c r="C11" s="31"/>
      <c r="D11" s="34"/>
      <c r="E11" s="14"/>
      <c r="F11" s="20"/>
      <c r="G11" s="53"/>
      <c r="H11" s="41"/>
      <c r="I11" s="20"/>
      <c r="J11" s="20"/>
      <c r="K11" s="20"/>
      <c r="L11" s="20"/>
      <c r="M11" s="20"/>
      <c r="N11" s="29"/>
      <c r="O11" s="29"/>
      <c r="P11" s="29"/>
      <c r="Q11" s="1"/>
      <c r="R11" s="1"/>
    </row>
    <row r="12" ht="15.75" customHeight="1">
      <c r="A12" s="1"/>
      <c r="B12" s="20">
        <v>9.0</v>
      </c>
      <c r="C12" s="31"/>
      <c r="D12" s="34"/>
      <c r="E12" s="14"/>
      <c r="F12" s="20"/>
      <c r="G12" s="53"/>
      <c r="H12" s="41"/>
      <c r="I12" s="20"/>
      <c r="J12" s="20"/>
      <c r="K12" s="20"/>
      <c r="L12" s="20"/>
      <c r="M12" s="20"/>
      <c r="N12" s="29"/>
      <c r="O12" s="29"/>
      <c r="P12" s="29"/>
      <c r="Q12" s="1"/>
      <c r="R12" s="1"/>
    </row>
    <row r="13" ht="15.75" customHeight="1">
      <c r="A13" s="1"/>
      <c r="B13" s="20">
        <v>10.0</v>
      </c>
      <c r="C13" s="31"/>
      <c r="D13" s="34"/>
      <c r="E13" s="14"/>
      <c r="F13" s="20"/>
      <c r="G13" s="53"/>
      <c r="H13" s="41"/>
      <c r="I13" s="20"/>
      <c r="J13" s="20"/>
      <c r="K13" s="20"/>
      <c r="L13" s="20"/>
      <c r="M13" s="20"/>
      <c r="N13" s="29"/>
      <c r="O13" s="29"/>
      <c r="P13" s="29"/>
      <c r="Q13" s="1"/>
      <c r="R13" s="1"/>
    </row>
    <row r="14" ht="15.75" customHeight="1">
      <c r="A14" s="1"/>
      <c r="B14" s="20"/>
      <c r="C14" s="31"/>
      <c r="D14" s="34"/>
      <c r="E14" s="14"/>
      <c r="F14" s="20"/>
      <c r="G14" s="53"/>
      <c r="H14" s="41"/>
      <c r="I14" s="20"/>
      <c r="J14" s="20"/>
      <c r="K14" s="20"/>
      <c r="L14" s="20"/>
      <c r="M14" s="20"/>
      <c r="N14" s="29"/>
      <c r="O14" s="29"/>
      <c r="P14" s="29"/>
      <c r="Q14" s="1"/>
      <c r="R14" s="1"/>
    </row>
    <row r="15" ht="15.75" customHeight="1">
      <c r="A15" s="1"/>
      <c r="B15" s="20"/>
      <c r="C15" s="31"/>
      <c r="D15" s="34"/>
      <c r="E15" s="14"/>
      <c r="F15" s="20"/>
      <c r="G15" s="53"/>
      <c r="H15" s="41"/>
      <c r="I15" s="20"/>
      <c r="J15" s="20"/>
      <c r="K15" s="20"/>
      <c r="L15" s="20"/>
      <c r="M15" s="20"/>
      <c r="N15" s="29"/>
      <c r="O15" s="29"/>
      <c r="P15" s="29"/>
      <c r="Q15" s="1"/>
      <c r="R15" s="1"/>
    </row>
    <row r="16" ht="15.75" customHeight="1">
      <c r="A16" s="1"/>
      <c r="B16" s="20"/>
      <c r="C16" s="31"/>
      <c r="D16" s="34"/>
      <c r="E16" s="14"/>
      <c r="F16" s="20"/>
      <c r="G16" s="53"/>
      <c r="H16" s="41"/>
      <c r="I16" s="20"/>
      <c r="J16" s="20"/>
      <c r="K16" s="20"/>
      <c r="L16" s="20"/>
      <c r="M16" s="20"/>
      <c r="N16" s="29"/>
      <c r="O16" s="29"/>
      <c r="P16" s="29"/>
      <c r="Q16" s="1"/>
      <c r="R16" s="1"/>
    </row>
    <row r="17" ht="15.75" customHeight="1">
      <c r="A17" s="1"/>
      <c r="B17" s="20"/>
      <c r="C17" s="31"/>
      <c r="D17" s="34"/>
      <c r="E17" s="14"/>
      <c r="F17" s="20"/>
      <c r="G17" s="53"/>
      <c r="H17" s="41"/>
      <c r="I17" s="20"/>
      <c r="J17" s="20"/>
      <c r="K17" s="20"/>
      <c r="L17" s="20"/>
      <c r="M17" s="20"/>
      <c r="N17" s="29"/>
      <c r="O17" s="29"/>
      <c r="P17" s="29"/>
      <c r="Q17" s="1"/>
      <c r="R17" s="1"/>
    </row>
    <row r="18" ht="15.75" customHeight="1">
      <c r="A18" s="1"/>
      <c r="B18" s="20"/>
      <c r="C18" s="31"/>
      <c r="D18" s="34"/>
      <c r="E18" s="14"/>
      <c r="F18" s="20"/>
      <c r="G18" s="53"/>
      <c r="H18" s="41"/>
      <c r="I18" s="20"/>
      <c r="J18" s="20"/>
      <c r="K18" s="20"/>
      <c r="L18" s="20"/>
      <c r="M18" s="20"/>
      <c r="N18" s="29"/>
      <c r="O18" s="29"/>
      <c r="P18" s="29"/>
      <c r="Q18" s="1"/>
      <c r="R18" s="1"/>
    </row>
    <row r="19" ht="15.75" customHeight="1">
      <c r="A19" s="1"/>
      <c r="B19" s="20"/>
      <c r="C19" s="31"/>
      <c r="D19" s="34"/>
      <c r="E19" s="14"/>
      <c r="F19" s="20"/>
      <c r="G19" s="53"/>
      <c r="H19" s="41"/>
      <c r="I19" s="20"/>
      <c r="J19" s="20"/>
      <c r="K19" s="20"/>
      <c r="L19" s="20"/>
      <c r="M19" s="20"/>
      <c r="N19" s="29"/>
      <c r="O19" s="29"/>
      <c r="P19" s="29"/>
      <c r="Q19" s="1"/>
      <c r="R19" s="1"/>
    </row>
    <row r="20" ht="15.75" customHeight="1">
      <c r="A20" s="1"/>
      <c r="B20" s="20"/>
      <c r="C20" s="31"/>
      <c r="D20" s="34"/>
      <c r="E20" s="14"/>
      <c r="F20" s="20"/>
      <c r="G20" s="53"/>
      <c r="H20" s="41"/>
      <c r="I20" s="20"/>
      <c r="J20" s="20"/>
      <c r="K20" s="20"/>
      <c r="L20" s="20"/>
      <c r="M20" s="20"/>
      <c r="N20" s="29"/>
      <c r="O20" s="29"/>
      <c r="P20" s="29"/>
      <c r="Q20" s="1"/>
      <c r="R20" s="1"/>
    </row>
    <row r="21" ht="15.75" customHeight="1">
      <c r="A21" s="1"/>
      <c r="B21" s="20"/>
      <c r="C21" s="31"/>
      <c r="D21" s="34"/>
      <c r="E21" s="14"/>
      <c r="F21" s="20"/>
      <c r="G21" s="53"/>
      <c r="H21" s="41"/>
      <c r="I21" s="20"/>
      <c r="J21" s="20"/>
      <c r="K21" s="20"/>
      <c r="L21" s="20"/>
      <c r="M21" s="20"/>
      <c r="N21" s="29"/>
      <c r="O21" s="29"/>
      <c r="P21" s="29"/>
      <c r="Q21" s="1"/>
      <c r="R21" s="1"/>
    </row>
    <row r="22" ht="15.75" customHeight="1">
      <c r="A22" s="1"/>
      <c r="B22" s="20"/>
      <c r="C22" s="31"/>
      <c r="D22" s="34"/>
      <c r="E22" s="14"/>
      <c r="F22" s="20"/>
      <c r="G22" s="53"/>
      <c r="H22" s="41"/>
      <c r="I22" s="20"/>
      <c r="J22" s="20"/>
      <c r="K22" s="20"/>
      <c r="L22" s="20"/>
      <c r="M22" s="20"/>
      <c r="N22" s="29"/>
      <c r="O22" s="29"/>
      <c r="P22" s="29"/>
      <c r="Q22" s="1"/>
      <c r="R22" s="1"/>
    </row>
    <row r="23" ht="15.75" customHeight="1">
      <c r="A23" s="1"/>
      <c r="B23" s="20"/>
      <c r="C23" s="31"/>
      <c r="D23" s="34"/>
      <c r="E23" s="14"/>
      <c r="F23" s="20"/>
      <c r="G23" s="53"/>
      <c r="H23" s="41"/>
      <c r="I23" s="20"/>
      <c r="J23" s="20"/>
      <c r="K23" s="20"/>
      <c r="L23" s="20"/>
      <c r="M23" s="20"/>
      <c r="N23" s="29"/>
      <c r="O23" s="29"/>
      <c r="P23" s="29"/>
      <c r="Q23" s="1"/>
      <c r="R23" s="1"/>
    </row>
    <row r="24" ht="15.75" customHeight="1">
      <c r="A24" s="1"/>
      <c r="B24" s="20"/>
      <c r="C24" s="31"/>
      <c r="D24" s="34"/>
      <c r="E24" s="14"/>
      <c r="F24" s="20"/>
      <c r="G24" s="53"/>
      <c r="H24" s="41"/>
      <c r="I24" s="20"/>
      <c r="J24" s="20"/>
      <c r="K24" s="20"/>
      <c r="L24" s="20"/>
      <c r="M24" s="20"/>
      <c r="N24" s="29"/>
      <c r="O24" s="29"/>
      <c r="P24" s="29"/>
      <c r="Q24" s="1"/>
      <c r="R24" s="1"/>
    </row>
    <row r="25" ht="15.75" customHeight="1">
      <c r="A25" s="1"/>
      <c r="B25" s="20"/>
      <c r="C25" s="31"/>
      <c r="D25" s="34"/>
      <c r="E25" s="14"/>
      <c r="F25" s="20"/>
      <c r="G25" s="53"/>
      <c r="H25" s="41"/>
      <c r="I25" s="20"/>
      <c r="J25" s="20"/>
      <c r="K25" s="20"/>
      <c r="L25" s="20"/>
      <c r="M25" s="20"/>
      <c r="N25" s="29"/>
      <c r="O25" s="29"/>
      <c r="P25" s="29"/>
      <c r="Q25" s="1"/>
      <c r="R25" s="1"/>
    </row>
    <row r="26" ht="15.75" customHeight="1">
      <c r="A26" s="1"/>
      <c r="B26" s="20"/>
      <c r="C26" s="31"/>
      <c r="D26" s="34"/>
      <c r="E26" s="14"/>
      <c r="F26" s="20"/>
      <c r="G26" s="53"/>
      <c r="H26" s="41"/>
      <c r="I26" s="20"/>
      <c r="J26" s="20"/>
      <c r="K26" s="20"/>
      <c r="L26" s="20"/>
      <c r="M26" s="20"/>
      <c r="N26" s="29"/>
      <c r="O26" s="29"/>
      <c r="P26" s="29"/>
      <c r="Q26" s="1"/>
      <c r="R26" s="1"/>
    </row>
    <row r="27" ht="15.75" customHeight="1">
      <c r="A27" s="1"/>
      <c r="B27" s="20"/>
      <c r="C27" s="31"/>
      <c r="D27" s="34"/>
      <c r="E27" s="14"/>
      <c r="F27" s="20"/>
      <c r="G27" s="53"/>
      <c r="H27" s="41"/>
      <c r="I27" s="20"/>
      <c r="J27" s="20"/>
      <c r="K27" s="20"/>
      <c r="L27" s="20"/>
      <c r="M27" s="20"/>
      <c r="N27" s="29"/>
      <c r="O27" s="29"/>
      <c r="P27" s="29"/>
      <c r="Q27" s="1"/>
      <c r="R27" s="1"/>
    </row>
    <row r="28" ht="15.75" customHeight="1">
      <c r="A28" s="1"/>
      <c r="B28" s="20"/>
      <c r="C28" s="31"/>
      <c r="D28" s="34"/>
      <c r="E28" s="14"/>
      <c r="F28" s="20"/>
      <c r="G28" s="53"/>
      <c r="H28" s="41"/>
      <c r="I28" s="20"/>
      <c r="J28" s="20"/>
      <c r="K28" s="20"/>
      <c r="L28" s="20"/>
      <c r="M28" s="20"/>
      <c r="N28" s="29"/>
      <c r="O28" s="29"/>
      <c r="P28" s="29"/>
      <c r="Q28" s="1"/>
      <c r="R28" s="1"/>
    </row>
    <row r="29" ht="15.75" customHeight="1">
      <c r="A29" s="1"/>
      <c r="B29" s="20"/>
      <c r="C29" s="31"/>
      <c r="D29" s="34"/>
      <c r="E29" s="14"/>
      <c r="F29" s="20"/>
      <c r="G29" s="53"/>
      <c r="H29" s="41"/>
      <c r="I29" s="20"/>
      <c r="J29" s="20"/>
      <c r="K29" s="20"/>
      <c r="L29" s="20"/>
      <c r="M29" s="20"/>
      <c r="N29" s="29"/>
      <c r="O29" s="29"/>
      <c r="P29" s="29"/>
      <c r="Q29" s="1"/>
      <c r="R29" s="1"/>
    </row>
    <row r="30" ht="15.75" customHeight="1">
      <c r="A30" s="1"/>
      <c r="B30" s="20"/>
      <c r="C30" s="31"/>
      <c r="D30" s="34"/>
      <c r="E30" s="14"/>
      <c r="F30" s="20"/>
      <c r="G30" s="53"/>
      <c r="H30" s="41"/>
      <c r="I30" s="20"/>
      <c r="J30" s="20"/>
      <c r="K30" s="20"/>
      <c r="L30" s="20"/>
      <c r="M30" s="20"/>
      <c r="N30" s="29"/>
      <c r="O30" s="29"/>
      <c r="P30" s="29"/>
      <c r="Q30" s="1"/>
      <c r="R30" s="1"/>
    </row>
    <row r="31" ht="15.75" customHeight="1">
      <c r="A31" s="1"/>
      <c r="B31" s="20"/>
      <c r="C31" s="31"/>
      <c r="D31" s="34"/>
      <c r="E31" s="14"/>
      <c r="F31" s="20"/>
      <c r="G31" s="53"/>
      <c r="H31" s="41"/>
      <c r="I31" s="20"/>
      <c r="J31" s="20"/>
      <c r="K31" s="20"/>
      <c r="L31" s="20"/>
      <c r="M31" s="20"/>
      <c r="N31" s="29"/>
      <c r="O31" s="29"/>
      <c r="P31" s="29"/>
      <c r="Q31" s="1"/>
      <c r="R31" s="1"/>
    </row>
    <row r="32" ht="15.75" customHeight="1">
      <c r="A32" s="1"/>
      <c r="B32" s="20"/>
      <c r="C32" s="31"/>
      <c r="D32" s="34"/>
      <c r="E32" s="14"/>
      <c r="F32" s="20"/>
      <c r="G32" s="53"/>
      <c r="H32" s="41"/>
      <c r="I32" s="20"/>
      <c r="J32" s="20"/>
      <c r="K32" s="20"/>
      <c r="L32" s="20"/>
      <c r="M32" s="20"/>
      <c r="N32" s="29"/>
      <c r="O32" s="29"/>
      <c r="P32" s="29"/>
      <c r="Q32" s="1"/>
      <c r="R32" s="1"/>
    </row>
    <row r="33" ht="15.75" customHeight="1">
      <c r="A33" s="1"/>
      <c r="B33" s="20"/>
      <c r="C33" s="31"/>
      <c r="D33" s="34"/>
      <c r="E33" s="14"/>
      <c r="F33" s="20"/>
      <c r="G33" s="53"/>
      <c r="H33" s="41"/>
      <c r="I33" s="20"/>
      <c r="J33" s="20"/>
      <c r="K33" s="20"/>
      <c r="L33" s="20"/>
      <c r="M33" s="20"/>
      <c r="N33" s="29"/>
      <c r="O33" s="29"/>
      <c r="P33" s="29"/>
      <c r="Q33" s="1"/>
      <c r="R33" s="1"/>
    </row>
    <row r="34" ht="15.75" customHeight="1">
      <c r="A34" s="1"/>
      <c r="B34" s="20"/>
      <c r="C34" s="31"/>
      <c r="D34" s="34"/>
      <c r="E34" s="14"/>
      <c r="F34" s="20"/>
      <c r="G34" s="53"/>
      <c r="H34" s="41"/>
      <c r="I34" s="20"/>
      <c r="J34" s="20"/>
      <c r="K34" s="20"/>
      <c r="L34" s="20"/>
      <c r="M34" s="20"/>
      <c r="N34" s="75"/>
      <c r="O34" s="75"/>
      <c r="P34" s="7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8">
        <f t="shared" ref="G35:H35" si="1">SUM(G4:G34)</f>
        <v>0</v>
      </c>
      <c r="H35" s="5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1" t="s">
        <v>0</v>
      </c>
      <c r="C38" s="62" t="s">
        <v>6</v>
      </c>
      <c r="D38" s="62" t="s">
        <v>54</v>
      </c>
      <c r="E38" s="1"/>
      <c r="F38" s="1"/>
      <c r="G38" s="1"/>
      <c r="H38" s="1"/>
      <c r="I38" s="1"/>
      <c r="J38" s="1"/>
      <c r="K38" s="1"/>
      <c r="L38" s="1"/>
      <c r="M38" s="1"/>
      <c r="N38" s="62" t="s">
        <v>55</v>
      </c>
      <c r="O38" s="62" t="s">
        <v>1</v>
      </c>
      <c r="P38" s="1"/>
      <c r="Q38" s="1"/>
      <c r="R38" s="1"/>
    </row>
    <row r="39" ht="15.75" customHeight="1">
      <c r="A39" s="1"/>
      <c r="B39" s="63">
        <v>1.0</v>
      </c>
      <c r="C39" s="64" t="s">
        <v>56</v>
      </c>
      <c r="D39" s="65">
        <f>SUM(G35)</f>
        <v>0</v>
      </c>
      <c r="E39" s="66"/>
      <c r="F39" s="1"/>
      <c r="G39" s="1"/>
      <c r="H39" s="1"/>
      <c r="I39" s="1"/>
      <c r="J39" s="1"/>
      <c r="K39" s="1"/>
      <c r="L39" s="1"/>
      <c r="M39" s="1"/>
      <c r="N39" s="67" t="s">
        <v>57</v>
      </c>
      <c r="O39" s="23"/>
      <c r="P39" s="1"/>
      <c r="Q39" s="1"/>
      <c r="R39" s="1"/>
    </row>
    <row r="40" ht="15.75" customHeight="1">
      <c r="A40" s="1"/>
      <c r="B40" s="68">
        <v>2.0</v>
      </c>
      <c r="C40" s="72"/>
      <c r="D40" s="73"/>
      <c r="E40" s="66"/>
      <c r="F40" s="1"/>
      <c r="G40" s="1"/>
      <c r="H40" s="1"/>
      <c r="I40" s="1"/>
      <c r="J40" s="1"/>
      <c r="K40" s="1"/>
      <c r="L40" s="1"/>
      <c r="M40" s="1"/>
      <c r="N40" s="74" t="s">
        <v>58</v>
      </c>
      <c r="O40" s="75"/>
      <c r="P40" s="1"/>
      <c r="Q40" s="1"/>
      <c r="R40" s="1"/>
    </row>
    <row r="41" ht="15.75" customHeight="1">
      <c r="A41" s="1"/>
      <c r="B41" s="63">
        <v>3.0</v>
      </c>
      <c r="C41" s="64"/>
      <c r="D41" s="65"/>
      <c r="E41" s="66"/>
      <c r="F41" s="1"/>
      <c r="G41" s="1"/>
      <c r="H41" s="1"/>
      <c r="I41" s="1"/>
      <c r="J41" s="1"/>
      <c r="K41" s="1"/>
      <c r="L41" s="1"/>
      <c r="M41" s="1"/>
      <c r="N41" s="79" t="s">
        <v>59</v>
      </c>
      <c r="O41" s="29"/>
      <c r="P41" s="1"/>
      <c r="Q41" s="1"/>
      <c r="R41" s="1"/>
    </row>
    <row r="42" ht="15.75" customHeight="1">
      <c r="A42" s="1"/>
      <c r="B42" s="68">
        <v>4.0</v>
      </c>
      <c r="C42" s="72"/>
      <c r="D42" s="73"/>
      <c r="E42" s="66"/>
      <c r="F42" s="1"/>
      <c r="G42" s="1"/>
      <c r="H42" s="1"/>
      <c r="I42" s="1"/>
      <c r="J42" s="1"/>
      <c r="K42" s="1"/>
      <c r="L42" s="1"/>
      <c r="M42" s="1"/>
      <c r="N42" s="81" t="s">
        <v>60</v>
      </c>
      <c r="O42" s="75"/>
      <c r="P42" s="1"/>
      <c r="Q42" s="1"/>
      <c r="R42" s="1"/>
    </row>
    <row r="43" ht="15.75" customHeight="1">
      <c r="A43" s="1"/>
      <c r="B43" s="63"/>
      <c r="C43" s="64"/>
      <c r="D43" s="65"/>
      <c r="E43" s="66"/>
      <c r="F43" s="1"/>
      <c r="G43" s="1"/>
      <c r="H43" s="1"/>
      <c r="I43" s="1"/>
      <c r="J43" s="1"/>
      <c r="K43" s="1"/>
      <c r="L43" s="1"/>
      <c r="M43" s="1"/>
      <c r="N43" s="83"/>
      <c r="O43" s="1"/>
      <c r="P43" s="1"/>
      <c r="Q43" s="1"/>
      <c r="R43" s="1"/>
    </row>
    <row r="44" ht="15.75" customHeight="1">
      <c r="A44" s="1"/>
      <c r="B44" s="68"/>
      <c r="C44" s="72"/>
      <c r="D44" s="73"/>
      <c r="E44" s="6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3"/>
      <c r="C45" s="64"/>
      <c r="D45" s="65"/>
      <c r="E45" s="6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/>
      <c r="C46" s="72"/>
      <c r="D46" s="73"/>
      <c r="E46" s="6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3"/>
      <c r="C47" s="64"/>
      <c r="D47" s="65"/>
      <c r="E47" s="6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8"/>
      <c r="C48" s="72"/>
      <c r="D48" s="73"/>
      <c r="E48" s="6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9"/>
      <c r="C49" s="90"/>
      <c r="D49" s="91"/>
      <c r="E49" s="6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5" t="s">
        <v>95</v>
      </c>
      <c r="AU1" s="86" t="s">
        <v>96</v>
      </c>
    </row>
    <row r="2">
      <c r="A2" s="136" t="s">
        <v>97</v>
      </c>
      <c r="AU2" s="86">
        <v>1.0</v>
      </c>
    </row>
    <row r="3">
      <c r="AU3" s="86">
        <v>2.0</v>
      </c>
    </row>
    <row r="4">
      <c r="A4" s="138" t="s">
        <v>98</v>
      </c>
      <c r="AU4" s="86">
        <v>3.0</v>
      </c>
      <c r="AV4" s="86">
        <v>1.0</v>
      </c>
      <c r="AW4" s="86">
        <v>2.0</v>
      </c>
      <c r="AX4" s="86">
        <v>3.0</v>
      </c>
      <c r="AY4" s="86">
        <v>4.0</v>
      </c>
      <c r="AZ4" s="86">
        <v>5.0</v>
      </c>
      <c r="BA4" s="86">
        <v>6.0</v>
      </c>
      <c r="BB4" s="86">
        <v>7.0</v>
      </c>
      <c r="BC4" s="86">
        <v>8.0</v>
      </c>
      <c r="BD4" s="86">
        <v>9.0</v>
      </c>
      <c r="BE4" s="86">
        <v>10.0</v>
      </c>
      <c r="BF4" s="86">
        <v>11.0</v>
      </c>
      <c r="BG4" s="86">
        <v>12.0</v>
      </c>
      <c r="BH4" s="86">
        <v>13.0</v>
      </c>
      <c r="BI4" s="86">
        <v>14.0</v>
      </c>
      <c r="BJ4" s="86">
        <v>15.0</v>
      </c>
      <c r="BK4" s="86">
        <v>16.0</v>
      </c>
      <c r="BL4" s="86">
        <v>17.0</v>
      </c>
      <c r="BM4" s="86">
        <v>18.0</v>
      </c>
      <c r="BN4" s="86">
        <v>19.0</v>
      </c>
      <c r="BO4" s="86">
        <v>20.0</v>
      </c>
      <c r="BP4" s="86">
        <v>21.0</v>
      </c>
      <c r="BQ4" s="86">
        <v>22.0</v>
      </c>
      <c r="BR4" s="86">
        <v>23.0</v>
      </c>
      <c r="BS4" s="86">
        <v>24.0</v>
      </c>
      <c r="BT4" s="86">
        <v>25.0</v>
      </c>
      <c r="BU4" s="86">
        <v>26.0</v>
      </c>
      <c r="BV4" s="86">
        <v>27.0</v>
      </c>
      <c r="BW4" s="86">
        <v>28.0</v>
      </c>
      <c r="BX4" s="86">
        <v>29.0</v>
      </c>
      <c r="BY4" s="86">
        <v>30.0</v>
      </c>
      <c r="BZ4" s="86">
        <v>31.0</v>
      </c>
      <c r="CA4" s="86" t="s">
        <v>99</v>
      </c>
      <c r="CB4" s="86" t="s">
        <v>100</v>
      </c>
    </row>
    <row r="5">
      <c r="A5" s="139" t="s">
        <v>101</v>
      </c>
      <c r="B5" s="139" t="s">
        <v>2</v>
      </c>
      <c r="C5" s="139" t="s">
        <v>102</v>
      </c>
      <c r="D5" s="139" t="s">
        <v>103</v>
      </c>
      <c r="E5" s="139" t="s">
        <v>104</v>
      </c>
      <c r="X5" s="86" t="s">
        <v>36</v>
      </c>
      <c r="Y5" s="86">
        <f>COUNTIF('1'!$D$4:$D$20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</v>
      </c>
      <c r="Z5" s="86">
        <f t="shared" ref="Z5:Z17" si="1">Y5+(18-ROW())/100000</f>
        <v>3.00013</v>
      </c>
      <c r="AA5" s="86" t="s">
        <v>84</v>
      </c>
      <c r="AB5" s="86" t="s">
        <v>105</v>
      </c>
      <c r="AC5" s="86">
        <f>COUNTIF('1'!$O$22:$O$25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6">
        <f t="shared" ref="AD5:AD15" si="2">AC5+(16-ROW())/100000</f>
        <v>0.00011</v>
      </c>
      <c r="AE5" s="86" t="s">
        <v>84</v>
      </c>
      <c r="AF5" s="86">
        <f>COUNTIF('1'!$L$4:$L$20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6">
        <f t="shared" ref="AG5:AG9" si="3">AF5+(10-ROW())/100000</f>
        <v>0.00005</v>
      </c>
      <c r="AH5" s="86" t="s">
        <v>106</v>
      </c>
      <c r="AI5" s="86">
        <f>COUNTIF('1'!$M$4:$M$20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6">
        <f t="shared" ref="AJ5:AJ10" si="4">AI5+(11-ROW())/100000</f>
        <v>0.00006</v>
      </c>
      <c r="AK5" s="86" t="s">
        <v>84</v>
      </c>
      <c r="AL5" s="86" t="s">
        <v>105</v>
      </c>
      <c r="AM5" s="86">
        <f>COUNTIFS('1'!$AG$29:$AG$34,AK5,'1'!$AF$29:$AF$34,1)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6" t="str">
        <f t="shared" ref="AN5:AN15" si="5">IF(AM5=0,"",AO5/5*20+AP5/5*25+AQ5/5*25+AR5/5*15+AS5/5*15)</f>
        <v/>
      </c>
      <c r="AO5" s="86" t="str">
        <f>IF(AM5=0,"",(SUMIFS('1'!$L$29:$L$34,'1'!$AG$29:$AG$34,AK5,'1'!$AF$29:$AF$34,1)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6" t="str">
        <f>IF(AM5=0,"",(SUMIFS('1'!$M$29:$M$34,'1'!$AG$29:$AG$34,AK5,'1'!$AF$29:$AF$34,1)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6" t="str">
        <f>IF(AM5=0,"",(SUMIFS('1'!$N$29:$N$34,'1'!$AG$29:$AG$34,AK5,'1'!$AF$29:$AF$34,1)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6" t="str">
        <f>IF(AM5=0,"",(SUMIFS('1'!$O$29:$O$34,'1'!$AG$29:$AG$34,AK5,'1'!$AF$29:$AF$34,1)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6" t="str">
        <f>IF(AM5=0,"",(SUMIFS('1'!$P$29:$P$34,'1'!$AG$29:$AG$34,AK5,'1'!$AF$29:$AF$34,1)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6">
        <v>4.0</v>
      </c>
      <c r="AV5" s="86" t="str">
        <f>IF(COUNTIFS('1'!$AG$29:$AG$34,$AK5,'1'!$AF$29:$AF$34,1)=0,"",SUMIFS('1'!$AC$29:$AC$34,'1'!$AG$29:$AG$34,$AK5,'1'!$AF$29:$AF$34,1)/COUNTIFS('1'!$AG$29:$AG$34,$AK5,'1'!$AF$29:$AF$34,1))</f>
        <v/>
      </c>
      <c r="AW5" s="86" t="str">
        <f>IF(COUNTIFS('2'!$AG$25:$AG$30,$AK5,'2'!$AF$25:$AF$30,1)=0,"",SUMIFS('2'!$AC$25:$AC$30,'2'!$AG$25:$AG$30,$AK5,'2'!$AF$25:$AF$30,1)/COUNTIFS('2'!$AG$25:$AG$30,$AK5,'2'!$AF$25:$AF$30,1))</f>
        <v/>
      </c>
      <c r="AX5" s="86" t="str">
        <f>IF(COUNTIFS('3'!$AG$24:$AG$29,$AK5,'3'!$AF$24:$AF$29,1)=0,"",SUMIFS('3'!$AC$24:$AC$29,'3'!$AG$24:$AG$29,$AK5,'3'!$AF$24:$AF$29,1)/COUNTIFS('3'!$AG$24:$AG$29,$AK5,'3'!$AF$24:$AF$29,1))</f>
        <v/>
      </c>
      <c r="AY5" s="86" t="str">
        <f>IF(COUNTIFS('4'!$AG$25:$AG$30,$AK5,'4'!$AF$25:$AF$30,1)=0,"",SUMIFS('4'!$AC$25:$AC$30,'4'!$AG$25:$AG$30,$AK5,'4'!$AF$25:$AF$30,1)/COUNTIFS('4'!$AG$25:$AG$30,$AK5,'4'!$AF$25:$AF$30,1))</f>
        <v/>
      </c>
      <c r="AZ5" s="86" t="str">
        <f>IF(COUNTIFS('5'!$AG$25:$AG$30,$AK5,'5'!$AF$25:$AF$30,1)=0,"",SUMIFS('5'!$AC$25:$AC$30,'5'!$AG$25:$AG$30,$AK5,'5'!$AF$25:$AF$30,1)/COUNTIFS('5'!$AG$25:$AG$30,$AK5,'5'!$AF$25:$AF$30,1))</f>
        <v/>
      </c>
      <c r="BA5" s="86" t="str">
        <f>IF(COUNTIFS('6'!$AG$25:$AG$30,$AK5,'6'!$AF$25:$AF$30,1)=0,"",SUMIFS('6'!$AC$25:$AC$30,'6'!$AG$25:$AG$30,$AK5,'6'!$AF$25:$AF$30,1)/COUNTIFS('6'!$AG$25:$AG$30,$AK5,'6'!$AF$25:$AF$30,1))</f>
        <v/>
      </c>
      <c r="BB5" s="86" t="str">
        <f>IF(COUNTIFS('7'!$AG$30:$AG$35,$AK5,'7'!$AF$30:$AF$35,1)=0,"",SUMIFS('7'!$AC$30:$AC$35,'7'!$AG$30:$AG$35,$AK5,'7'!$AF$30:$AF$35,1)/COUNTIFS('7'!$AG$30:$AG$35,$AK5,'7'!$AF$30:$AF$35,1))</f>
        <v/>
      </c>
      <c r="BC5" s="86" t="str">
        <f>IF(COUNTIFS('8'!$AG$25:$AG$30,$AK5,'8'!$AF$25:$AF$30,1)=0,"",SUMIFS('8'!$AC$25:$AC$30,'8'!$AG$25:$AG$30,$AK5,'8'!$AF$25:$AF$30,1)/COUNTIFS('8'!$AG$25:$AG$30,$AK5,'8'!$AF$25:$AF$30,1))</f>
        <v/>
      </c>
      <c r="BD5" s="86" t="str">
        <f>IF(COUNTIFS('9'!$AG$25:$AG$30,$AK5,'9'!$AF$25:$AF$30,1)=0,"",SUMIFS('9'!$AC$25:$AC$30,'9'!$AG$25:$AG$30,$AK5,'9'!$AF$25:$AF$30,1)/COUNTIFS('9'!$AG$25:$AG$30,$AK5,'9'!$AF$25:$AF$30,1))</f>
        <v/>
      </c>
      <c r="BE5" s="86" t="str">
        <f>IF(COUNTIFS('10'!$AG$25:$AG$30,$AK5,'10'!$AF$25:$AF$30,1)=0,"",SUMIFS('10'!$AC$25:$AC$30,'10'!$AG$25:$AG$30,$AK5,'10'!$AF$25:$AF$30,1)/COUNTIFS('10'!$AG$25:$AG$30,$AK5,'10'!$AF$25:$AF$30,1))</f>
        <v/>
      </c>
      <c r="BF5" s="86" t="str">
        <f>IF(COUNTIFS('11'!$AG$25:$AG$30,$AK5,'11'!$AF$25:$AF$30,1)=0,"",SUMIFS('11'!$AC$25:$AC$30,'11'!$AG$25:$AG$30,$AK5,'11'!$AF$25:$AF$30,1)/COUNTIFS('11'!$AG$25:$AG$30,$AK5,'11'!$AF$25:$AF$30,1))</f>
        <v/>
      </c>
      <c r="BG5" s="86" t="str">
        <f>IF(COUNTIFS('12'!$AG$25:$AG$30,$AK5,'12'!$AF$25:$AF$30,1)=0,"",SUMIFS('12'!$AC$25:$AC$30,'12'!$AG$25:$AG$30,$AK5,'12'!$AF$25:$AF$30,1)/COUNTIFS('12'!$AG$25:$AG$30,$AK5,'12'!$AF$25:$AF$30,1))</f>
        <v/>
      </c>
      <c r="BH5" s="86" t="str">
        <f>IF(COUNTIFS('13'!$AG$25:$AG$30,$AK5,'13'!$AF$25:$AF$30,1)=0,"",SUMIFS('13'!$AC$25:$AC$30,'13'!$AG$25:$AG$30,$AK5,'13'!$AF$25:$AF$30,1)/COUNTIFS('13'!$AG$25:$AG$30,$AK5,'13'!$AF$25:$AF$30,1))</f>
        <v/>
      </c>
      <c r="BI5" s="86" t="str">
        <f>IF(COUNTIFS('14'!$AG$25:$AG$30,$AK5,'14'!$AF$25:$AF$30,1)=0,"",SUMIFS('14'!$AC$25:$AC$30,'14'!$AG$25:$AG$30,$AK5,'14'!$AF$25:$AF$30,1)/COUNTIFS('14'!$AG$25:$AG$30,$AK5,'14'!$AF$25:$AF$30,1))</f>
        <v/>
      </c>
      <c r="BJ5" s="86" t="str">
        <f>IF(COUNTIFS('15'!$AG$25:$AG$30,$AK5,'15'!$AF$25:$AF$30,1)=0,"",SUMIFS('15'!$AC$25:$AC$30,'15'!$AG$25:$AG$30,$AK5,'15'!$AF$25:$AF$30,1)/COUNTIFS('15'!$AG$25:$AG$30,$AK5,'15'!$AF$25:$AF$30,1))</f>
        <v/>
      </c>
      <c r="BK5" s="86" t="str">
        <f>IF(COUNTIFS('16'!$AG$25:$AG$30,$AK5,'16'!$AF$25:$AF$30,1)=0,"",SUMIFS('16'!$AC$25:$AC$30,'16'!$AG$25:$AG$30,$AK5,'16'!$AF$25:$AF$30,1)/COUNTIFS('16'!$AG$25:$AG$30,$AK5,'16'!$AF$25:$AF$30,1))</f>
        <v/>
      </c>
      <c r="BL5" s="86" t="str">
        <f>IF(COUNTIFS('17'!$AG$25:$AG$30,$AK5,'17'!$AF$25:$AF$30,1)=0,"",SUMIFS('17'!$AC$25:$AC$30,'17'!$AG$25:$AG$30,$AK5,'17'!$AF$25:$AF$30,1)/COUNTIFS('17'!$AG$25:$AG$30,$AK5,'17'!$AF$25:$AF$30,1))</f>
        <v/>
      </c>
      <c r="BM5" s="86" t="str">
        <f>IF(COUNTIFS('18'!$AG$25:$AG$30,$AK5,'18'!$AF$25:$AF$30,1)=0,"",SUMIFS('18'!$AC$25:$AC$30,'18'!$AG$25:$AG$30,$AK5,'18'!$AF$25:$AF$30,1)/COUNTIFS('18'!$AG$25:$AG$30,$AK5,'18'!$AF$25:$AF$30,1))</f>
        <v/>
      </c>
      <c r="BN5" s="86" t="str">
        <f>IF(COUNTIFS('19'!$AG$25:$AG$30,$AK5,'19'!$AF$25:$AF$30,1)=0,"",SUMIFS('19'!$AC$25:$AC$30,'19'!$AG$25:$AG$30,$AK5,'19'!$AF$25:$AF$30,1)/COUNTIFS('19'!$AG$25:$AG$30,$AK5,'19'!$AF$25:$AF$30,1))</f>
        <v/>
      </c>
      <c r="BO5" s="86" t="str">
        <f>IF(COUNTIFS('20'!$AG$25:$AG$30,$AK5,'20'!$AF$25:$AF$30,1)=0,"",SUMIFS('20'!$AC$25:$AC$30,'20'!$AG$25:$AG$30,$AK5,'20'!$AF$25:$AF$30,1)/COUNTIFS('20'!$AG$25:$AG$30,$AK5,'20'!$AF$25:$AF$30,1))</f>
        <v/>
      </c>
      <c r="BP5" s="86" t="str">
        <f>IF(COUNTIFS('21'!$AG$25:$AG$30,$AK5,'21'!$AF$25:$AF$30,1)=0,"",SUMIFS('21'!$AC$25:$AC$30,'21'!$AG$25:$AG$30,$AK5,'21'!$AF$25:$AF$30,1)/COUNTIFS('21'!$AG$25:$AG$30,$AK5,'21'!$AF$25:$AF$30,1))</f>
        <v/>
      </c>
      <c r="BQ5" s="86" t="str">
        <f>IF(COUNTIFS('22'!$AG$25:$AG$30,$AK5,'22'!$AF$25:$AF$30,1)=0,"",SUMIFS('22'!$AC$25:$AC$30,'22'!$AG$25:$AG$30,$AK5,'22'!$AF$25:$AF$30,1)/COUNTIFS('22'!$AG$25:$AG$30,$AK5,'22'!$AF$25:$AF$30,1))</f>
        <v/>
      </c>
      <c r="BR5" s="86" t="str">
        <f>IF(COUNTIFS('23'!$AG$25:$AG$30,$AK5,'23'!$AF$25:$AF$30,1)=0,"",SUMIFS('23'!$AC$25:$AC$30,'23'!$AG$25:$AG$30,$AK5,'23'!$AF$25:$AF$30,1)/COUNTIFS('23'!$AG$25:$AG$30,$AK5,'23'!$AF$25:$AF$30,1))</f>
        <v/>
      </c>
      <c r="BS5" s="86" t="str">
        <f>IF(COUNTIFS('24'!$AG$25:$AG$30,$AK5,'24'!$AF$25:$AF$30,1)=0,"",SUMIFS('24'!$AC$25:$AC$30,'24'!$AG$25:$AG$30,$AK5,'24'!$AF$25:$AF$30,1)/COUNTIFS('24'!$AG$25:$AG$30,$AK5,'24'!$AF$25:$AF$30,1))</f>
        <v/>
      </c>
      <c r="BT5" s="86" t="str">
        <f>IF(COUNTIFS('25'!$AG$25:$AG$30,$AK5,'25'!$AF$25:$AF$30,1)=0,"",SUMIFS('25'!$AC$25:$AC$30,'25'!$AG$25:$AG$30,$AK5,'25'!$AF$25:$AF$30,1)/COUNTIFS('25'!$AG$25:$AG$30,$AK5,'25'!$AF$25:$AF$30,1))</f>
        <v/>
      </c>
      <c r="BU5" s="86" t="str">
        <f>IF(COUNTIFS('26'!$AG$25:$AG$30,$AK5,'26'!$AF$25:$AF$30,1)=0,"",SUMIFS('26'!$AC$25:$AC$30,'26'!$AG$25:$AG$30,$AK5,'26'!$AF$25:$AF$30,1)/COUNTIFS('26'!$AG$25:$AG$30,$AK5,'26'!$AF$25:$AF$30,1))</f>
        <v/>
      </c>
      <c r="BV5" s="86" t="str">
        <f>IF(COUNTIFS('27'!$AG$25:$AG$30,$AK5,'27'!$AF$25:$AF$30,1)=0,"",SUMIFS('27'!$AC$25:$AC$30,'27'!$AG$25:$AG$30,$AK5,'27'!$AF$25:$AF$30,1)/COUNTIFS('27'!$AG$25:$AG$30,$AK5,'27'!$AF$25:$AF$30,1))</f>
        <v/>
      </c>
      <c r="BW5" s="86" t="str">
        <f>IF(COUNTIFS('28'!$AG$25:$AG$30,$AK5,'28'!$AF$25:$AF$30,1)=0,"",SUMIFS('28'!$AC$25:$AC$30,'28'!$AG$25:$AG$30,$AK5,'28'!$AF$25:$AF$30,1)/COUNTIFS('28'!$AG$25:$AG$30,$AK5,'28'!$AF$25:$AF$30,1))</f>
        <v/>
      </c>
      <c r="BX5" s="86" t="str">
        <f>IF(COUNTIFS('29'!$AG$25:$AG$30,$AK5,'29'!$AF$25:$AF$30,1)=0,"",SUMIFS('29'!$AC$25:$AC$30,'29'!$AG$25:$AG$30,$AK5,'29'!$AF$25:$AF$30,1)/COUNTIFS('29'!$AG$25:$AG$30,$AK5,'29'!$AF$25:$AF$30,1))</f>
        <v/>
      </c>
      <c r="BY5" s="86" t="str">
        <f>IF(COUNTIFS('30'!$AG$25:$AG$30,$AK5,'30'!$AF$25:$AF$30,1)=0,"",SUMIFS('30'!$AC$25:$AC$30,'30'!$AG$25:$AG$30,$AK5,'30'!$AF$25:$AF$30,1)/COUNTIFS('30'!$AG$25:$AG$30,$AK5,'30'!$AF$25:$AF$30,1))</f>
        <v/>
      </c>
      <c r="BZ5" s="86" t="str">
        <f>IF(COUNTIFS('31'!$AG$28:$AG$33,$AK5,'31'!$AF$28:$AF$33,1)=0,"",SUMIFS('31'!$AC$28:$AC$33,'31'!$AG$28:$AG$33,$AK5,'31'!$AF$28:$AF$33,1)/COUNTIFS('31'!$AG$28:$AG$33,$AK5,'31'!$AF$28:$AF$33,1))</f>
        <v/>
      </c>
      <c r="CA5" s="86" t="s">
        <v>107</v>
      </c>
      <c r="CB5" s="86">
        <f t="shared" ref="CB5:CB8" si="6">COUNTIF($J$51:$J$61,CA5)</f>
        <v>0</v>
      </c>
    </row>
    <row r="6">
      <c r="A6" s="141">
        <f>IF(LARGE($Y$5:$Y$17,1)=0,"",1)</f>
        <v>1</v>
      </c>
      <c r="B6" s="141" t="str">
        <f t="shared" ref="B6:B18" si="7">IF(A6="","",INDEX($X$5:$X$17,MATCH(LARGE($Z$5:$Z$17,A6),$Z$5:$Z$17,0)))</f>
        <v>Large Group</v>
      </c>
      <c r="C6" s="141">
        <f t="shared" ref="C6:C18" si="8">IF(B6="","",INDEX($Y$5:$Y$17,MATCH(B6,$X$5:$X$17,0)))</f>
        <v>3</v>
      </c>
      <c r="D6" s="142">
        <f t="shared" ref="D6:D18" si="9">IF(C6="","",C6/$C$19)</f>
        <v>0.25</v>
      </c>
      <c r="E6" s="142">
        <f t="shared" ref="E6:E18" si="10">IF(D6="","",SUM($D$6:D6))</f>
        <v>0.25</v>
      </c>
      <c r="X6" s="86" t="s">
        <v>19</v>
      </c>
      <c r="Y6" s="86">
        <f>COUNTIF('1'!$D$4:$D$20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3</v>
      </c>
      <c r="Z6" s="86">
        <f t="shared" si="1"/>
        <v>3.00012</v>
      </c>
      <c r="AA6" s="86" t="s">
        <v>108</v>
      </c>
      <c r="AB6" s="86" t="s">
        <v>105</v>
      </c>
      <c r="AC6" s="86">
        <f>COUNTIF('1'!$O$22:$O$25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6">
        <f t="shared" si="2"/>
        <v>0.0001</v>
      </c>
      <c r="AE6" s="86" t="s">
        <v>108</v>
      </c>
      <c r="AF6" s="86">
        <f>COUNTIF('1'!$L$4:$L$20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6">
        <f t="shared" si="3"/>
        <v>0.00004</v>
      </c>
      <c r="AH6" s="86" t="s">
        <v>109</v>
      </c>
      <c r="AI6" s="86">
        <f>COUNTIF('1'!$M$4:$M$20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6">
        <f t="shared" si="4"/>
        <v>0.00005</v>
      </c>
      <c r="AK6" s="86" t="s">
        <v>108</v>
      </c>
      <c r="AL6" s="86" t="s">
        <v>105</v>
      </c>
      <c r="AM6" s="86">
        <f>COUNTIFS('1'!$AG$29:$AG$34,AK6,'1'!$AF$29:$AF$34,1)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6" t="str">
        <f t="shared" si="5"/>
        <v/>
      </c>
      <c r="AO6" s="86" t="str">
        <f>IF(AM6=0,"",(SUMIFS('1'!$L$29:$L$34,'1'!$AG$29:$AG$34,AK6,'1'!$AF$29:$AF$34,1)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6" t="str">
        <f>IF(AM6=0,"",(SUMIFS('1'!$M$29:$M$34,'1'!$AG$29:$AG$34,AK6,'1'!$AF$29:$AF$34,1)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6" t="str">
        <f>IF(AM6=0,"",(SUMIFS('1'!$N$29:$N$34,'1'!$AG$29:$AG$34,AK6,'1'!$AF$29:$AF$34,1)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6" t="str">
        <f>IF(AM6=0,"",(SUMIFS('1'!$O$29:$O$34,'1'!$AG$29:$AG$34,AK6,'1'!$AF$29:$AF$34,1)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6" t="str">
        <f>IF(AM6=0,"",(SUMIFS('1'!$P$29:$P$34,'1'!$AG$29:$AG$34,AK6,'1'!$AF$29:$AF$34,1)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6">
        <v>5.0</v>
      </c>
      <c r="AV6" s="86" t="str">
        <f>IF(COUNTIFS('1'!$AG$29:$AG$34,$AK6,'1'!$AF$29:$AF$34,1)=0,"",SUMIFS('1'!$AC$29:$AC$34,'1'!$AG$29:$AG$34,$AK6,'1'!$AF$29:$AF$34,1)/COUNTIFS('1'!$AG$29:$AG$34,$AK6,'1'!$AF$29:$AF$34,1))</f>
        <v/>
      </c>
      <c r="AW6" s="86" t="str">
        <f>IF(COUNTIFS('2'!$AG$25:$AG$30,$AK6,'2'!$AF$25:$AF$30,1)=0,"",SUMIFS('2'!$AC$25:$AC$30,'2'!$AG$25:$AG$30,$AK6,'2'!$AF$25:$AF$30,1)/COUNTIFS('2'!$AG$25:$AG$30,$AK6,'2'!$AF$25:$AF$30,1))</f>
        <v/>
      </c>
      <c r="AX6" s="86" t="str">
        <f>IF(COUNTIFS('3'!$AG$24:$AG$29,$AK6,'3'!$AF$24:$AF$29,1)=0,"",SUMIFS('3'!$AC$24:$AC$29,'3'!$AG$24:$AG$29,$AK6,'3'!$AF$24:$AF$29,1)/COUNTIFS('3'!$AG$24:$AG$29,$AK6,'3'!$AF$24:$AF$29,1))</f>
        <v/>
      </c>
      <c r="AY6" s="86" t="str">
        <f>IF(COUNTIFS('4'!$AG$25:$AG$30,$AK6,'4'!$AF$25:$AF$30,1)=0,"",SUMIFS('4'!$AC$25:$AC$30,'4'!$AG$25:$AG$30,$AK6,'4'!$AF$25:$AF$30,1)/COUNTIFS('4'!$AG$25:$AG$30,$AK6,'4'!$AF$25:$AF$30,1))</f>
        <v/>
      </c>
      <c r="AZ6" s="86" t="str">
        <f>IF(COUNTIFS('5'!$AG$25:$AG$30,$AK6,'5'!$AF$25:$AF$30,1)=0,"",SUMIFS('5'!$AC$25:$AC$30,'5'!$AG$25:$AG$30,$AK6,'5'!$AF$25:$AF$30,1)/COUNTIFS('5'!$AG$25:$AG$30,$AK6,'5'!$AF$25:$AF$30,1))</f>
        <v/>
      </c>
      <c r="BA6" s="86" t="str">
        <f>IF(COUNTIFS('6'!$AG$25:$AG$30,$AK6,'6'!$AF$25:$AF$30,1)=0,"",SUMIFS('6'!$AC$25:$AC$30,'6'!$AG$25:$AG$30,$AK6,'6'!$AF$25:$AF$30,1)/COUNTIFS('6'!$AG$25:$AG$30,$AK6,'6'!$AF$25:$AF$30,1))</f>
        <v/>
      </c>
      <c r="BB6" s="86" t="str">
        <f>IF(COUNTIFS('7'!$AG$30:$AG$35,$AK6,'7'!$AF$30:$AF$35,1)=0,"",SUMIFS('7'!$AC$30:$AC$35,'7'!$AG$30:$AG$35,$AK6,'7'!$AF$30:$AF$35,1)/COUNTIFS('7'!$AG$30:$AG$35,$AK6,'7'!$AF$30:$AF$35,1))</f>
        <v/>
      </c>
      <c r="BC6" s="86" t="str">
        <f>IF(COUNTIFS('8'!$AG$25:$AG$30,$AK6,'8'!$AF$25:$AF$30,1)=0,"",SUMIFS('8'!$AC$25:$AC$30,'8'!$AG$25:$AG$30,$AK6,'8'!$AF$25:$AF$30,1)/COUNTIFS('8'!$AG$25:$AG$30,$AK6,'8'!$AF$25:$AF$30,1))</f>
        <v/>
      </c>
      <c r="BD6" s="86" t="str">
        <f>IF(COUNTIFS('9'!$AG$25:$AG$30,$AK6,'9'!$AF$25:$AF$30,1)=0,"",SUMIFS('9'!$AC$25:$AC$30,'9'!$AG$25:$AG$30,$AK6,'9'!$AF$25:$AF$30,1)/COUNTIFS('9'!$AG$25:$AG$30,$AK6,'9'!$AF$25:$AF$30,1))</f>
        <v/>
      </c>
      <c r="BE6" s="86" t="str">
        <f>IF(COUNTIFS('10'!$AG$25:$AG$30,$AK6,'10'!$AF$25:$AF$30,1)=0,"",SUMIFS('10'!$AC$25:$AC$30,'10'!$AG$25:$AG$30,$AK6,'10'!$AF$25:$AF$30,1)/COUNTIFS('10'!$AG$25:$AG$30,$AK6,'10'!$AF$25:$AF$30,1))</f>
        <v/>
      </c>
      <c r="BF6" s="86" t="str">
        <f>IF(COUNTIFS('11'!$AG$25:$AG$30,$AK6,'11'!$AF$25:$AF$30,1)=0,"",SUMIFS('11'!$AC$25:$AC$30,'11'!$AG$25:$AG$30,$AK6,'11'!$AF$25:$AF$30,1)/COUNTIFS('11'!$AG$25:$AG$30,$AK6,'11'!$AF$25:$AF$30,1))</f>
        <v/>
      </c>
      <c r="BG6" s="86" t="str">
        <f>IF(COUNTIFS('12'!$AG$25:$AG$30,$AK6,'12'!$AF$25:$AF$30,1)=0,"",SUMIFS('12'!$AC$25:$AC$30,'12'!$AG$25:$AG$30,$AK6,'12'!$AF$25:$AF$30,1)/COUNTIFS('12'!$AG$25:$AG$30,$AK6,'12'!$AF$25:$AF$30,1))</f>
        <v/>
      </c>
      <c r="BH6" s="86" t="str">
        <f>IF(COUNTIFS('13'!$AG$25:$AG$30,$AK6,'13'!$AF$25:$AF$30,1)=0,"",SUMIFS('13'!$AC$25:$AC$30,'13'!$AG$25:$AG$30,$AK6,'13'!$AF$25:$AF$30,1)/COUNTIFS('13'!$AG$25:$AG$30,$AK6,'13'!$AF$25:$AF$30,1))</f>
        <v/>
      </c>
      <c r="BI6" s="86" t="str">
        <f>IF(COUNTIFS('14'!$AG$25:$AG$30,$AK6,'14'!$AF$25:$AF$30,1)=0,"",SUMIFS('14'!$AC$25:$AC$30,'14'!$AG$25:$AG$30,$AK6,'14'!$AF$25:$AF$30,1)/COUNTIFS('14'!$AG$25:$AG$30,$AK6,'14'!$AF$25:$AF$30,1))</f>
        <v/>
      </c>
      <c r="BJ6" s="86" t="str">
        <f>IF(COUNTIFS('15'!$AG$25:$AG$30,$AK6,'15'!$AF$25:$AF$30,1)=0,"",SUMIFS('15'!$AC$25:$AC$30,'15'!$AG$25:$AG$30,$AK6,'15'!$AF$25:$AF$30,1)/COUNTIFS('15'!$AG$25:$AG$30,$AK6,'15'!$AF$25:$AF$30,1))</f>
        <v/>
      </c>
      <c r="BK6" s="86" t="str">
        <f>IF(COUNTIFS('16'!$AG$25:$AG$30,$AK6,'16'!$AF$25:$AF$30,1)=0,"",SUMIFS('16'!$AC$25:$AC$30,'16'!$AG$25:$AG$30,$AK6,'16'!$AF$25:$AF$30,1)/COUNTIFS('16'!$AG$25:$AG$30,$AK6,'16'!$AF$25:$AF$30,1))</f>
        <v/>
      </c>
      <c r="BL6" s="86" t="str">
        <f>IF(COUNTIFS('17'!$AG$25:$AG$30,$AK6,'17'!$AF$25:$AF$30,1)=0,"",SUMIFS('17'!$AC$25:$AC$30,'17'!$AG$25:$AG$30,$AK6,'17'!$AF$25:$AF$30,1)/COUNTIFS('17'!$AG$25:$AG$30,$AK6,'17'!$AF$25:$AF$30,1))</f>
        <v/>
      </c>
      <c r="BM6" s="86" t="str">
        <f>IF(COUNTIFS('18'!$AG$25:$AG$30,$AK6,'18'!$AF$25:$AF$30,1)=0,"",SUMIFS('18'!$AC$25:$AC$30,'18'!$AG$25:$AG$30,$AK6,'18'!$AF$25:$AF$30,1)/COUNTIFS('18'!$AG$25:$AG$30,$AK6,'18'!$AF$25:$AF$30,1))</f>
        <v/>
      </c>
      <c r="BN6" s="86" t="str">
        <f>IF(COUNTIFS('19'!$AG$25:$AG$30,$AK6,'19'!$AF$25:$AF$30,1)=0,"",SUMIFS('19'!$AC$25:$AC$30,'19'!$AG$25:$AG$30,$AK6,'19'!$AF$25:$AF$30,1)/COUNTIFS('19'!$AG$25:$AG$30,$AK6,'19'!$AF$25:$AF$30,1))</f>
        <v/>
      </c>
      <c r="BO6" s="86" t="str">
        <f>IF(COUNTIFS('20'!$AG$25:$AG$30,$AK6,'20'!$AF$25:$AF$30,1)=0,"",SUMIFS('20'!$AC$25:$AC$30,'20'!$AG$25:$AG$30,$AK6,'20'!$AF$25:$AF$30,1)/COUNTIFS('20'!$AG$25:$AG$30,$AK6,'20'!$AF$25:$AF$30,1))</f>
        <v/>
      </c>
      <c r="BP6" s="86" t="str">
        <f>IF(COUNTIFS('21'!$AG$25:$AG$30,$AK6,'21'!$AF$25:$AF$30,1)=0,"",SUMIFS('21'!$AC$25:$AC$30,'21'!$AG$25:$AG$30,$AK6,'21'!$AF$25:$AF$30,1)/COUNTIFS('21'!$AG$25:$AG$30,$AK6,'21'!$AF$25:$AF$30,1))</f>
        <v/>
      </c>
      <c r="BQ6" s="86" t="str">
        <f>IF(COUNTIFS('22'!$AG$25:$AG$30,$AK6,'22'!$AF$25:$AF$30,1)=0,"",SUMIFS('22'!$AC$25:$AC$30,'22'!$AG$25:$AG$30,$AK6,'22'!$AF$25:$AF$30,1)/COUNTIFS('22'!$AG$25:$AG$30,$AK6,'22'!$AF$25:$AF$30,1))</f>
        <v/>
      </c>
      <c r="BR6" s="86" t="str">
        <f>IF(COUNTIFS('23'!$AG$25:$AG$30,$AK6,'23'!$AF$25:$AF$30,1)=0,"",SUMIFS('23'!$AC$25:$AC$30,'23'!$AG$25:$AG$30,$AK6,'23'!$AF$25:$AF$30,1)/COUNTIFS('23'!$AG$25:$AG$30,$AK6,'23'!$AF$25:$AF$30,1))</f>
        <v/>
      </c>
      <c r="BS6" s="86" t="str">
        <f>IF(COUNTIFS('24'!$AG$25:$AG$30,$AK6,'24'!$AF$25:$AF$30,1)=0,"",SUMIFS('24'!$AC$25:$AC$30,'24'!$AG$25:$AG$30,$AK6,'24'!$AF$25:$AF$30,1)/COUNTIFS('24'!$AG$25:$AG$30,$AK6,'24'!$AF$25:$AF$30,1))</f>
        <v/>
      </c>
      <c r="BT6" s="86" t="str">
        <f>IF(COUNTIFS('25'!$AG$25:$AG$30,$AK6,'25'!$AF$25:$AF$30,1)=0,"",SUMIFS('25'!$AC$25:$AC$30,'25'!$AG$25:$AG$30,$AK6,'25'!$AF$25:$AF$30,1)/COUNTIFS('25'!$AG$25:$AG$30,$AK6,'25'!$AF$25:$AF$30,1))</f>
        <v/>
      </c>
      <c r="BU6" s="86" t="str">
        <f>IF(COUNTIFS('26'!$AG$25:$AG$30,$AK6,'26'!$AF$25:$AF$30,1)=0,"",SUMIFS('26'!$AC$25:$AC$30,'26'!$AG$25:$AG$30,$AK6,'26'!$AF$25:$AF$30,1)/COUNTIFS('26'!$AG$25:$AG$30,$AK6,'26'!$AF$25:$AF$30,1))</f>
        <v/>
      </c>
      <c r="BV6" s="86" t="str">
        <f>IF(COUNTIFS('27'!$AG$25:$AG$30,$AK6,'27'!$AF$25:$AF$30,1)=0,"",SUMIFS('27'!$AC$25:$AC$30,'27'!$AG$25:$AG$30,$AK6,'27'!$AF$25:$AF$30,1)/COUNTIFS('27'!$AG$25:$AG$30,$AK6,'27'!$AF$25:$AF$30,1))</f>
        <v/>
      </c>
      <c r="BW6" s="86" t="str">
        <f>IF(COUNTIFS('28'!$AG$25:$AG$30,$AK6,'28'!$AF$25:$AF$30,1)=0,"",SUMIFS('28'!$AC$25:$AC$30,'28'!$AG$25:$AG$30,$AK6,'28'!$AF$25:$AF$30,1)/COUNTIFS('28'!$AG$25:$AG$30,$AK6,'28'!$AF$25:$AF$30,1))</f>
        <v/>
      </c>
      <c r="BX6" s="86" t="str">
        <f>IF(COUNTIFS('29'!$AG$25:$AG$30,$AK6,'29'!$AF$25:$AF$30,1)=0,"",SUMIFS('29'!$AC$25:$AC$30,'29'!$AG$25:$AG$30,$AK6,'29'!$AF$25:$AF$30,1)/COUNTIFS('29'!$AG$25:$AG$30,$AK6,'29'!$AF$25:$AF$30,1))</f>
        <v/>
      </c>
      <c r="BY6" s="86" t="str">
        <f>IF(COUNTIFS('30'!$AG$25:$AG$30,$AK6,'30'!$AF$25:$AF$30,1)=0,"",SUMIFS('30'!$AC$25:$AC$30,'30'!$AG$25:$AG$30,$AK6,'30'!$AF$25:$AF$30,1)/COUNTIFS('30'!$AG$25:$AG$30,$AK6,'30'!$AF$25:$AF$30,1))</f>
        <v/>
      </c>
      <c r="BZ6" s="86" t="str">
        <f>IF(COUNTIFS('31'!$AG$28:$AG$33,$AK6,'31'!$AF$28:$AF$33,1)=0,"",SUMIFS('31'!$AC$28:$AC$33,'31'!$AG$28:$AG$33,$AK6,'31'!$AF$28:$AF$33,1)/COUNTIFS('31'!$AG$28:$AG$33,$AK6,'31'!$AF$28:$AF$33,1))</f>
        <v/>
      </c>
      <c r="CA6" s="86" t="s">
        <v>110</v>
      </c>
      <c r="CB6" s="86">
        <f t="shared" si="6"/>
        <v>0</v>
      </c>
    </row>
    <row r="7">
      <c r="A7" s="141">
        <f>IF(LARGE($Y$5:$Y$17,2)=0,"",2)</f>
        <v>2</v>
      </c>
      <c r="B7" s="141" t="str">
        <f t="shared" si="7"/>
        <v>Graduation</v>
      </c>
      <c r="C7" s="141">
        <f t="shared" si="8"/>
        <v>3</v>
      </c>
      <c r="D7" s="142">
        <f t="shared" si="9"/>
        <v>0.25</v>
      </c>
      <c r="E7" s="142">
        <f t="shared" si="10"/>
        <v>0.5</v>
      </c>
      <c r="X7" s="86" t="s">
        <v>46</v>
      </c>
      <c r="Y7" s="86">
        <f>COUNTIF('1'!$D$4:$D$20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6">
        <f t="shared" si="1"/>
        <v>1.00011</v>
      </c>
      <c r="AA7" s="86" t="s">
        <v>23</v>
      </c>
      <c r="AB7" s="86" t="s">
        <v>105</v>
      </c>
      <c r="AC7" s="86">
        <f>COUNTIF('1'!$O$22:$O$25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86">
        <f t="shared" si="2"/>
        <v>2.00009</v>
      </c>
      <c r="AE7" s="86" t="s">
        <v>23</v>
      </c>
      <c r="AF7" s="86">
        <f>COUNTIF('1'!$L$4:$L$20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14</v>
      </c>
      <c r="AG7" s="86">
        <f t="shared" si="3"/>
        <v>14.00003</v>
      </c>
      <c r="AH7" s="86" t="s">
        <v>32</v>
      </c>
      <c r="AI7" s="86">
        <f>COUNTIF('1'!$M$4:$M$20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</v>
      </c>
      <c r="AJ7" s="86">
        <f t="shared" si="4"/>
        <v>7.00004</v>
      </c>
      <c r="AK7" s="86" t="s">
        <v>23</v>
      </c>
      <c r="AL7" s="86" t="s">
        <v>105</v>
      </c>
      <c r="AM7" s="86">
        <f>COUNTIFS('1'!$AG$29:$AG$34,AK7,'1'!$AF$29:$AF$34,1)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86" t="str">
        <f t="shared" si="5"/>
        <v/>
      </c>
      <c r="AO7" s="86" t="str">
        <f>IF(AM7=0,"",(SUMIFS('1'!$L$29:$L$34,'1'!$AG$29:$AG$34,AK7,'1'!$AF$29:$AF$34,1)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86" t="str">
        <f>IF(AM7=0,"",(SUMIFS('1'!$M$29:$M$34,'1'!$AG$29:$AG$34,AK7,'1'!$AF$29:$AF$34,1)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86" t="str">
        <f>IF(AM7=0,"",(SUMIFS('1'!$N$29:$N$34,'1'!$AG$29:$AG$34,AK7,'1'!$AF$29:$AF$34,1)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86" t="str">
        <f>IF(AM7=0,"",(SUMIFS('1'!$O$29:$O$34,'1'!$AG$29:$AG$34,AK7,'1'!$AF$29:$AF$34,1)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86" t="str">
        <f>IF(AM7=0,"",(SUMIFS('1'!$P$29:$P$34,'1'!$AG$29:$AG$34,AK7,'1'!$AF$29:$AF$34,1)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86" t="str">
        <f>IF(COUNTIFS('1'!$AG$29:$AG$34,$AK7,'1'!$AF$29:$AF$34,1)=0,"",SUMIFS('1'!$AC$29:$AC$34,'1'!$AG$29:$AG$34,$AK7,'1'!$AF$29:$AF$34,1)/COUNTIFS('1'!$AG$29:$AG$34,$AK7,'1'!$AF$29:$AF$34,1))</f>
        <v/>
      </c>
      <c r="AW7" s="86" t="str">
        <f>IF(COUNTIFS('2'!$AG$25:$AG$30,$AK7,'2'!$AF$25:$AF$30,1)=0,"",SUMIFS('2'!$AC$25:$AC$30,'2'!$AG$25:$AG$30,$AK7,'2'!$AF$25:$AF$30,1)/COUNTIFS('2'!$AG$25:$AG$30,$AK7,'2'!$AF$25:$AF$30,1))</f>
        <v/>
      </c>
      <c r="AX7" s="86" t="str">
        <f>IF(COUNTIFS('3'!$AG$24:$AG$29,$AK7,'3'!$AF$24:$AF$29,1)=0,"",SUMIFS('3'!$AC$24:$AC$29,'3'!$AG$24:$AG$29,$AK7,'3'!$AF$24:$AF$29,1)/COUNTIFS('3'!$AG$24:$AG$29,$AK7,'3'!$AF$24:$AF$29,1))</f>
        <v/>
      </c>
      <c r="AY7" s="86" t="str">
        <f>IF(COUNTIFS('4'!$AG$25:$AG$30,$AK7,'4'!$AF$25:$AF$30,1)=0,"",SUMIFS('4'!$AC$25:$AC$30,'4'!$AG$25:$AG$30,$AK7,'4'!$AF$25:$AF$30,1)/COUNTIFS('4'!$AG$25:$AG$30,$AK7,'4'!$AF$25:$AF$30,1))</f>
        <v/>
      </c>
      <c r="AZ7" s="86" t="str">
        <f>IF(COUNTIFS('5'!$AG$25:$AG$30,$AK7,'5'!$AF$25:$AF$30,1)=0,"",SUMIFS('5'!$AC$25:$AC$30,'5'!$AG$25:$AG$30,$AK7,'5'!$AF$25:$AF$30,1)/COUNTIFS('5'!$AG$25:$AG$30,$AK7,'5'!$AF$25:$AF$30,1))</f>
        <v/>
      </c>
      <c r="BA7" s="86" t="str">
        <f>IF(COUNTIFS('6'!$AG$25:$AG$30,$AK7,'6'!$AF$25:$AF$30,1)=0,"",SUMIFS('6'!$AC$25:$AC$30,'6'!$AG$25:$AG$30,$AK7,'6'!$AF$25:$AF$30,1)/COUNTIFS('6'!$AG$25:$AG$30,$AK7,'6'!$AF$25:$AF$30,1))</f>
        <v/>
      </c>
      <c r="BB7" s="86" t="str">
        <f>IF(COUNTIFS('7'!$AG$30:$AG$35,$AK7,'7'!$AF$30:$AF$35,1)=0,"",SUMIFS('7'!$AC$30:$AC$35,'7'!$AG$30:$AG$35,$AK7,'7'!$AF$30:$AF$35,1)/COUNTIFS('7'!$AG$30:$AG$35,$AK7,'7'!$AF$30:$AF$35,1))</f>
        <v/>
      </c>
      <c r="BC7" s="86" t="str">
        <f>IF(COUNTIFS('8'!$AG$25:$AG$30,$AK7,'8'!$AF$25:$AF$30,1)=0,"",SUMIFS('8'!$AC$25:$AC$30,'8'!$AG$25:$AG$30,$AK7,'8'!$AF$25:$AF$30,1)/COUNTIFS('8'!$AG$25:$AG$30,$AK7,'8'!$AF$25:$AF$30,1))</f>
        <v/>
      </c>
      <c r="BD7" s="86" t="str">
        <f>IF(COUNTIFS('9'!$AG$25:$AG$30,$AK7,'9'!$AF$25:$AF$30,1)=0,"",SUMIFS('9'!$AC$25:$AC$30,'9'!$AG$25:$AG$30,$AK7,'9'!$AF$25:$AF$30,1)/COUNTIFS('9'!$AG$25:$AG$30,$AK7,'9'!$AF$25:$AF$30,1))</f>
        <v/>
      </c>
      <c r="BE7" s="86" t="str">
        <f>IF(COUNTIFS('10'!$AG$25:$AG$30,$AK7,'10'!$AF$25:$AF$30,1)=0,"",SUMIFS('10'!$AC$25:$AC$30,'10'!$AG$25:$AG$30,$AK7,'10'!$AF$25:$AF$30,1)/COUNTIFS('10'!$AG$25:$AG$30,$AK7,'10'!$AF$25:$AF$30,1))</f>
        <v/>
      </c>
      <c r="BF7" s="86" t="str">
        <f>IF(COUNTIFS('11'!$AG$25:$AG$30,$AK7,'11'!$AF$25:$AF$30,1)=0,"",SUMIFS('11'!$AC$25:$AC$30,'11'!$AG$25:$AG$30,$AK7,'11'!$AF$25:$AF$30,1)/COUNTIFS('11'!$AG$25:$AG$30,$AK7,'11'!$AF$25:$AF$30,1))</f>
        <v/>
      </c>
      <c r="BG7" s="86" t="str">
        <f>IF(COUNTIFS('12'!$AG$25:$AG$30,$AK7,'12'!$AF$25:$AF$30,1)=0,"",SUMIFS('12'!$AC$25:$AC$30,'12'!$AG$25:$AG$30,$AK7,'12'!$AF$25:$AF$30,1)/COUNTIFS('12'!$AG$25:$AG$30,$AK7,'12'!$AF$25:$AF$30,1))</f>
        <v/>
      </c>
      <c r="BH7" s="86" t="str">
        <f>IF(COUNTIFS('13'!$AG$25:$AG$30,$AK7,'13'!$AF$25:$AF$30,1)=0,"",SUMIFS('13'!$AC$25:$AC$30,'13'!$AG$25:$AG$30,$AK7,'13'!$AF$25:$AF$30,1)/COUNTIFS('13'!$AG$25:$AG$30,$AK7,'13'!$AF$25:$AF$30,1))</f>
        <v/>
      </c>
      <c r="BI7" s="86" t="str">
        <f>IF(COUNTIFS('14'!$AG$25:$AG$30,$AK7,'14'!$AF$25:$AF$30,1)=0,"",SUMIFS('14'!$AC$25:$AC$30,'14'!$AG$25:$AG$30,$AK7,'14'!$AF$25:$AF$30,1)/COUNTIFS('14'!$AG$25:$AG$30,$AK7,'14'!$AF$25:$AF$30,1))</f>
        <v/>
      </c>
      <c r="BJ7" s="86" t="str">
        <f>IF(COUNTIFS('15'!$AG$25:$AG$30,$AK7,'15'!$AF$25:$AF$30,1)=0,"",SUMIFS('15'!$AC$25:$AC$30,'15'!$AG$25:$AG$30,$AK7,'15'!$AF$25:$AF$30,1)/COUNTIFS('15'!$AG$25:$AG$30,$AK7,'15'!$AF$25:$AF$30,1))</f>
        <v/>
      </c>
      <c r="BK7" s="86" t="str">
        <f>IF(COUNTIFS('16'!$AG$25:$AG$30,$AK7,'16'!$AF$25:$AF$30,1)=0,"",SUMIFS('16'!$AC$25:$AC$30,'16'!$AG$25:$AG$30,$AK7,'16'!$AF$25:$AF$30,1)/COUNTIFS('16'!$AG$25:$AG$30,$AK7,'16'!$AF$25:$AF$30,1))</f>
        <v/>
      </c>
      <c r="BL7" s="86" t="str">
        <f>IF(COUNTIFS('17'!$AG$25:$AG$30,$AK7,'17'!$AF$25:$AF$30,1)=0,"",SUMIFS('17'!$AC$25:$AC$30,'17'!$AG$25:$AG$30,$AK7,'17'!$AF$25:$AF$30,1)/COUNTIFS('17'!$AG$25:$AG$30,$AK7,'17'!$AF$25:$AF$30,1))</f>
        <v/>
      </c>
      <c r="BM7" s="86" t="str">
        <f>IF(COUNTIFS('18'!$AG$25:$AG$30,$AK7,'18'!$AF$25:$AF$30,1)=0,"",SUMIFS('18'!$AC$25:$AC$30,'18'!$AG$25:$AG$30,$AK7,'18'!$AF$25:$AF$30,1)/COUNTIFS('18'!$AG$25:$AG$30,$AK7,'18'!$AF$25:$AF$30,1))</f>
        <v/>
      </c>
      <c r="BN7" s="86" t="str">
        <f>IF(COUNTIFS('19'!$AG$25:$AG$30,$AK7,'19'!$AF$25:$AF$30,1)=0,"",SUMIFS('19'!$AC$25:$AC$30,'19'!$AG$25:$AG$30,$AK7,'19'!$AF$25:$AF$30,1)/COUNTIFS('19'!$AG$25:$AG$30,$AK7,'19'!$AF$25:$AF$30,1))</f>
        <v/>
      </c>
      <c r="BO7" s="86" t="str">
        <f>IF(COUNTIFS('20'!$AG$25:$AG$30,$AK7,'20'!$AF$25:$AF$30,1)=0,"",SUMIFS('20'!$AC$25:$AC$30,'20'!$AG$25:$AG$30,$AK7,'20'!$AF$25:$AF$30,1)/COUNTIFS('20'!$AG$25:$AG$30,$AK7,'20'!$AF$25:$AF$30,1))</f>
        <v/>
      </c>
      <c r="BP7" s="86" t="str">
        <f>IF(COUNTIFS('21'!$AG$25:$AG$30,$AK7,'21'!$AF$25:$AF$30,1)=0,"",SUMIFS('21'!$AC$25:$AC$30,'21'!$AG$25:$AG$30,$AK7,'21'!$AF$25:$AF$30,1)/COUNTIFS('21'!$AG$25:$AG$30,$AK7,'21'!$AF$25:$AF$30,1))</f>
        <v/>
      </c>
      <c r="BQ7" s="86" t="str">
        <f>IF(COUNTIFS('22'!$AG$25:$AG$30,$AK7,'22'!$AF$25:$AF$30,1)=0,"",SUMIFS('22'!$AC$25:$AC$30,'22'!$AG$25:$AG$30,$AK7,'22'!$AF$25:$AF$30,1)/COUNTIFS('22'!$AG$25:$AG$30,$AK7,'22'!$AF$25:$AF$30,1))</f>
        <v/>
      </c>
      <c r="BR7" s="86" t="str">
        <f>IF(COUNTIFS('23'!$AG$25:$AG$30,$AK7,'23'!$AF$25:$AF$30,1)=0,"",SUMIFS('23'!$AC$25:$AC$30,'23'!$AG$25:$AG$30,$AK7,'23'!$AF$25:$AF$30,1)/COUNTIFS('23'!$AG$25:$AG$30,$AK7,'23'!$AF$25:$AF$30,1))</f>
        <v/>
      </c>
      <c r="BS7" s="86" t="str">
        <f>IF(COUNTIFS('24'!$AG$25:$AG$30,$AK7,'24'!$AF$25:$AF$30,1)=0,"",SUMIFS('24'!$AC$25:$AC$30,'24'!$AG$25:$AG$30,$AK7,'24'!$AF$25:$AF$30,1)/COUNTIFS('24'!$AG$25:$AG$30,$AK7,'24'!$AF$25:$AF$30,1))</f>
        <v/>
      </c>
      <c r="BT7" s="86" t="str">
        <f>IF(COUNTIFS('25'!$AG$25:$AG$30,$AK7,'25'!$AF$25:$AF$30,1)=0,"",SUMIFS('25'!$AC$25:$AC$30,'25'!$AG$25:$AG$30,$AK7,'25'!$AF$25:$AF$30,1)/COUNTIFS('25'!$AG$25:$AG$30,$AK7,'25'!$AF$25:$AF$30,1))</f>
        <v/>
      </c>
      <c r="BU7" s="86" t="str">
        <f>IF(COUNTIFS('26'!$AG$25:$AG$30,$AK7,'26'!$AF$25:$AF$30,1)=0,"",SUMIFS('26'!$AC$25:$AC$30,'26'!$AG$25:$AG$30,$AK7,'26'!$AF$25:$AF$30,1)/COUNTIFS('26'!$AG$25:$AG$30,$AK7,'26'!$AF$25:$AF$30,1))</f>
        <v/>
      </c>
      <c r="BV7" s="86" t="str">
        <f>IF(COUNTIFS('27'!$AG$25:$AG$30,$AK7,'27'!$AF$25:$AF$30,1)=0,"",SUMIFS('27'!$AC$25:$AC$30,'27'!$AG$25:$AG$30,$AK7,'27'!$AF$25:$AF$30,1)/COUNTIFS('27'!$AG$25:$AG$30,$AK7,'27'!$AF$25:$AF$30,1))</f>
        <v/>
      </c>
      <c r="BW7" s="86" t="str">
        <f>IF(COUNTIFS('28'!$AG$25:$AG$30,$AK7,'28'!$AF$25:$AF$30,1)=0,"",SUMIFS('28'!$AC$25:$AC$30,'28'!$AG$25:$AG$30,$AK7,'28'!$AF$25:$AF$30,1)/COUNTIFS('28'!$AG$25:$AG$30,$AK7,'28'!$AF$25:$AF$30,1))</f>
        <v/>
      </c>
      <c r="BX7" s="86" t="str">
        <f>IF(COUNTIFS('29'!$AG$25:$AG$30,$AK7,'29'!$AF$25:$AF$30,1)=0,"",SUMIFS('29'!$AC$25:$AC$30,'29'!$AG$25:$AG$30,$AK7,'29'!$AF$25:$AF$30,1)/COUNTIFS('29'!$AG$25:$AG$30,$AK7,'29'!$AF$25:$AF$30,1))</f>
        <v/>
      </c>
      <c r="BY7" s="86" t="str">
        <f>IF(COUNTIFS('30'!$AG$25:$AG$30,$AK7,'30'!$AF$25:$AF$30,1)=0,"",SUMIFS('30'!$AC$25:$AC$30,'30'!$AG$25:$AG$30,$AK7,'30'!$AF$25:$AF$30,1)/COUNTIFS('30'!$AG$25:$AG$30,$AK7,'30'!$AF$25:$AF$30,1))</f>
        <v/>
      </c>
      <c r="BZ7" s="86" t="str">
        <f>IF(COUNTIFS('31'!$AG$28:$AG$33,$AK7,'31'!$AF$28:$AF$33,1)=0,"",SUMIFS('31'!$AC$28:$AC$33,'31'!$AG$28:$AG$33,$AK7,'31'!$AF$28:$AF$33,1)/COUNTIFS('31'!$AG$28:$AG$33,$AK7,'31'!$AF$28:$AF$33,1))</f>
        <v/>
      </c>
      <c r="CA7" s="86" t="s">
        <v>121</v>
      </c>
      <c r="CB7" s="86">
        <f t="shared" si="6"/>
        <v>0</v>
      </c>
    </row>
    <row r="8">
      <c r="A8" s="141">
        <f>IF(LARGE($Y$5:$Y$17,3)=0,"",3)</f>
        <v>3</v>
      </c>
      <c r="B8" s="141" t="str">
        <f t="shared" si="7"/>
        <v>Photofox</v>
      </c>
      <c r="C8" s="141">
        <f t="shared" si="8"/>
        <v>2</v>
      </c>
      <c r="D8" s="142">
        <f t="shared" si="9"/>
        <v>0.1666666667</v>
      </c>
      <c r="E8" s="142">
        <f t="shared" si="10"/>
        <v>0.6666666667</v>
      </c>
      <c r="X8" s="86" t="s">
        <v>44</v>
      </c>
      <c r="Y8" s="86">
        <f>COUNTIF('1'!$D$4:$D$20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6">
        <f t="shared" si="1"/>
        <v>1.0001</v>
      </c>
      <c r="AA8" s="86" t="s">
        <v>115</v>
      </c>
      <c r="AB8" s="86" t="s">
        <v>105</v>
      </c>
      <c r="AC8" s="86">
        <f>COUNTIF('1'!$O$22:$O$25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6">
        <f t="shared" si="2"/>
        <v>0.00008</v>
      </c>
      <c r="AE8" s="86" t="s">
        <v>115</v>
      </c>
      <c r="AF8" s="86">
        <f>COUNTIF('1'!$L$4:$L$20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6">
        <f t="shared" si="3"/>
        <v>0.00002</v>
      </c>
      <c r="AH8" s="86" t="s">
        <v>118</v>
      </c>
      <c r="AI8" s="86">
        <f>COUNTIF('1'!$M$4:$M$20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6">
        <f t="shared" si="4"/>
        <v>0.00003</v>
      </c>
      <c r="AK8" s="86" t="s">
        <v>115</v>
      </c>
      <c r="AL8" s="86" t="s">
        <v>105</v>
      </c>
      <c r="AM8" s="86">
        <f>COUNTIFS('1'!$AG$29:$AG$34,AK8,'1'!$AF$29:$AF$34,1)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6" t="str">
        <f t="shared" si="5"/>
        <v/>
      </c>
      <c r="AO8" s="86" t="str">
        <f>IF(AM8=0,"",(SUMIFS('1'!$L$29:$L$34,'1'!$AG$29:$AG$34,AK8,'1'!$AF$29:$AF$34,1)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6" t="str">
        <f>IF(AM8=0,"",(SUMIFS('1'!$M$29:$M$34,'1'!$AG$29:$AG$34,AK8,'1'!$AF$29:$AF$34,1)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6" t="str">
        <f>IF(AM8=0,"",(SUMIFS('1'!$N$29:$N$34,'1'!$AG$29:$AG$34,AK8,'1'!$AF$29:$AF$34,1)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6" t="str">
        <f>IF(AM8=0,"",(SUMIFS('1'!$O$29:$O$34,'1'!$AG$29:$AG$34,AK8,'1'!$AF$29:$AF$34,1)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6" t="str">
        <f>IF(AM8=0,"",(SUMIFS('1'!$P$29:$P$34,'1'!$AG$29:$AG$34,AK8,'1'!$AF$29:$AF$34,1)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6" t="str">
        <f>IF(COUNTIFS('1'!$AG$29:$AG$34,$AK8,'1'!$AF$29:$AF$34,1)=0,"",SUMIFS('1'!$AC$29:$AC$34,'1'!$AG$29:$AG$34,$AK8,'1'!$AF$29:$AF$34,1)/COUNTIFS('1'!$AG$29:$AG$34,$AK8,'1'!$AF$29:$AF$34,1))</f>
        <v/>
      </c>
      <c r="AW8" s="86" t="str">
        <f>IF(COUNTIFS('2'!$AG$25:$AG$30,$AK8,'2'!$AF$25:$AF$30,1)=0,"",SUMIFS('2'!$AC$25:$AC$30,'2'!$AG$25:$AG$30,$AK8,'2'!$AF$25:$AF$30,1)/COUNTIFS('2'!$AG$25:$AG$30,$AK8,'2'!$AF$25:$AF$30,1))</f>
        <v/>
      </c>
      <c r="AX8" s="86" t="str">
        <f>IF(COUNTIFS('3'!$AG$24:$AG$29,$AK8,'3'!$AF$24:$AF$29,1)=0,"",SUMIFS('3'!$AC$24:$AC$29,'3'!$AG$24:$AG$29,$AK8,'3'!$AF$24:$AF$29,1)/COUNTIFS('3'!$AG$24:$AG$29,$AK8,'3'!$AF$24:$AF$29,1))</f>
        <v/>
      </c>
      <c r="AY8" s="86" t="str">
        <f>IF(COUNTIFS('4'!$AG$25:$AG$30,$AK8,'4'!$AF$25:$AF$30,1)=0,"",SUMIFS('4'!$AC$25:$AC$30,'4'!$AG$25:$AG$30,$AK8,'4'!$AF$25:$AF$30,1)/COUNTIFS('4'!$AG$25:$AG$30,$AK8,'4'!$AF$25:$AF$30,1))</f>
        <v/>
      </c>
      <c r="AZ8" s="86" t="str">
        <f>IF(COUNTIFS('5'!$AG$25:$AG$30,$AK8,'5'!$AF$25:$AF$30,1)=0,"",SUMIFS('5'!$AC$25:$AC$30,'5'!$AG$25:$AG$30,$AK8,'5'!$AF$25:$AF$30,1)/COUNTIFS('5'!$AG$25:$AG$30,$AK8,'5'!$AF$25:$AF$30,1))</f>
        <v/>
      </c>
      <c r="BA8" s="86" t="str">
        <f>IF(COUNTIFS('6'!$AG$25:$AG$30,$AK8,'6'!$AF$25:$AF$30,1)=0,"",SUMIFS('6'!$AC$25:$AC$30,'6'!$AG$25:$AG$30,$AK8,'6'!$AF$25:$AF$30,1)/COUNTIFS('6'!$AG$25:$AG$30,$AK8,'6'!$AF$25:$AF$30,1))</f>
        <v/>
      </c>
      <c r="BB8" s="86" t="str">
        <f>IF(COUNTIFS('7'!$AG$30:$AG$35,$AK8,'7'!$AF$30:$AF$35,1)=0,"",SUMIFS('7'!$AC$30:$AC$35,'7'!$AG$30:$AG$35,$AK8,'7'!$AF$30:$AF$35,1)/COUNTIFS('7'!$AG$30:$AG$35,$AK8,'7'!$AF$30:$AF$35,1))</f>
        <v/>
      </c>
      <c r="BC8" s="86" t="str">
        <f>IF(COUNTIFS('8'!$AG$25:$AG$30,$AK8,'8'!$AF$25:$AF$30,1)=0,"",SUMIFS('8'!$AC$25:$AC$30,'8'!$AG$25:$AG$30,$AK8,'8'!$AF$25:$AF$30,1)/COUNTIFS('8'!$AG$25:$AG$30,$AK8,'8'!$AF$25:$AF$30,1))</f>
        <v/>
      </c>
      <c r="BD8" s="86" t="str">
        <f>IF(COUNTIFS('9'!$AG$25:$AG$30,$AK8,'9'!$AF$25:$AF$30,1)=0,"",SUMIFS('9'!$AC$25:$AC$30,'9'!$AG$25:$AG$30,$AK8,'9'!$AF$25:$AF$30,1)/COUNTIFS('9'!$AG$25:$AG$30,$AK8,'9'!$AF$25:$AF$30,1))</f>
        <v/>
      </c>
      <c r="BE8" s="86" t="str">
        <f>IF(COUNTIFS('10'!$AG$25:$AG$30,$AK8,'10'!$AF$25:$AF$30,1)=0,"",SUMIFS('10'!$AC$25:$AC$30,'10'!$AG$25:$AG$30,$AK8,'10'!$AF$25:$AF$30,1)/COUNTIFS('10'!$AG$25:$AG$30,$AK8,'10'!$AF$25:$AF$30,1))</f>
        <v/>
      </c>
      <c r="BF8" s="86" t="str">
        <f>IF(COUNTIFS('11'!$AG$25:$AG$30,$AK8,'11'!$AF$25:$AF$30,1)=0,"",SUMIFS('11'!$AC$25:$AC$30,'11'!$AG$25:$AG$30,$AK8,'11'!$AF$25:$AF$30,1)/COUNTIFS('11'!$AG$25:$AG$30,$AK8,'11'!$AF$25:$AF$30,1))</f>
        <v/>
      </c>
      <c r="BG8" s="86" t="str">
        <f>IF(COUNTIFS('12'!$AG$25:$AG$30,$AK8,'12'!$AF$25:$AF$30,1)=0,"",SUMIFS('12'!$AC$25:$AC$30,'12'!$AG$25:$AG$30,$AK8,'12'!$AF$25:$AF$30,1)/COUNTIFS('12'!$AG$25:$AG$30,$AK8,'12'!$AF$25:$AF$30,1))</f>
        <v/>
      </c>
      <c r="BH8" s="86" t="str">
        <f>IF(COUNTIFS('13'!$AG$25:$AG$30,$AK8,'13'!$AF$25:$AF$30,1)=0,"",SUMIFS('13'!$AC$25:$AC$30,'13'!$AG$25:$AG$30,$AK8,'13'!$AF$25:$AF$30,1)/COUNTIFS('13'!$AG$25:$AG$30,$AK8,'13'!$AF$25:$AF$30,1))</f>
        <v/>
      </c>
      <c r="BI8" s="86" t="str">
        <f>IF(COUNTIFS('14'!$AG$25:$AG$30,$AK8,'14'!$AF$25:$AF$30,1)=0,"",SUMIFS('14'!$AC$25:$AC$30,'14'!$AG$25:$AG$30,$AK8,'14'!$AF$25:$AF$30,1)/COUNTIFS('14'!$AG$25:$AG$30,$AK8,'14'!$AF$25:$AF$30,1))</f>
        <v/>
      </c>
      <c r="BJ8" s="86" t="str">
        <f>IF(COUNTIFS('15'!$AG$25:$AG$30,$AK8,'15'!$AF$25:$AF$30,1)=0,"",SUMIFS('15'!$AC$25:$AC$30,'15'!$AG$25:$AG$30,$AK8,'15'!$AF$25:$AF$30,1)/COUNTIFS('15'!$AG$25:$AG$30,$AK8,'15'!$AF$25:$AF$30,1))</f>
        <v/>
      </c>
      <c r="BK8" s="86" t="str">
        <f>IF(COUNTIFS('16'!$AG$25:$AG$30,$AK8,'16'!$AF$25:$AF$30,1)=0,"",SUMIFS('16'!$AC$25:$AC$30,'16'!$AG$25:$AG$30,$AK8,'16'!$AF$25:$AF$30,1)/COUNTIFS('16'!$AG$25:$AG$30,$AK8,'16'!$AF$25:$AF$30,1))</f>
        <v/>
      </c>
      <c r="BL8" s="86" t="str">
        <f>IF(COUNTIFS('17'!$AG$25:$AG$30,$AK8,'17'!$AF$25:$AF$30,1)=0,"",SUMIFS('17'!$AC$25:$AC$30,'17'!$AG$25:$AG$30,$AK8,'17'!$AF$25:$AF$30,1)/COUNTIFS('17'!$AG$25:$AG$30,$AK8,'17'!$AF$25:$AF$30,1))</f>
        <v/>
      </c>
      <c r="BM8" s="86" t="str">
        <f>IF(COUNTIFS('18'!$AG$25:$AG$30,$AK8,'18'!$AF$25:$AF$30,1)=0,"",SUMIFS('18'!$AC$25:$AC$30,'18'!$AG$25:$AG$30,$AK8,'18'!$AF$25:$AF$30,1)/COUNTIFS('18'!$AG$25:$AG$30,$AK8,'18'!$AF$25:$AF$30,1))</f>
        <v/>
      </c>
      <c r="BN8" s="86" t="str">
        <f>IF(COUNTIFS('19'!$AG$25:$AG$30,$AK8,'19'!$AF$25:$AF$30,1)=0,"",SUMIFS('19'!$AC$25:$AC$30,'19'!$AG$25:$AG$30,$AK8,'19'!$AF$25:$AF$30,1)/COUNTIFS('19'!$AG$25:$AG$30,$AK8,'19'!$AF$25:$AF$30,1))</f>
        <v/>
      </c>
      <c r="BO8" s="86" t="str">
        <f>IF(COUNTIFS('20'!$AG$25:$AG$30,$AK8,'20'!$AF$25:$AF$30,1)=0,"",SUMIFS('20'!$AC$25:$AC$30,'20'!$AG$25:$AG$30,$AK8,'20'!$AF$25:$AF$30,1)/COUNTIFS('20'!$AG$25:$AG$30,$AK8,'20'!$AF$25:$AF$30,1))</f>
        <v/>
      </c>
      <c r="BP8" s="86" t="str">
        <f>IF(COUNTIFS('21'!$AG$25:$AG$30,$AK8,'21'!$AF$25:$AF$30,1)=0,"",SUMIFS('21'!$AC$25:$AC$30,'21'!$AG$25:$AG$30,$AK8,'21'!$AF$25:$AF$30,1)/COUNTIFS('21'!$AG$25:$AG$30,$AK8,'21'!$AF$25:$AF$30,1))</f>
        <v/>
      </c>
      <c r="BQ8" s="86" t="str">
        <f>IF(COUNTIFS('22'!$AG$25:$AG$30,$AK8,'22'!$AF$25:$AF$30,1)=0,"",SUMIFS('22'!$AC$25:$AC$30,'22'!$AG$25:$AG$30,$AK8,'22'!$AF$25:$AF$30,1)/COUNTIFS('22'!$AG$25:$AG$30,$AK8,'22'!$AF$25:$AF$30,1))</f>
        <v/>
      </c>
      <c r="BR8" s="86" t="str">
        <f>IF(COUNTIFS('23'!$AG$25:$AG$30,$AK8,'23'!$AF$25:$AF$30,1)=0,"",SUMIFS('23'!$AC$25:$AC$30,'23'!$AG$25:$AG$30,$AK8,'23'!$AF$25:$AF$30,1)/COUNTIFS('23'!$AG$25:$AG$30,$AK8,'23'!$AF$25:$AF$30,1))</f>
        <v/>
      </c>
      <c r="BS8" s="86" t="str">
        <f>IF(COUNTIFS('24'!$AG$25:$AG$30,$AK8,'24'!$AF$25:$AF$30,1)=0,"",SUMIFS('24'!$AC$25:$AC$30,'24'!$AG$25:$AG$30,$AK8,'24'!$AF$25:$AF$30,1)/COUNTIFS('24'!$AG$25:$AG$30,$AK8,'24'!$AF$25:$AF$30,1))</f>
        <v/>
      </c>
      <c r="BT8" s="86" t="str">
        <f>IF(COUNTIFS('25'!$AG$25:$AG$30,$AK8,'25'!$AF$25:$AF$30,1)=0,"",SUMIFS('25'!$AC$25:$AC$30,'25'!$AG$25:$AG$30,$AK8,'25'!$AF$25:$AF$30,1)/COUNTIFS('25'!$AG$25:$AG$30,$AK8,'25'!$AF$25:$AF$30,1))</f>
        <v/>
      </c>
      <c r="BU8" s="86" t="str">
        <f>IF(COUNTIFS('26'!$AG$25:$AG$30,$AK8,'26'!$AF$25:$AF$30,1)=0,"",SUMIFS('26'!$AC$25:$AC$30,'26'!$AG$25:$AG$30,$AK8,'26'!$AF$25:$AF$30,1)/COUNTIFS('26'!$AG$25:$AG$30,$AK8,'26'!$AF$25:$AF$30,1))</f>
        <v/>
      </c>
      <c r="BV8" s="86" t="str">
        <f>IF(COUNTIFS('27'!$AG$25:$AG$30,$AK8,'27'!$AF$25:$AF$30,1)=0,"",SUMIFS('27'!$AC$25:$AC$30,'27'!$AG$25:$AG$30,$AK8,'27'!$AF$25:$AF$30,1)/COUNTIFS('27'!$AG$25:$AG$30,$AK8,'27'!$AF$25:$AF$30,1))</f>
        <v/>
      </c>
      <c r="BW8" s="86" t="str">
        <f>IF(COUNTIFS('28'!$AG$25:$AG$30,$AK8,'28'!$AF$25:$AF$30,1)=0,"",SUMIFS('28'!$AC$25:$AC$30,'28'!$AG$25:$AG$30,$AK8,'28'!$AF$25:$AF$30,1)/COUNTIFS('28'!$AG$25:$AG$30,$AK8,'28'!$AF$25:$AF$30,1))</f>
        <v/>
      </c>
      <c r="BX8" s="86" t="str">
        <f>IF(COUNTIFS('29'!$AG$25:$AG$30,$AK8,'29'!$AF$25:$AF$30,1)=0,"",SUMIFS('29'!$AC$25:$AC$30,'29'!$AG$25:$AG$30,$AK8,'29'!$AF$25:$AF$30,1)/COUNTIFS('29'!$AG$25:$AG$30,$AK8,'29'!$AF$25:$AF$30,1))</f>
        <v/>
      </c>
      <c r="BY8" s="86" t="str">
        <f>IF(COUNTIFS('30'!$AG$25:$AG$30,$AK8,'30'!$AF$25:$AF$30,1)=0,"",SUMIFS('30'!$AC$25:$AC$30,'30'!$AG$25:$AG$30,$AK8,'30'!$AF$25:$AF$30,1)/COUNTIFS('30'!$AG$25:$AG$30,$AK8,'30'!$AF$25:$AF$30,1))</f>
        <v/>
      </c>
      <c r="BZ8" s="86" t="str">
        <f>IF(COUNTIFS('31'!$AG$28:$AG$33,$AK8,'31'!$AF$28:$AF$33,1)=0,"",SUMIFS('31'!$AC$28:$AC$33,'31'!$AG$28:$AG$33,$AK8,'31'!$AF$28:$AF$33,1)/COUNTIFS('31'!$AG$28:$AG$33,$AK8,'31'!$AF$28:$AF$33,1))</f>
        <v/>
      </c>
      <c r="CA8" s="86" t="s">
        <v>122</v>
      </c>
      <c r="CB8" s="86">
        <f t="shared" si="6"/>
        <v>0</v>
      </c>
    </row>
    <row r="9">
      <c r="A9" s="141">
        <f>IF(LARGE($Y$5:$Y$17,4)=0,"",4)</f>
        <v>4</v>
      </c>
      <c r="B9" s="141" t="str">
        <f t="shared" si="7"/>
        <v>Single</v>
      </c>
      <c r="C9" s="141">
        <f t="shared" si="8"/>
        <v>1</v>
      </c>
      <c r="D9" s="142">
        <f t="shared" si="9"/>
        <v>0.08333333333</v>
      </c>
      <c r="E9" s="142">
        <f t="shared" si="10"/>
        <v>0.75</v>
      </c>
      <c r="X9" s="86" t="s">
        <v>123</v>
      </c>
      <c r="Y9" s="86">
        <f>COUNTIF('1'!$D$4:$D$20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6">
        <f t="shared" si="1"/>
        <v>0.00009</v>
      </c>
      <c r="AA9" s="86" t="s">
        <v>116</v>
      </c>
      <c r="AB9" s="86" t="s">
        <v>105</v>
      </c>
      <c r="AC9" s="86">
        <f>COUNTIF('1'!$O$22:$O$25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6">
        <f t="shared" si="2"/>
        <v>0.00007</v>
      </c>
      <c r="AE9" s="86" t="s">
        <v>116</v>
      </c>
      <c r="AF9" s="86">
        <f>COUNTIF('1'!$L$4:$L$20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6">
        <f t="shared" si="3"/>
        <v>0.00001</v>
      </c>
      <c r="AH9" s="86" t="s">
        <v>119</v>
      </c>
      <c r="AI9" s="86">
        <f>COUNTIF('1'!$M$4:$M$20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6">
        <f t="shared" si="4"/>
        <v>0.00002</v>
      </c>
      <c r="AK9" s="86" t="s">
        <v>116</v>
      </c>
      <c r="AL9" s="86" t="s">
        <v>105</v>
      </c>
      <c r="AM9" s="86">
        <f>COUNTIFS('1'!$AG$29:$AG$34,AK9,'1'!$AF$29:$AF$34,1)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6" t="str">
        <f t="shared" si="5"/>
        <v/>
      </c>
      <c r="AO9" s="86" t="str">
        <f>IF(AM9=0,"",(SUMIFS('1'!$L$29:$L$34,'1'!$AG$29:$AG$34,AK9,'1'!$AF$29:$AF$34,1)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6" t="str">
        <f>IF(AM9=0,"",(SUMIFS('1'!$M$29:$M$34,'1'!$AG$29:$AG$34,AK9,'1'!$AF$29:$AF$34,1)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6" t="str">
        <f>IF(AM9=0,"",(SUMIFS('1'!$N$29:$N$34,'1'!$AG$29:$AG$34,AK9,'1'!$AF$29:$AF$34,1)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6" t="str">
        <f>IF(AM9=0,"",(SUMIFS('1'!$O$29:$O$34,'1'!$AG$29:$AG$34,AK9,'1'!$AF$29:$AF$34,1)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6" t="str">
        <f>IF(AM9=0,"",(SUMIFS('1'!$P$29:$P$34,'1'!$AG$29:$AG$34,AK9,'1'!$AF$29:$AF$34,1)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6" t="str">
        <f>IF(COUNTIFS('1'!$AG$29:$AG$34,$AK9,'1'!$AF$29:$AF$34,1)=0,"",SUMIFS('1'!$AC$29:$AC$34,'1'!$AG$29:$AG$34,$AK9,'1'!$AF$29:$AF$34,1)/COUNTIFS('1'!$AG$29:$AG$34,$AK9,'1'!$AF$29:$AF$34,1))</f>
        <v/>
      </c>
      <c r="AW9" s="86" t="str">
        <f>IF(COUNTIFS('2'!$AG$25:$AG$30,$AK9,'2'!$AF$25:$AF$30,1)=0,"",SUMIFS('2'!$AC$25:$AC$30,'2'!$AG$25:$AG$30,$AK9,'2'!$AF$25:$AF$30,1)/COUNTIFS('2'!$AG$25:$AG$30,$AK9,'2'!$AF$25:$AF$30,1))</f>
        <v/>
      </c>
      <c r="AX9" s="86" t="str">
        <f>IF(COUNTIFS('3'!$AG$24:$AG$29,$AK9,'3'!$AF$24:$AF$29,1)=0,"",SUMIFS('3'!$AC$24:$AC$29,'3'!$AG$24:$AG$29,$AK9,'3'!$AF$24:$AF$29,1)/COUNTIFS('3'!$AG$24:$AG$29,$AK9,'3'!$AF$24:$AF$29,1))</f>
        <v/>
      </c>
      <c r="AY9" s="86" t="str">
        <f>IF(COUNTIFS('4'!$AG$25:$AG$30,$AK9,'4'!$AF$25:$AF$30,1)=0,"",SUMIFS('4'!$AC$25:$AC$30,'4'!$AG$25:$AG$30,$AK9,'4'!$AF$25:$AF$30,1)/COUNTIFS('4'!$AG$25:$AG$30,$AK9,'4'!$AF$25:$AF$30,1))</f>
        <v/>
      </c>
      <c r="AZ9" s="86" t="str">
        <f>IF(COUNTIFS('5'!$AG$25:$AG$30,$AK9,'5'!$AF$25:$AF$30,1)=0,"",SUMIFS('5'!$AC$25:$AC$30,'5'!$AG$25:$AG$30,$AK9,'5'!$AF$25:$AF$30,1)/COUNTIFS('5'!$AG$25:$AG$30,$AK9,'5'!$AF$25:$AF$30,1))</f>
        <v/>
      </c>
      <c r="BA9" s="86" t="str">
        <f>IF(COUNTIFS('6'!$AG$25:$AG$30,$AK9,'6'!$AF$25:$AF$30,1)=0,"",SUMIFS('6'!$AC$25:$AC$30,'6'!$AG$25:$AG$30,$AK9,'6'!$AF$25:$AF$30,1)/COUNTIFS('6'!$AG$25:$AG$30,$AK9,'6'!$AF$25:$AF$30,1))</f>
        <v/>
      </c>
      <c r="BB9" s="86" t="str">
        <f>IF(COUNTIFS('7'!$AG$30:$AG$35,$AK9,'7'!$AF$30:$AF$35,1)=0,"",SUMIFS('7'!$AC$30:$AC$35,'7'!$AG$30:$AG$35,$AK9,'7'!$AF$30:$AF$35,1)/COUNTIFS('7'!$AG$30:$AG$35,$AK9,'7'!$AF$30:$AF$35,1))</f>
        <v/>
      </c>
      <c r="BC9" s="86" t="str">
        <f>IF(COUNTIFS('8'!$AG$25:$AG$30,$AK9,'8'!$AF$25:$AF$30,1)=0,"",SUMIFS('8'!$AC$25:$AC$30,'8'!$AG$25:$AG$30,$AK9,'8'!$AF$25:$AF$30,1)/COUNTIFS('8'!$AG$25:$AG$30,$AK9,'8'!$AF$25:$AF$30,1))</f>
        <v/>
      </c>
      <c r="BD9" s="86" t="str">
        <f>IF(COUNTIFS('9'!$AG$25:$AG$30,$AK9,'9'!$AF$25:$AF$30,1)=0,"",SUMIFS('9'!$AC$25:$AC$30,'9'!$AG$25:$AG$30,$AK9,'9'!$AF$25:$AF$30,1)/COUNTIFS('9'!$AG$25:$AG$30,$AK9,'9'!$AF$25:$AF$30,1))</f>
        <v/>
      </c>
      <c r="BE9" s="86" t="str">
        <f>IF(COUNTIFS('10'!$AG$25:$AG$30,$AK9,'10'!$AF$25:$AF$30,1)=0,"",SUMIFS('10'!$AC$25:$AC$30,'10'!$AG$25:$AG$30,$AK9,'10'!$AF$25:$AF$30,1)/COUNTIFS('10'!$AG$25:$AG$30,$AK9,'10'!$AF$25:$AF$30,1))</f>
        <v/>
      </c>
      <c r="BF9" s="86" t="str">
        <f>IF(COUNTIFS('11'!$AG$25:$AG$30,$AK9,'11'!$AF$25:$AF$30,1)=0,"",SUMIFS('11'!$AC$25:$AC$30,'11'!$AG$25:$AG$30,$AK9,'11'!$AF$25:$AF$30,1)/COUNTIFS('11'!$AG$25:$AG$30,$AK9,'11'!$AF$25:$AF$30,1))</f>
        <v/>
      </c>
      <c r="BG9" s="86" t="str">
        <f>IF(COUNTIFS('12'!$AG$25:$AG$30,$AK9,'12'!$AF$25:$AF$30,1)=0,"",SUMIFS('12'!$AC$25:$AC$30,'12'!$AG$25:$AG$30,$AK9,'12'!$AF$25:$AF$30,1)/COUNTIFS('12'!$AG$25:$AG$30,$AK9,'12'!$AF$25:$AF$30,1))</f>
        <v/>
      </c>
      <c r="BH9" s="86" t="str">
        <f>IF(COUNTIFS('13'!$AG$25:$AG$30,$AK9,'13'!$AF$25:$AF$30,1)=0,"",SUMIFS('13'!$AC$25:$AC$30,'13'!$AG$25:$AG$30,$AK9,'13'!$AF$25:$AF$30,1)/COUNTIFS('13'!$AG$25:$AG$30,$AK9,'13'!$AF$25:$AF$30,1))</f>
        <v/>
      </c>
      <c r="BI9" s="86" t="str">
        <f>IF(COUNTIFS('14'!$AG$25:$AG$30,$AK9,'14'!$AF$25:$AF$30,1)=0,"",SUMIFS('14'!$AC$25:$AC$30,'14'!$AG$25:$AG$30,$AK9,'14'!$AF$25:$AF$30,1)/COUNTIFS('14'!$AG$25:$AG$30,$AK9,'14'!$AF$25:$AF$30,1))</f>
        <v/>
      </c>
      <c r="BJ9" s="86" t="str">
        <f>IF(COUNTIFS('15'!$AG$25:$AG$30,$AK9,'15'!$AF$25:$AF$30,1)=0,"",SUMIFS('15'!$AC$25:$AC$30,'15'!$AG$25:$AG$30,$AK9,'15'!$AF$25:$AF$30,1)/COUNTIFS('15'!$AG$25:$AG$30,$AK9,'15'!$AF$25:$AF$30,1))</f>
        <v/>
      </c>
      <c r="BK9" s="86" t="str">
        <f>IF(COUNTIFS('16'!$AG$25:$AG$30,$AK9,'16'!$AF$25:$AF$30,1)=0,"",SUMIFS('16'!$AC$25:$AC$30,'16'!$AG$25:$AG$30,$AK9,'16'!$AF$25:$AF$30,1)/COUNTIFS('16'!$AG$25:$AG$30,$AK9,'16'!$AF$25:$AF$30,1))</f>
        <v/>
      </c>
      <c r="BL9" s="86" t="str">
        <f>IF(COUNTIFS('17'!$AG$25:$AG$30,$AK9,'17'!$AF$25:$AF$30,1)=0,"",SUMIFS('17'!$AC$25:$AC$30,'17'!$AG$25:$AG$30,$AK9,'17'!$AF$25:$AF$30,1)/COUNTIFS('17'!$AG$25:$AG$30,$AK9,'17'!$AF$25:$AF$30,1))</f>
        <v/>
      </c>
      <c r="BM9" s="86" t="str">
        <f>IF(COUNTIFS('18'!$AG$25:$AG$30,$AK9,'18'!$AF$25:$AF$30,1)=0,"",SUMIFS('18'!$AC$25:$AC$30,'18'!$AG$25:$AG$30,$AK9,'18'!$AF$25:$AF$30,1)/COUNTIFS('18'!$AG$25:$AG$30,$AK9,'18'!$AF$25:$AF$30,1))</f>
        <v/>
      </c>
      <c r="BN9" s="86" t="str">
        <f>IF(COUNTIFS('19'!$AG$25:$AG$30,$AK9,'19'!$AF$25:$AF$30,1)=0,"",SUMIFS('19'!$AC$25:$AC$30,'19'!$AG$25:$AG$30,$AK9,'19'!$AF$25:$AF$30,1)/COUNTIFS('19'!$AG$25:$AG$30,$AK9,'19'!$AF$25:$AF$30,1))</f>
        <v/>
      </c>
      <c r="BO9" s="86" t="str">
        <f>IF(COUNTIFS('20'!$AG$25:$AG$30,$AK9,'20'!$AF$25:$AF$30,1)=0,"",SUMIFS('20'!$AC$25:$AC$30,'20'!$AG$25:$AG$30,$AK9,'20'!$AF$25:$AF$30,1)/COUNTIFS('20'!$AG$25:$AG$30,$AK9,'20'!$AF$25:$AF$30,1))</f>
        <v/>
      </c>
      <c r="BP9" s="86" t="str">
        <f>IF(COUNTIFS('21'!$AG$25:$AG$30,$AK9,'21'!$AF$25:$AF$30,1)=0,"",SUMIFS('21'!$AC$25:$AC$30,'21'!$AG$25:$AG$30,$AK9,'21'!$AF$25:$AF$30,1)/COUNTIFS('21'!$AG$25:$AG$30,$AK9,'21'!$AF$25:$AF$30,1))</f>
        <v/>
      </c>
      <c r="BQ9" s="86" t="str">
        <f>IF(COUNTIFS('22'!$AG$25:$AG$30,$AK9,'22'!$AF$25:$AF$30,1)=0,"",SUMIFS('22'!$AC$25:$AC$30,'22'!$AG$25:$AG$30,$AK9,'22'!$AF$25:$AF$30,1)/COUNTIFS('22'!$AG$25:$AG$30,$AK9,'22'!$AF$25:$AF$30,1))</f>
        <v/>
      </c>
      <c r="BR9" s="86" t="str">
        <f>IF(COUNTIFS('23'!$AG$25:$AG$30,$AK9,'23'!$AF$25:$AF$30,1)=0,"",SUMIFS('23'!$AC$25:$AC$30,'23'!$AG$25:$AG$30,$AK9,'23'!$AF$25:$AF$30,1)/COUNTIFS('23'!$AG$25:$AG$30,$AK9,'23'!$AF$25:$AF$30,1))</f>
        <v/>
      </c>
      <c r="BS9" s="86" t="str">
        <f>IF(COUNTIFS('24'!$AG$25:$AG$30,$AK9,'24'!$AF$25:$AF$30,1)=0,"",SUMIFS('24'!$AC$25:$AC$30,'24'!$AG$25:$AG$30,$AK9,'24'!$AF$25:$AF$30,1)/COUNTIFS('24'!$AG$25:$AG$30,$AK9,'24'!$AF$25:$AF$30,1))</f>
        <v/>
      </c>
      <c r="BT9" s="86" t="str">
        <f>IF(COUNTIFS('25'!$AG$25:$AG$30,$AK9,'25'!$AF$25:$AF$30,1)=0,"",SUMIFS('25'!$AC$25:$AC$30,'25'!$AG$25:$AG$30,$AK9,'25'!$AF$25:$AF$30,1)/COUNTIFS('25'!$AG$25:$AG$30,$AK9,'25'!$AF$25:$AF$30,1))</f>
        <v/>
      </c>
      <c r="BU9" s="86" t="str">
        <f>IF(COUNTIFS('26'!$AG$25:$AG$30,$AK9,'26'!$AF$25:$AF$30,1)=0,"",SUMIFS('26'!$AC$25:$AC$30,'26'!$AG$25:$AG$30,$AK9,'26'!$AF$25:$AF$30,1)/COUNTIFS('26'!$AG$25:$AG$30,$AK9,'26'!$AF$25:$AF$30,1))</f>
        <v/>
      </c>
      <c r="BV9" s="86" t="str">
        <f>IF(COUNTIFS('27'!$AG$25:$AG$30,$AK9,'27'!$AF$25:$AF$30,1)=0,"",SUMIFS('27'!$AC$25:$AC$30,'27'!$AG$25:$AG$30,$AK9,'27'!$AF$25:$AF$30,1)/COUNTIFS('27'!$AG$25:$AG$30,$AK9,'27'!$AF$25:$AF$30,1))</f>
        <v/>
      </c>
      <c r="BW9" s="86" t="str">
        <f>IF(COUNTIFS('28'!$AG$25:$AG$30,$AK9,'28'!$AF$25:$AF$30,1)=0,"",SUMIFS('28'!$AC$25:$AC$30,'28'!$AG$25:$AG$30,$AK9,'28'!$AF$25:$AF$30,1)/COUNTIFS('28'!$AG$25:$AG$30,$AK9,'28'!$AF$25:$AF$30,1))</f>
        <v/>
      </c>
      <c r="BX9" s="86" t="str">
        <f>IF(COUNTIFS('29'!$AG$25:$AG$30,$AK9,'29'!$AF$25:$AF$30,1)=0,"",SUMIFS('29'!$AC$25:$AC$30,'29'!$AG$25:$AG$30,$AK9,'29'!$AF$25:$AF$30,1)/COUNTIFS('29'!$AG$25:$AG$30,$AK9,'29'!$AF$25:$AF$30,1))</f>
        <v/>
      </c>
      <c r="BY9" s="86" t="str">
        <f>IF(COUNTIFS('30'!$AG$25:$AG$30,$AK9,'30'!$AF$25:$AF$30,1)=0,"",SUMIFS('30'!$AC$25:$AC$30,'30'!$AG$25:$AG$30,$AK9,'30'!$AF$25:$AF$30,1)/COUNTIFS('30'!$AG$25:$AG$30,$AK9,'30'!$AF$25:$AF$30,1))</f>
        <v/>
      </c>
      <c r="BZ9" s="8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1">
        <f>IF(LARGE($Y$5:$Y$17,5)=0,"",5)</f>
        <v>5</v>
      </c>
      <c r="B10" s="141" t="str">
        <f t="shared" si="7"/>
        <v>Couple A</v>
      </c>
      <c r="C10" s="141">
        <f t="shared" si="8"/>
        <v>1</v>
      </c>
      <c r="D10" s="142">
        <f t="shared" si="9"/>
        <v>0.08333333333</v>
      </c>
      <c r="E10" s="142">
        <f t="shared" si="10"/>
        <v>0.8333333333</v>
      </c>
      <c r="X10" s="86" t="s">
        <v>27</v>
      </c>
      <c r="Y10" s="86">
        <f>COUNTIF('1'!$D$4:$D$20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6">
        <f t="shared" si="1"/>
        <v>2.00008</v>
      </c>
      <c r="AA10" s="86" t="s">
        <v>106</v>
      </c>
      <c r="AB10" s="86" t="s">
        <v>117</v>
      </c>
      <c r="AC10" s="86">
        <f>COUNTIF('1'!$O$22:$O$25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6">
        <f t="shared" si="2"/>
        <v>0.00006</v>
      </c>
      <c r="AH10" s="86" t="s">
        <v>120</v>
      </c>
      <c r="AI10" s="86">
        <f>COUNTIF('1'!$M$4:$M$20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6">
        <f t="shared" si="4"/>
        <v>0.00001</v>
      </c>
      <c r="AK10" s="86" t="s">
        <v>106</v>
      </c>
      <c r="AL10" s="86" t="s">
        <v>117</v>
      </c>
      <c r="AM10" s="86">
        <f>COUNTIFS('1'!$AG$29:$AG$34,AK10,'1'!$AF$29:$AF$34,1)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6" t="str">
        <f t="shared" si="5"/>
        <v/>
      </c>
      <c r="AO10" s="86" t="str">
        <f>IF(AM10=0,"",(SUMIFS('1'!$L$29:$L$34,'1'!$AG$29:$AG$34,AK10,'1'!$AF$29:$AF$34,1)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6" t="str">
        <f>IF(AM10=0,"",(SUMIFS('1'!$M$29:$M$34,'1'!$AG$29:$AG$34,AK10,'1'!$AF$29:$AF$34,1)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6" t="str">
        <f>IF(AM10=0,"",(SUMIFS('1'!$N$29:$N$34,'1'!$AG$29:$AG$34,AK10,'1'!$AF$29:$AF$34,1)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6" t="str">
        <f>IF(AM10=0,"",(SUMIFS('1'!$O$29:$O$34,'1'!$AG$29:$AG$34,AK10,'1'!$AF$29:$AF$34,1)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6" t="str">
        <f>IF(AM10=0,"",(SUMIFS('1'!$P$29:$P$34,'1'!$AG$29:$AG$34,AK10,'1'!$AF$29:$AF$34,1)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6" t="str">
        <f>IF(COUNTIFS('1'!$AG$29:$AG$34,$AK10,'1'!$AF$29:$AF$34,1)=0,"",SUMIFS('1'!$AC$29:$AC$34,'1'!$AG$29:$AG$34,$AK10,'1'!$AF$29:$AF$34,1)/COUNTIFS('1'!$AG$29:$AG$34,$AK10,'1'!$AF$29:$AF$34,1))</f>
        <v/>
      </c>
      <c r="AW10" s="86" t="str">
        <f>IF(COUNTIFS('2'!$AG$25:$AG$30,$AK10,'2'!$AF$25:$AF$30,1)=0,"",SUMIFS('2'!$AC$25:$AC$30,'2'!$AG$25:$AG$30,$AK10,'2'!$AF$25:$AF$30,1)/COUNTIFS('2'!$AG$25:$AG$30,$AK10,'2'!$AF$25:$AF$30,1))</f>
        <v/>
      </c>
      <c r="AX10" s="86" t="str">
        <f>IF(COUNTIFS('3'!$AG$24:$AG$29,$AK10,'3'!$AF$24:$AF$29,1)=0,"",SUMIFS('3'!$AC$24:$AC$29,'3'!$AG$24:$AG$29,$AK10,'3'!$AF$24:$AF$29,1)/COUNTIFS('3'!$AG$24:$AG$29,$AK10,'3'!$AF$24:$AF$29,1))</f>
        <v/>
      </c>
      <c r="AY10" s="86" t="str">
        <f>IF(COUNTIFS('4'!$AG$25:$AG$30,$AK10,'4'!$AF$25:$AF$30,1)=0,"",SUMIFS('4'!$AC$25:$AC$30,'4'!$AG$25:$AG$30,$AK10,'4'!$AF$25:$AF$30,1)/COUNTIFS('4'!$AG$25:$AG$30,$AK10,'4'!$AF$25:$AF$30,1))</f>
        <v/>
      </c>
      <c r="AZ10" s="86" t="str">
        <f>IF(COUNTIFS('5'!$AG$25:$AG$30,$AK10,'5'!$AF$25:$AF$30,1)=0,"",SUMIFS('5'!$AC$25:$AC$30,'5'!$AG$25:$AG$30,$AK10,'5'!$AF$25:$AF$30,1)/COUNTIFS('5'!$AG$25:$AG$30,$AK10,'5'!$AF$25:$AF$30,1))</f>
        <v/>
      </c>
      <c r="BA10" s="86" t="str">
        <f>IF(COUNTIFS('6'!$AG$25:$AG$30,$AK10,'6'!$AF$25:$AF$30,1)=0,"",SUMIFS('6'!$AC$25:$AC$30,'6'!$AG$25:$AG$30,$AK10,'6'!$AF$25:$AF$30,1)/COUNTIFS('6'!$AG$25:$AG$30,$AK10,'6'!$AF$25:$AF$30,1))</f>
        <v/>
      </c>
      <c r="BB10" s="86" t="str">
        <f>IF(COUNTIFS('7'!$AG$30:$AG$35,$AK10,'7'!$AF$30:$AF$35,1)=0,"",SUMIFS('7'!$AC$30:$AC$35,'7'!$AG$30:$AG$35,$AK10,'7'!$AF$30:$AF$35,1)/COUNTIFS('7'!$AG$30:$AG$35,$AK10,'7'!$AF$30:$AF$35,1))</f>
        <v/>
      </c>
      <c r="BC10" s="86" t="str">
        <f>IF(COUNTIFS('8'!$AG$25:$AG$30,$AK10,'8'!$AF$25:$AF$30,1)=0,"",SUMIFS('8'!$AC$25:$AC$30,'8'!$AG$25:$AG$30,$AK10,'8'!$AF$25:$AF$30,1)/COUNTIFS('8'!$AG$25:$AG$30,$AK10,'8'!$AF$25:$AF$30,1))</f>
        <v/>
      </c>
      <c r="BD10" s="86" t="str">
        <f>IF(COUNTIFS('9'!$AG$25:$AG$30,$AK10,'9'!$AF$25:$AF$30,1)=0,"",SUMIFS('9'!$AC$25:$AC$30,'9'!$AG$25:$AG$30,$AK10,'9'!$AF$25:$AF$30,1)/COUNTIFS('9'!$AG$25:$AG$30,$AK10,'9'!$AF$25:$AF$30,1))</f>
        <v/>
      </c>
      <c r="BE10" s="86" t="str">
        <f>IF(COUNTIFS('10'!$AG$25:$AG$30,$AK10,'10'!$AF$25:$AF$30,1)=0,"",SUMIFS('10'!$AC$25:$AC$30,'10'!$AG$25:$AG$30,$AK10,'10'!$AF$25:$AF$30,1)/COUNTIFS('10'!$AG$25:$AG$30,$AK10,'10'!$AF$25:$AF$30,1))</f>
        <v/>
      </c>
      <c r="BF10" s="86" t="str">
        <f>IF(COUNTIFS('11'!$AG$25:$AG$30,$AK10,'11'!$AF$25:$AF$30,1)=0,"",SUMIFS('11'!$AC$25:$AC$30,'11'!$AG$25:$AG$30,$AK10,'11'!$AF$25:$AF$30,1)/COUNTIFS('11'!$AG$25:$AG$30,$AK10,'11'!$AF$25:$AF$30,1))</f>
        <v/>
      </c>
      <c r="BG10" s="86" t="str">
        <f>IF(COUNTIFS('12'!$AG$25:$AG$30,$AK10,'12'!$AF$25:$AF$30,1)=0,"",SUMIFS('12'!$AC$25:$AC$30,'12'!$AG$25:$AG$30,$AK10,'12'!$AF$25:$AF$30,1)/COUNTIFS('12'!$AG$25:$AG$30,$AK10,'12'!$AF$25:$AF$30,1))</f>
        <v/>
      </c>
      <c r="BH10" s="86" t="str">
        <f>IF(COUNTIFS('13'!$AG$25:$AG$30,$AK10,'13'!$AF$25:$AF$30,1)=0,"",SUMIFS('13'!$AC$25:$AC$30,'13'!$AG$25:$AG$30,$AK10,'13'!$AF$25:$AF$30,1)/COUNTIFS('13'!$AG$25:$AG$30,$AK10,'13'!$AF$25:$AF$30,1))</f>
        <v/>
      </c>
      <c r="BI10" s="86" t="str">
        <f>IF(COUNTIFS('14'!$AG$25:$AG$30,$AK10,'14'!$AF$25:$AF$30,1)=0,"",SUMIFS('14'!$AC$25:$AC$30,'14'!$AG$25:$AG$30,$AK10,'14'!$AF$25:$AF$30,1)/COUNTIFS('14'!$AG$25:$AG$30,$AK10,'14'!$AF$25:$AF$30,1))</f>
        <v/>
      </c>
      <c r="BJ10" s="86" t="str">
        <f>IF(COUNTIFS('15'!$AG$25:$AG$30,$AK10,'15'!$AF$25:$AF$30,1)=0,"",SUMIFS('15'!$AC$25:$AC$30,'15'!$AG$25:$AG$30,$AK10,'15'!$AF$25:$AF$30,1)/COUNTIFS('15'!$AG$25:$AG$30,$AK10,'15'!$AF$25:$AF$30,1))</f>
        <v/>
      </c>
      <c r="BK10" s="86" t="str">
        <f>IF(COUNTIFS('16'!$AG$25:$AG$30,$AK10,'16'!$AF$25:$AF$30,1)=0,"",SUMIFS('16'!$AC$25:$AC$30,'16'!$AG$25:$AG$30,$AK10,'16'!$AF$25:$AF$30,1)/COUNTIFS('16'!$AG$25:$AG$30,$AK10,'16'!$AF$25:$AF$30,1))</f>
        <v/>
      </c>
      <c r="BL10" s="86" t="str">
        <f>IF(COUNTIFS('17'!$AG$25:$AG$30,$AK10,'17'!$AF$25:$AF$30,1)=0,"",SUMIFS('17'!$AC$25:$AC$30,'17'!$AG$25:$AG$30,$AK10,'17'!$AF$25:$AF$30,1)/COUNTIFS('17'!$AG$25:$AG$30,$AK10,'17'!$AF$25:$AF$30,1))</f>
        <v/>
      </c>
      <c r="BM10" s="86" t="str">
        <f>IF(COUNTIFS('18'!$AG$25:$AG$30,$AK10,'18'!$AF$25:$AF$30,1)=0,"",SUMIFS('18'!$AC$25:$AC$30,'18'!$AG$25:$AG$30,$AK10,'18'!$AF$25:$AF$30,1)/COUNTIFS('18'!$AG$25:$AG$30,$AK10,'18'!$AF$25:$AF$30,1))</f>
        <v/>
      </c>
      <c r="BN10" s="86" t="str">
        <f>IF(COUNTIFS('19'!$AG$25:$AG$30,$AK10,'19'!$AF$25:$AF$30,1)=0,"",SUMIFS('19'!$AC$25:$AC$30,'19'!$AG$25:$AG$30,$AK10,'19'!$AF$25:$AF$30,1)/COUNTIFS('19'!$AG$25:$AG$30,$AK10,'19'!$AF$25:$AF$30,1))</f>
        <v/>
      </c>
      <c r="BO10" s="86" t="str">
        <f>IF(COUNTIFS('20'!$AG$25:$AG$30,$AK10,'20'!$AF$25:$AF$30,1)=0,"",SUMIFS('20'!$AC$25:$AC$30,'20'!$AG$25:$AG$30,$AK10,'20'!$AF$25:$AF$30,1)/COUNTIFS('20'!$AG$25:$AG$30,$AK10,'20'!$AF$25:$AF$30,1))</f>
        <v/>
      </c>
      <c r="BP10" s="86" t="str">
        <f>IF(COUNTIFS('21'!$AG$25:$AG$30,$AK10,'21'!$AF$25:$AF$30,1)=0,"",SUMIFS('21'!$AC$25:$AC$30,'21'!$AG$25:$AG$30,$AK10,'21'!$AF$25:$AF$30,1)/COUNTIFS('21'!$AG$25:$AG$30,$AK10,'21'!$AF$25:$AF$30,1))</f>
        <v/>
      </c>
      <c r="BQ10" s="86" t="str">
        <f>IF(COUNTIFS('22'!$AG$25:$AG$30,$AK10,'22'!$AF$25:$AF$30,1)=0,"",SUMIFS('22'!$AC$25:$AC$30,'22'!$AG$25:$AG$30,$AK10,'22'!$AF$25:$AF$30,1)/COUNTIFS('22'!$AG$25:$AG$30,$AK10,'22'!$AF$25:$AF$30,1))</f>
        <v/>
      </c>
      <c r="BR10" s="86" t="str">
        <f>IF(COUNTIFS('23'!$AG$25:$AG$30,$AK10,'23'!$AF$25:$AF$30,1)=0,"",SUMIFS('23'!$AC$25:$AC$30,'23'!$AG$25:$AG$30,$AK10,'23'!$AF$25:$AF$30,1)/COUNTIFS('23'!$AG$25:$AG$30,$AK10,'23'!$AF$25:$AF$30,1))</f>
        <v/>
      </c>
      <c r="BS10" s="86" t="str">
        <f>IF(COUNTIFS('24'!$AG$25:$AG$30,$AK10,'24'!$AF$25:$AF$30,1)=0,"",SUMIFS('24'!$AC$25:$AC$30,'24'!$AG$25:$AG$30,$AK10,'24'!$AF$25:$AF$30,1)/COUNTIFS('24'!$AG$25:$AG$30,$AK10,'24'!$AF$25:$AF$30,1))</f>
        <v/>
      </c>
      <c r="BT10" s="86" t="str">
        <f>IF(COUNTIFS('25'!$AG$25:$AG$30,$AK10,'25'!$AF$25:$AF$30,1)=0,"",SUMIFS('25'!$AC$25:$AC$30,'25'!$AG$25:$AG$30,$AK10,'25'!$AF$25:$AF$30,1)/COUNTIFS('25'!$AG$25:$AG$30,$AK10,'25'!$AF$25:$AF$30,1))</f>
        <v/>
      </c>
      <c r="BU10" s="86" t="str">
        <f>IF(COUNTIFS('26'!$AG$25:$AG$30,$AK10,'26'!$AF$25:$AF$30,1)=0,"",SUMIFS('26'!$AC$25:$AC$30,'26'!$AG$25:$AG$30,$AK10,'26'!$AF$25:$AF$30,1)/COUNTIFS('26'!$AG$25:$AG$30,$AK10,'26'!$AF$25:$AF$30,1))</f>
        <v/>
      </c>
      <c r="BV10" s="86" t="str">
        <f>IF(COUNTIFS('27'!$AG$25:$AG$30,$AK10,'27'!$AF$25:$AF$30,1)=0,"",SUMIFS('27'!$AC$25:$AC$30,'27'!$AG$25:$AG$30,$AK10,'27'!$AF$25:$AF$30,1)/COUNTIFS('27'!$AG$25:$AG$30,$AK10,'27'!$AF$25:$AF$30,1))</f>
        <v/>
      </c>
      <c r="BW10" s="86" t="str">
        <f>IF(COUNTIFS('28'!$AG$25:$AG$30,$AK10,'28'!$AF$25:$AF$30,1)=0,"",SUMIFS('28'!$AC$25:$AC$30,'28'!$AG$25:$AG$30,$AK10,'28'!$AF$25:$AF$30,1)/COUNTIFS('28'!$AG$25:$AG$30,$AK10,'28'!$AF$25:$AF$30,1))</f>
        <v/>
      </c>
      <c r="BX10" s="86" t="str">
        <f>IF(COUNTIFS('29'!$AG$25:$AG$30,$AK10,'29'!$AF$25:$AF$30,1)=0,"",SUMIFS('29'!$AC$25:$AC$30,'29'!$AG$25:$AG$30,$AK10,'29'!$AF$25:$AF$30,1)/COUNTIFS('29'!$AG$25:$AG$30,$AK10,'29'!$AF$25:$AF$30,1))</f>
        <v/>
      </c>
      <c r="BY10" s="86" t="str">
        <f>IF(COUNTIFS('30'!$AG$25:$AG$30,$AK10,'30'!$AF$25:$AF$30,1)=0,"",SUMIFS('30'!$AC$25:$AC$30,'30'!$AG$25:$AG$30,$AK10,'30'!$AF$25:$AF$30,1)/COUNTIFS('30'!$AG$25:$AG$30,$AK10,'30'!$AF$25:$AF$30,1))</f>
        <v/>
      </c>
      <c r="BZ10" s="8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1">
        <f>IF(LARGE($Y$5:$Y$17,6)=0,"",6)</f>
        <v>6</v>
      </c>
      <c r="B11" s="141" t="str">
        <f t="shared" si="7"/>
        <v>Graduation Premium</v>
      </c>
      <c r="C11" s="141">
        <f t="shared" si="8"/>
        <v>1</v>
      </c>
      <c r="D11" s="142">
        <f t="shared" si="9"/>
        <v>0.08333333333</v>
      </c>
      <c r="E11" s="142">
        <f t="shared" si="10"/>
        <v>0.9166666667</v>
      </c>
      <c r="X11" s="86" t="s">
        <v>124</v>
      </c>
      <c r="Y11" s="86">
        <f>COUNTIF('1'!$D$4:$D$20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6">
        <f t="shared" si="1"/>
        <v>0.00007</v>
      </c>
      <c r="AA11" s="86" t="s">
        <v>109</v>
      </c>
      <c r="AB11" s="86" t="s">
        <v>117</v>
      </c>
      <c r="AC11" s="86">
        <f>COUNTIF('1'!$O$22:$O$25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6">
        <f t="shared" si="2"/>
        <v>0.00005</v>
      </c>
      <c r="AK11" s="86" t="s">
        <v>109</v>
      </c>
      <c r="AL11" s="86" t="s">
        <v>117</v>
      </c>
      <c r="AM11" s="86">
        <f>COUNTIFS('1'!$AG$29:$AG$34,AK11,'1'!$AF$29:$AF$34,1)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6" t="str">
        <f t="shared" si="5"/>
        <v/>
      </c>
      <c r="AO11" s="86" t="str">
        <f>IF(AM11=0,"",(SUMIFS('1'!$L$29:$L$34,'1'!$AG$29:$AG$34,AK11,'1'!$AF$29:$AF$34,1)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6" t="str">
        <f>IF(AM11=0,"",(SUMIFS('1'!$M$29:$M$34,'1'!$AG$29:$AG$34,AK11,'1'!$AF$29:$AF$34,1)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6" t="str">
        <f>IF(AM11=0,"",(SUMIFS('1'!$N$29:$N$34,'1'!$AG$29:$AG$34,AK11,'1'!$AF$29:$AF$34,1)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6" t="str">
        <f>IF(AM11=0,"",(SUMIFS('1'!$O$29:$O$34,'1'!$AG$29:$AG$34,AK11,'1'!$AF$29:$AF$34,1)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6" t="str">
        <f>IF(AM11=0,"",(SUMIFS('1'!$P$29:$P$34,'1'!$AG$29:$AG$34,AK11,'1'!$AF$29:$AF$34,1)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6" t="str">
        <f>IF(COUNTIFS('1'!$AG$29:$AG$34,$AK11,'1'!$AF$29:$AF$34,1)=0,"",SUMIFS('1'!$AC$29:$AC$34,'1'!$AG$29:$AG$34,$AK11,'1'!$AF$29:$AF$34,1)/COUNTIFS('1'!$AG$29:$AG$34,$AK11,'1'!$AF$29:$AF$34,1))</f>
        <v/>
      </c>
      <c r="AW11" s="86" t="str">
        <f>IF(COUNTIFS('2'!$AG$25:$AG$30,$AK11,'2'!$AF$25:$AF$30,1)=0,"",SUMIFS('2'!$AC$25:$AC$30,'2'!$AG$25:$AG$30,$AK11,'2'!$AF$25:$AF$30,1)/COUNTIFS('2'!$AG$25:$AG$30,$AK11,'2'!$AF$25:$AF$30,1))</f>
        <v/>
      </c>
      <c r="AX11" s="86" t="str">
        <f>IF(COUNTIFS('3'!$AG$24:$AG$29,$AK11,'3'!$AF$24:$AF$29,1)=0,"",SUMIFS('3'!$AC$24:$AC$29,'3'!$AG$24:$AG$29,$AK11,'3'!$AF$24:$AF$29,1)/COUNTIFS('3'!$AG$24:$AG$29,$AK11,'3'!$AF$24:$AF$29,1))</f>
        <v/>
      </c>
      <c r="AY11" s="86" t="str">
        <f>IF(COUNTIFS('4'!$AG$25:$AG$30,$AK11,'4'!$AF$25:$AF$30,1)=0,"",SUMIFS('4'!$AC$25:$AC$30,'4'!$AG$25:$AG$30,$AK11,'4'!$AF$25:$AF$30,1)/COUNTIFS('4'!$AG$25:$AG$30,$AK11,'4'!$AF$25:$AF$30,1))</f>
        <v/>
      </c>
      <c r="AZ11" s="86" t="str">
        <f>IF(COUNTIFS('5'!$AG$25:$AG$30,$AK11,'5'!$AF$25:$AF$30,1)=0,"",SUMIFS('5'!$AC$25:$AC$30,'5'!$AG$25:$AG$30,$AK11,'5'!$AF$25:$AF$30,1)/COUNTIFS('5'!$AG$25:$AG$30,$AK11,'5'!$AF$25:$AF$30,1))</f>
        <v/>
      </c>
      <c r="BA11" s="86" t="str">
        <f>IF(COUNTIFS('6'!$AG$25:$AG$30,$AK11,'6'!$AF$25:$AF$30,1)=0,"",SUMIFS('6'!$AC$25:$AC$30,'6'!$AG$25:$AG$30,$AK11,'6'!$AF$25:$AF$30,1)/COUNTIFS('6'!$AG$25:$AG$30,$AK11,'6'!$AF$25:$AF$30,1))</f>
        <v/>
      </c>
      <c r="BB11" s="86" t="str">
        <f>IF(COUNTIFS('7'!$AG$30:$AG$35,$AK11,'7'!$AF$30:$AF$35,1)=0,"",SUMIFS('7'!$AC$30:$AC$35,'7'!$AG$30:$AG$35,$AK11,'7'!$AF$30:$AF$35,1)/COUNTIFS('7'!$AG$30:$AG$35,$AK11,'7'!$AF$30:$AF$35,1))</f>
        <v/>
      </c>
      <c r="BC11" s="86" t="str">
        <f>IF(COUNTIFS('8'!$AG$25:$AG$30,$AK11,'8'!$AF$25:$AF$30,1)=0,"",SUMIFS('8'!$AC$25:$AC$30,'8'!$AG$25:$AG$30,$AK11,'8'!$AF$25:$AF$30,1)/COUNTIFS('8'!$AG$25:$AG$30,$AK11,'8'!$AF$25:$AF$30,1))</f>
        <v/>
      </c>
      <c r="BD11" s="86" t="str">
        <f>IF(COUNTIFS('9'!$AG$25:$AG$30,$AK11,'9'!$AF$25:$AF$30,1)=0,"",SUMIFS('9'!$AC$25:$AC$30,'9'!$AG$25:$AG$30,$AK11,'9'!$AF$25:$AF$30,1)/COUNTIFS('9'!$AG$25:$AG$30,$AK11,'9'!$AF$25:$AF$30,1))</f>
        <v/>
      </c>
      <c r="BE11" s="86" t="str">
        <f>IF(COUNTIFS('10'!$AG$25:$AG$30,$AK11,'10'!$AF$25:$AF$30,1)=0,"",SUMIFS('10'!$AC$25:$AC$30,'10'!$AG$25:$AG$30,$AK11,'10'!$AF$25:$AF$30,1)/COUNTIFS('10'!$AG$25:$AG$30,$AK11,'10'!$AF$25:$AF$30,1))</f>
        <v/>
      </c>
      <c r="BF11" s="86" t="str">
        <f>IF(COUNTIFS('11'!$AG$25:$AG$30,$AK11,'11'!$AF$25:$AF$30,1)=0,"",SUMIFS('11'!$AC$25:$AC$30,'11'!$AG$25:$AG$30,$AK11,'11'!$AF$25:$AF$30,1)/COUNTIFS('11'!$AG$25:$AG$30,$AK11,'11'!$AF$25:$AF$30,1))</f>
        <v/>
      </c>
      <c r="BG11" s="86" t="str">
        <f>IF(COUNTIFS('12'!$AG$25:$AG$30,$AK11,'12'!$AF$25:$AF$30,1)=0,"",SUMIFS('12'!$AC$25:$AC$30,'12'!$AG$25:$AG$30,$AK11,'12'!$AF$25:$AF$30,1)/COUNTIFS('12'!$AG$25:$AG$30,$AK11,'12'!$AF$25:$AF$30,1))</f>
        <v/>
      </c>
      <c r="BH11" s="86" t="str">
        <f>IF(COUNTIFS('13'!$AG$25:$AG$30,$AK11,'13'!$AF$25:$AF$30,1)=0,"",SUMIFS('13'!$AC$25:$AC$30,'13'!$AG$25:$AG$30,$AK11,'13'!$AF$25:$AF$30,1)/COUNTIFS('13'!$AG$25:$AG$30,$AK11,'13'!$AF$25:$AF$30,1))</f>
        <v/>
      </c>
      <c r="BI11" s="86" t="str">
        <f>IF(COUNTIFS('14'!$AG$25:$AG$30,$AK11,'14'!$AF$25:$AF$30,1)=0,"",SUMIFS('14'!$AC$25:$AC$30,'14'!$AG$25:$AG$30,$AK11,'14'!$AF$25:$AF$30,1)/COUNTIFS('14'!$AG$25:$AG$30,$AK11,'14'!$AF$25:$AF$30,1))</f>
        <v/>
      </c>
      <c r="BJ11" s="86" t="str">
        <f>IF(COUNTIFS('15'!$AG$25:$AG$30,$AK11,'15'!$AF$25:$AF$30,1)=0,"",SUMIFS('15'!$AC$25:$AC$30,'15'!$AG$25:$AG$30,$AK11,'15'!$AF$25:$AF$30,1)/COUNTIFS('15'!$AG$25:$AG$30,$AK11,'15'!$AF$25:$AF$30,1))</f>
        <v/>
      </c>
      <c r="BK11" s="86" t="str">
        <f>IF(COUNTIFS('16'!$AG$25:$AG$30,$AK11,'16'!$AF$25:$AF$30,1)=0,"",SUMIFS('16'!$AC$25:$AC$30,'16'!$AG$25:$AG$30,$AK11,'16'!$AF$25:$AF$30,1)/COUNTIFS('16'!$AG$25:$AG$30,$AK11,'16'!$AF$25:$AF$30,1))</f>
        <v/>
      </c>
      <c r="BL11" s="86" t="str">
        <f>IF(COUNTIFS('17'!$AG$25:$AG$30,$AK11,'17'!$AF$25:$AF$30,1)=0,"",SUMIFS('17'!$AC$25:$AC$30,'17'!$AG$25:$AG$30,$AK11,'17'!$AF$25:$AF$30,1)/COUNTIFS('17'!$AG$25:$AG$30,$AK11,'17'!$AF$25:$AF$30,1))</f>
        <v/>
      </c>
      <c r="BM11" s="86" t="str">
        <f>IF(COUNTIFS('18'!$AG$25:$AG$30,$AK11,'18'!$AF$25:$AF$30,1)=0,"",SUMIFS('18'!$AC$25:$AC$30,'18'!$AG$25:$AG$30,$AK11,'18'!$AF$25:$AF$30,1)/COUNTIFS('18'!$AG$25:$AG$30,$AK11,'18'!$AF$25:$AF$30,1))</f>
        <v/>
      </c>
      <c r="BN11" s="86" t="str">
        <f>IF(COUNTIFS('19'!$AG$25:$AG$30,$AK11,'19'!$AF$25:$AF$30,1)=0,"",SUMIFS('19'!$AC$25:$AC$30,'19'!$AG$25:$AG$30,$AK11,'19'!$AF$25:$AF$30,1)/COUNTIFS('19'!$AG$25:$AG$30,$AK11,'19'!$AF$25:$AF$30,1))</f>
        <v/>
      </c>
      <c r="BO11" s="86" t="str">
        <f>IF(COUNTIFS('20'!$AG$25:$AG$30,$AK11,'20'!$AF$25:$AF$30,1)=0,"",SUMIFS('20'!$AC$25:$AC$30,'20'!$AG$25:$AG$30,$AK11,'20'!$AF$25:$AF$30,1)/COUNTIFS('20'!$AG$25:$AG$30,$AK11,'20'!$AF$25:$AF$30,1))</f>
        <v/>
      </c>
      <c r="BP11" s="86" t="str">
        <f>IF(COUNTIFS('21'!$AG$25:$AG$30,$AK11,'21'!$AF$25:$AF$30,1)=0,"",SUMIFS('21'!$AC$25:$AC$30,'21'!$AG$25:$AG$30,$AK11,'21'!$AF$25:$AF$30,1)/COUNTIFS('21'!$AG$25:$AG$30,$AK11,'21'!$AF$25:$AF$30,1))</f>
        <v/>
      </c>
      <c r="BQ11" s="86" t="str">
        <f>IF(COUNTIFS('22'!$AG$25:$AG$30,$AK11,'22'!$AF$25:$AF$30,1)=0,"",SUMIFS('22'!$AC$25:$AC$30,'22'!$AG$25:$AG$30,$AK11,'22'!$AF$25:$AF$30,1)/COUNTIFS('22'!$AG$25:$AG$30,$AK11,'22'!$AF$25:$AF$30,1))</f>
        <v/>
      </c>
      <c r="BR11" s="86" t="str">
        <f>IF(COUNTIFS('23'!$AG$25:$AG$30,$AK11,'23'!$AF$25:$AF$30,1)=0,"",SUMIFS('23'!$AC$25:$AC$30,'23'!$AG$25:$AG$30,$AK11,'23'!$AF$25:$AF$30,1)/COUNTIFS('23'!$AG$25:$AG$30,$AK11,'23'!$AF$25:$AF$30,1))</f>
        <v/>
      </c>
      <c r="BS11" s="86" t="str">
        <f>IF(COUNTIFS('24'!$AG$25:$AG$30,$AK11,'24'!$AF$25:$AF$30,1)=0,"",SUMIFS('24'!$AC$25:$AC$30,'24'!$AG$25:$AG$30,$AK11,'24'!$AF$25:$AF$30,1)/COUNTIFS('24'!$AG$25:$AG$30,$AK11,'24'!$AF$25:$AF$30,1))</f>
        <v/>
      </c>
      <c r="BT11" s="86" t="str">
        <f>IF(COUNTIFS('25'!$AG$25:$AG$30,$AK11,'25'!$AF$25:$AF$30,1)=0,"",SUMIFS('25'!$AC$25:$AC$30,'25'!$AG$25:$AG$30,$AK11,'25'!$AF$25:$AF$30,1)/COUNTIFS('25'!$AG$25:$AG$30,$AK11,'25'!$AF$25:$AF$30,1))</f>
        <v/>
      </c>
      <c r="BU11" s="86" t="str">
        <f>IF(COUNTIFS('26'!$AG$25:$AG$30,$AK11,'26'!$AF$25:$AF$30,1)=0,"",SUMIFS('26'!$AC$25:$AC$30,'26'!$AG$25:$AG$30,$AK11,'26'!$AF$25:$AF$30,1)/COUNTIFS('26'!$AG$25:$AG$30,$AK11,'26'!$AF$25:$AF$30,1))</f>
        <v/>
      </c>
      <c r="BV11" s="86" t="str">
        <f>IF(COUNTIFS('27'!$AG$25:$AG$30,$AK11,'27'!$AF$25:$AF$30,1)=0,"",SUMIFS('27'!$AC$25:$AC$30,'27'!$AG$25:$AG$30,$AK11,'27'!$AF$25:$AF$30,1)/COUNTIFS('27'!$AG$25:$AG$30,$AK11,'27'!$AF$25:$AF$30,1))</f>
        <v/>
      </c>
      <c r="BW11" s="86" t="str">
        <f>IF(COUNTIFS('28'!$AG$25:$AG$30,$AK11,'28'!$AF$25:$AF$30,1)=0,"",SUMIFS('28'!$AC$25:$AC$30,'28'!$AG$25:$AG$30,$AK11,'28'!$AF$25:$AF$30,1)/COUNTIFS('28'!$AG$25:$AG$30,$AK11,'28'!$AF$25:$AF$30,1))</f>
        <v/>
      </c>
      <c r="BX11" s="86" t="str">
        <f>IF(COUNTIFS('29'!$AG$25:$AG$30,$AK11,'29'!$AF$25:$AF$30,1)=0,"",SUMIFS('29'!$AC$25:$AC$30,'29'!$AG$25:$AG$30,$AK11,'29'!$AF$25:$AF$30,1)/COUNTIFS('29'!$AG$25:$AG$30,$AK11,'29'!$AF$25:$AF$30,1))</f>
        <v/>
      </c>
      <c r="BY11" s="86" t="str">
        <f>IF(COUNTIFS('30'!$AG$25:$AG$30,$AK11,'30'!$AF$25:$AF$30,1)=0,"",SUMIFS('30'!$AC$25:$AC$30,'30'!$AG$25:$AG$30,$AK11,'30'!$AF$25:$AF$30,1)/COUNTIFS('30'!$AG$25:$AG$30,$AK11,'30'!$AF$25:$AF$30,1))</f>
        <v/>
      </c>
      <c r="BZ11" s="8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1">
        <f>IF(LARGE($Y$5:$Y$17,7)=0,"",7)</f>
        <v>7</v>
      </c>
      <c r="B12" s="141" t="str">
        <f t="shared" si="7"/>
        <v>Studio Rent</v>
      </c>
      <c r="C12" s="141">
        <f t="shared" si="8"/>
        <v>1</v>
      </c>
      <c r="D12" s="142">
        <f t="shared" si="9"/>
        <v>0.08333333333</v>
      </c>
      <c r="E12" s="142">
        <f t="shared" si="10"/>
        <v>1</v>
      </c>
      <c r="X12" s="86" t="s">
        <v>125</v>
      </c>
      <c r="Y12" s="86">
        <f>COUNTIF('1'!$D$4:$D$20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6">
        <f t="shared" si="1"/>
        <v>0.00006</v>
      </c>
      <c r="AA12" s="86" t="s">
        <v>32</v>
      </c>
      <c r="AB12" s="86" t="s">
        <v>117</v>
      </c>
      <c r="AC12" s="86">
        <f>COUNTIF('1'!$O$22:$O$25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</v>
      </c>
      <c r="AD12" s="86">
        <f t="shared" si="2"/>
        <v>2.00004</v>
      </c>
      <c r="AK12" s="86" t="s">
        <v>32</v>
      </c>
      <c r="AL12" s="86" t="s">
        <v>117</v>
      </c>
      <c r="AM12" s="86">
        <f>COUNTIFS('1'!$AG$29:$AG$34,AK12,'1'!$AF$29:$AF$34,1)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86" t="str">
        <f t="shared" si="5"/>
        <v/>
      </c>
      <c r="AO12" s="86" t="str">
        <f>IF(AM12=0,"",(SUMIFS('1'!$L$29:$L$34,'1'!$AG$29:$AG$34,AK12,'1'!$AF$29:$AF$34,1)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86" t="str">
        <f>IF(AM12=0,"",(SUMIFS('1'!$M$29:$M$34,'1'!$AG$29:$AG$34,AK12,'1'!$AF$29:$AF$34,1)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86" t="str">
        <f>IF(AM12=0,"",(SUMIFS('1'!$N$29:$N$34,'1'!$AG$29:$AG$34,AK12,'1'!$AF$29:$AF$34,1)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86" t="str">
        <f>IF(AM12=0,"",(SUMIFS('1'!$O$29:$O$34,'1'!$AG$29:$AG$34,AK12,'1'!$AF$29:$AF$34,1)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86" t="str">
        <f>IF(AM12=0,"",(SUMIFS('1'!$P$29:$P$34,'1'!$AG$29:$AG$34,AK12,'1'!$AF$29:$AF$34,1)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86" t="str">
        <f>IF(COUNTIFS('1'!$AG$29:$AG$34,$AK12,'1'!$AF$29:$AF$34,1)=0,"",SUMIFS('1'!$AC$29:$AC$34,'1'!$AG$29:$AG$34,$AK12,'1'!$AF$29:$AF$34,1)/COUNTIFS('1'!$AG$29:$AG$34,$AK12,'1'!$AF$29:$AF$34,1))</f>
        <v/>
      </c>
      <c r="AW12" s="86" t="str">
        <f>IF(COUNTIFS('2'!$AG$25:$AG$30,$AK12,'2'!$AF$25:$AF$30,1)=0,"",SUMIFS('2'!$AC$25:$AC$30,'2'!$AG$25:$AG$30,$AK12,'2'!$AF$25:$AF$30,1)/COUNTIFS('2'!$AG$25:$AG$30,$AK12,'2'!$AF$25:$AF$30,1))</f>
        <v/>
      </c>
      <c r="AX12" s="86" t="str">
        <f>IF(COUNTIFS('3'!$AG$24:$AG$29,$AK12,'3'!$AF$24:$AF$29,1)=0,"",SUMIFS('3'!$AC$24:$AC$29,'3'!$AG$24:$AG$29,$AK12,'3'!$AF$24:$AF$29,1)/COUNTIFS('3'!$AG$24:$AG$29,$AK12,'3'!$AF$24:$AF$29,1))</f>
        <v/>
      </c>
      <c r="AY12" s="86" t="str">
        <f>IF(COUNTIFS('4'!$AG$25:$AG$30,$AK12,'4'!$AF$25:$AF$30,1)=0,"",SUMIFS('4'!$AC$25:$AC$30,'4'!$AG$25:$AG$30,$AK12,'4'!$AF$25:$AF$30,1)/COUNTIFS('4'!$AG$25:$AG$30,$AK12,'4'!$AF$25:$AF$30,1))</f>
        <v/>
      </c>
      <c r="AZ12" s="86" t="str">
        <f>IF(COUNTIFS('5'!$AG$25:$AG$30,$AK12,'5'!$AF$25:$AF$30,1)=0,"",SUMIFS('5'!$AC$25:$AC$30,'5'!$AG$25:$AG$30,$AK12,'5'!$AF$25:$AF$30,1)/COUNTIFS('5'!$AG$25:$AG$30,$AK12,'5'!$AF$25:$AF$30,1))</f>
        <v/>
      </c>
      <c r="BA12" s="86" t="str">
        <f>IF(COUNTIFS('6'!$AG$25:$AG$30,$AK12,'6'!$AF$25:$AF$30,1)=0,"",SUMIFS('6'!$AC$25:$AC$30,'6'!$AG$25:$AG$30,$AK12,'6'!$AF$25:$AF$30,1)/COUNTIFS('6'!$AG$25:$AG$30,$AK12,'6'!$AF$25:$AF$30,1))</f>
        <v/>
      </c>
      <c r="BB12" s="86" t="str">
        <f>IF(COUNTIFS('7'!$AG$30:$AG$35,$AK12,'7'!$AF$30:$AF$35,1)=0,"",SUMIFS('7'!$AC$30:$AC$35,'7'!$AG$30:$AG$35,$AK12,'7'!$AF$30:$AF$35,1)/COUNTIFS('7'!$AG$30:$AG$35,$AK12,'7'!$AF$30:$AF$35,1))</f>
        <v/>
      </c>
      <c r="BC12" s="86" t="str">
        <f>IF(COUNTIFS('8'!$AG$25:$AG$30,$AK12,'8'!$AF$25:$AF$30,1)=0,"",SUMIFS('8'!$AC$25:$AC$30,'8'!$AG$25:$AG$30,$AK12,'8'!$AF$25:$AF$30,1)/COUNTIFS('8'!$AG$25:$AG$30,$AK12,'8'!$AF$25:$AF$30,1))</f>
        <v/>
      </c>
      <c r="BD12" s="86" t="str">
        <f>IF(COUNTIFS('9'!$AG$25:$AG$30,$AK12,'9'!$AF$25:$AF$30,1)=0,"",SUMIFS('9'!$AC$25:$AC$30,'9'!$AG$25:$AG$30,$AK12,'9'!$AF$25:$AF$30,1)/COUNTIFS('9'!$AG$25:$AG$30,$AK12,'9'!$AF$25:$AF$30,1))</f>
        <v/>
      </c>
      <c r="BE12" s="86" t="str">
        <f>IF(COUNTIFS('10'!$AG$25:$AG$30,$AK12,'10'!$AF$25:$AF$30,1)=0,"",SUMIFS('10'!$AC$25:$AC$30,'10'!$AG$25:$AG$30,$AK12,'10'!$AF$25:$AF$30,1)/COUNTIFS('10'!$AG$25:$AG$30,$AK12,'10'!$AF$25:$AF$30,1))</f>
        <v/>
      </c>
      <c r="BF12" s="86" t="str">
        <f>IF(COUNTIFS('11'!$AG$25:$AG$30,$AK12,'11'!$AF$25:$AF$30,1)=0,"",SUMIFS('11'!$AC$25:$AC$30,'11'!$AG$25:$AG$30,$AK12,'11'!$AF$25:$AF$30,1)/COUNTIFS('11'!$AG$25:$AG$30,$AK12,'11'!$AF$25:$AF$30,1))</f>
        <v/>
      </c>
      <c r="BG12" s="86" t="str">
        <f>IF(COUNTIFS('12'!$AG$25:$AG$30,$AK12,'12'!$AF$25:$AF$30,1)=0,"",SUMIFS('12'!$AC$25:$AC$30,'12'!$AG$25:$AG$30,$AK12,'12'!$AF$25:$AF$30,1)/COUNTIFS('12'!$AG$25:$AG$30,$AK12,'12'!$AF$25:$AF$30,1))</f>
        <v/>
      </c>
      <c r="BH12" s="86" t="str">
        <f>IF(COUNTIFS('13'!$AG$25:$AG$30,$AK12,'13'!$AF$25:$AF$30,1)=0,"",SUMIFS('13'!$AC$25:$AC$30,'13'!$AG$25:$AG$30,$AK12,'13'!$AF$25:$AF$30,1)/COUNTIFS('13'!$AG$25:$AG$30,$AK12,'13'!$AF$25:$AF$30,1))</f>
        <v/>
      </c>
      <c r="BI12" s="86" t="str">
        <f>IF(COUNTIFS('14'!$AG$25:$AG$30,$AK12,'14'!$AF$25:$AF$30,1)=0,"",SUMIFS('14'!$AC$25:$AC$30,'14'!$AG$25:$AG$30,$AK12,'14'!$AF$25:$AF$30,1)/COUNTIFS('14'!$AG$25:$AG$30,$AK12,'14'!$AF$25:$AF$30,1))</f>
        <v/>
      </c>
      <c r="BJ12" s="86" t="str">
        <f>IF(COUNTIFS('15'!$AG$25:$AG$30,$AK12,'15'!$AF$25:$AF$30,1)=0,"",SUMIFS('15'!$AC$25:$AC$30,'15'!$AG$25:$AG$30,$AK12,'15'!$AF$25:$AF$30,1)/COUNTIFS('15'!$AG$25:$AG$30,$AK12,'15'!$AF$25:$AF$30,1))</f>
        <v/>
      </c>
      <c r="BK12" s="86" t="str">
        <f>IF(COUNTIFS('16'!$AG$25:$AG$30,$AK12,'16'!$AF$25:$AF$30,1)=0,"",SUMIFS('16'!$AC$25:$AC$30,'16'!$AG$25:$AG$30,$AK12,'16'!$AF$25:$AF$30,1)/COUNTIFS('16'!$AG$25:$AG$30,$AK12,'16'!$AF$25:$AF$30,1))</f>
        <v/>
      </c>
      <c r="BL12" s="86" t="str">
        <f>IF(COUNTIFS('17'!$AG$25:$AG$30,$AK12,'17'!$AF$25:$AF$30,1)=0,"",SUMIFS('17'!$AC$25:$AC$30,'17'!$AG$25:$AG$30,$AK12,'17'!$AF$25:$AF$30,1)/COUNTIFS('17'!$AG$25:$AG$30,$AK12,'17'!$AF$25:$AF$30,1))</f>
        <v/>
      </c>
      <c r="BM12" s="86" t="str">
        <f>IF(COUNTIFS('18'!$AG$25:$AG$30,$AK12,'18'!$AF$25:$AF$30,1)=0,"",SUMIFS('18'!$AC$25:$AC$30,'18'!$AG$25:$AG$30,$AK12,'18'!$AF$25:$AF$30,1)/COUNTIFS('18'!$AG$25:$AG$30,$AK12,'18'!$AF$25:$AF$30,1))</f>
        <v/>
      </c>
      <c r="BN12" s="86" t="str">
        <f>IF(COUNTIFS('19'!$AG$25:$AG$30,$AK12,'19'!$AF$25:$AF$30,1)=0,"",SUMIFS('19'!$AC$25:$AC$30,'19'!$AG$25:$AG$30,$AK12,'19'!$AF$25:$AF$30,1)/COUNTIFS('19'!$AG$25:$AG$30,$AK12,'19'!$AF$25:$AF$30,1))</f>
        <v/>
      </c>
      <c r="BO12" s="86" t="str">
        <f>IF(COUNTIFS('20'!$AG$25:$AG$30,$AK12,'20'!$AF$25:$AF$30,1)=0,"",SUMIFS('20'!$AC$25:$AC$30,'20'!$AG$25:$AG$30,$AK12,'20'!$AF$25:$AF$30,1)/COUNTIFS('20'!$AG$25:$AG$30,$AK12,'20'!$AF$25:$AF$30,1))</f>
        <v/>
      </c>
      <c r="BP12" s="86" t="str">
        <f>IF(COUNTIFS('21'!$AG$25:$AG$30,$AK12,'21'!$AF$25:$AF$30,1)=0,"",SUMIFS('21'!$AC$25:$AC$30,'21'!$AG$25:$AG$30,$AK12,'21'!$AF$25:$AF$30,1)/COUNTIFS('21'!$AG$25:$AG$30,$AK12,'21'!$AF$25:$AF$30,1))</f>
        <v/>
      </c>
      <c r="BQ12" s="86" t="str">
        <f>IF(COUNTIFS('22'!$AG$25:$AG$30,$AK12,'22'!$AF$25:$AF$30,1)=0,"",SUMIFS('22'!$AC$25:$AC$30,'22'!$AG$25:$AG$30,$AK12,'22'!$AF$25:$AF$30,1)/COUNTIFS('22'!$AG$25:$AG$30,$AK12,'22'!$AF$25:$AF$30,1))</f>
        <v/>
      </c>
      <c r="BR12" s="86" t="str">
        <f>IF(COUNTIFS('23'!$AG$25:$AG$30,$AK12,'23'!$AF$25:$AF$30,1)=0,"",SUMIFS('23'!$AC$25:$AC$30,'23'!$AG$25:$AG$30,$AK12,'23'!$AF$25:$AF$30,1)/COUNTIFS('23'!$AG$25:$AG$30,$AK12,'23'!$AF$25:$AF$30,1))</f>
        <v/>
      </c>
      <c r="BS12" s="86" t="str">
        <f>IF(COUNTIFS('24'!$AG$25:$AG$30,$AK12,'24'!$AF$25:$AF$30,1)=0,"",SUMIFS('24'!$AC$25:$AC$30,'24'!$AG$25:$AG$30,$AK12,'24'!$AF$25:$AF$30,1)/COUNTIFS('24'!$AG$25:$AG$30,$AK12,'24'!$AF$25:$AF$30,1))</f>
        <v/>
      </c>
      <c r="BT12" s="86" t="str">
        <f>IF(COUNTIFS('25'!$AG$25:$AG$30,$AK12,'25'!$AF$25:$AF$30,1)=0,"",SUMIFS('25'!$AC$25:$AC$30,'25'!$AG$25:$AG$30,$AK12,'25'!$AF$25:$AF$30,1)/COUNTIFS('25'!$AG$25:$AG$30,$AK12,'25'!$AF$25:$AF$30,1))</f>
        <v/>
      </c>
      <c r="BU12" s="86" t="str">
        <f>IF(COUNTIFS('26'!$AG$25:$AG$30,$AK12,'26'!$AF$25:$AF$30,1)=0,"",SUMIFS('26'!$AC$25:$AC$30,'26'!$AG$25:$AG$30,$AK12,'26'!$AF$25:$AF$30,1)/COUNTIFS('26'!$AG$25:$AG$30,$AK12,'26'!$AF$25:$AF$30,1))</f>
        <v/>
      </c>
      <c r="BV12" s="86" t="str">
        <f>IF(COUNTIFS('27'!$AG$25:$AG$30,$AK12,'27'!$AF$25:$AF$30,1)=0,"",SUMIFS('27'!$AC$25:$AC$30,'27'!$AG$25:$AG$30,$AK12,'27'!$AF$25:$AF$30,1)/COUNTIFS('27'!$AG$25:$AG$30,$AK12,'27'!$AF$25:$AF$30,1))</f>
        <v/>
      </c>
      <c r="BW12" s="86" t="str">
        <f>IF(COUNTIFS('28'!$AG$25:$AG$30,$AK12,'28'!$AF$25:$AF$30,1)=0,"",SUMIFS('28'!$AC$25:$AC$30,'28'!$AG$25:$AG$30,$AK12,'28'!$AF$25:$AF$30,1)/COUNTIFS('28'!$AG$25:$AG$30,$AK12,'28'!$AF$25:$AF$30,1))</f>
        <v/>
      </c>
      <c r="BX12" s="86" t="str">
        <f>IF(COUNTIFS('29'!$AG$25:$AG$30,$AK12,'29'!$AF$25:$AF$30,1)=0,"",SUMIFS('29'!$AC$25:$AC$30,'29'!$AG$25:$AG$30,$AK12,'29'!$AF$25:$AF$30,1)/COUNTIFS('29'!$AG$25:$AG$30,$AK12,'29'!$AF$25:$AF$30,1))</f>
        <v/>
      </c>
      <c r="BY12" s="86" t="str">
        <f>IF(COUNTIFS('30'!$AG$25:$AG$30,$AK12,'30'!$AF$25:$AF$30,1)=0,"",SUMIFS('30'!$AC$25:$AC$30,'30'!$AG$25:$AG$30,$AK12,'30'!$AF$25:$AF$30,1)/COUNTIFS('30'!$AG$25:$AG$30,$AK12,'30'!$AF$25:$AF$30,1))</f>
        <v/>
      </c>
      <c r="BZ12" s="8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1" t="str">
        <f>IF(LARGE($Y$5:$Y$17,8)=0,"",8)</f>
        <v/>
      </c>
      <c r="B13" s="141" t="str">
        <f t="shared" si="7"/>
        <v/>
      </c>
      <c r="C13" s="141" t="str">
        <f t="shared" si="8"/>
        <v/>
      </c>
      <c r="D13" s="142" t="str">
        <f t="shared" si="9"/>
        <v/>
      </c>
      <c r="E13" s="142" t="str">
        <f t="shared" si="10"/>
        <v/>
      </c>
      <c r="X13" s="86" t="s">
        <v>126</v>
      </c>
      <c r="Y13" s="86">
        <f>COUNTIF('1'!$D$4:$D$20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6">
        <f t="shared" si="1"/>
        <v>0.00005</v>
      </c>
      <c r="AA13" s="86" t="s">
        <v>118</v>
      </c>
      <c r="AB13" s="86" t="s">
        <v>117</v>
      </c>
      <c r="AC13" s="86">
        <f>COUNTIF('1'!$O$22:$O$25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6">
        <f t="shared" si="2"/>
        <v>0.00003</v>
      </c>
      <c r="AK13" s="86" t="s">
        <v>118</v>
      </c>
      <c r="AL13" s="86" t="s">
        <v>117</v>
      </c>
      <c r="AM13" s="86">
        <f>COUNTIFS('1'!$AG$29:$AG$34,AK13,'1'!$AF$29:$AF$34,1)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6" t="str">
        <f t="shared" si="5"/>
        <v/>
      </c>
      <c r="AO13" s="86" t="str">
        <f>IF(AM13=0,"",(SUMIFS('1'!$L$29:$L$34,'1'!$AG$29:$AG$34,AK13,'1'!$AF$29:$AF$34,1)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6" t="str">
        <f>IF(AM13=0,"",(SUMIFS('1'!$M$29:$M$34,'1'!$AG$29:$AG$34,AK13,'1'!$AF$29:$AF$34,1)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6" t="str">
        <f>IF(AM13=0,"",(SUMIFS('1'!$N$29:$N$34,'1'!$AG$29:$AG$34,AK13,'1'!$AF$29:$AF$34,1)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6" t="str">
        <f>IF(AM13=0,"",(SUMIFS('1'!$O$29:$O$34,'1'!$AG$29:$AG$34,AK13,'1'!$AF$29:$AF$34,1)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6" t="str">
        <f>IF(AM13=0,"",(SUMIFS('1'!$P$29:$P$34,'1'!$AG$29:$AG$34,AK13,'1'!$AF$29:$AF$34,1)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6" t="str">
        <f>IF(COUNTIFS('1'!$AG$29:$AG$34,$AK13,'1'!$AF$29:$AF$34,1)=0,"",SUMIFS('1'!$AC$29:$AC$34,'1'!$AG$29:$AG$34,$AK13,'1'!$AF$29:$AF$34,1)/COUNTIFS('1'!$AG$29:$AG$34,$AK13,'1'!$AF$29:$AF$34,1))</f>
        <v/>
      </c>
      <c r="AW13" s="86" t="str">
        <f>IF(COUNTIFS('2'!$AG$25:$AG$30,$AK13,'2'!$AF$25:$AF$30,1)=0,"",SUMIFS('2'!$AC$25:$AC$30,'2'!$AG$25:$AG$30,$AK13,'2'!$AF$25:$AF$30,1)/COUNTIFS('2'!$AG$25:$AG$30,$AK13,'2'!$AF$25:$AF$30,1))</f>
        <v/>
      </c>
      <c r="AX13" s="86" t="str">
        <f>IF(COUNTIFS('3'!$AG$24:$AG$29,$AK13,'3'!$AF$24:$AF$29,1)=0,"",SUMIFS('3'!$AC$24:$AC$29,'3'!$AG$24:$AG$29,$AK13,'3'!$AF$24:$AF$29,1)/COUNTIFS('3'!$AG$24:$AG$29,$AK13,'3'!$AF$24:$AF$29,1))</f>
        <v/>
      </c>
      <c r="AY13" s="86" t="str">
        <f>IF(COUNTIFS('4'!$AG$25:$AG$30,$AK13,'4'!$AF$25:$AF$30,1)=0,"",SUMIFS('4'!$AC$25:$AC$30,'4'!$AG$25:$AG$30,$AK13,'4'!$AF$25:$AF$30,1)/COUNTIFS('4'!$AG$25:$AG$30,$AK13,'4'!$AF$25:$AF$30,1))</f>
        <v/>
      </c>
      <c r="AZ13" s="86" t="str">
        <f>IF(COUNTIFS('5'!$AG$25:$AG$30,$AK13,'5'!$AF$25:$AF$30,1)=0,"",SUMIFS('5'!$AC$25:$AC$30,'5'!$AG$25:$AG$30,$AK13,'5'!$AF$25:$AF$30,1)/COUNTIFS('5'!$AG$25:$AG$30,$AK13,'5'!$AF$25:$AF$30,1))</f>
        <v/>
      </c>
      <c r="BA13" s="86" t="str">
        <f>IF(COUNTIFS('6'!$AG$25:$AG$30,$AK13,'6'!$AF$25:$AF$30,1)=0,"",SUMIFS('6'!$AC$25:$AC$30,'6'!$AG$25:$AG$30,$AK13,'6'!$AF$25:$AF$30,1)/COUNTIFS('6'!$AG$25:$AG$30,$AK13,'6'!$AF$25:$AF$30,1))</f>
        <v/>
      </c>
      <c r="BB13" s="86" t="str">
        <f>IF(COUNTIFS('7'!$AG$30:$AG$35,$AK13,'7'!$AF$30:$AF$35,1)=0,"",SUMIFS('7'!$AC$30:$AC$35,'7'!$AG$30:$AG$35,$AK13,'7'!$AF$30:$AF$35,1)/COUNTIFS('7'!$AG$30:$AG$35,$AK13,'7'!$AF$30:$AF$35,1))</f>
        <v/>
      </c>
      <c r="BC13" s="86" t="str">
        <f>IF(COUNTIFS('8'!$AG$25:$AG$30,$AK13,'8'!$AF$25:$AF$30,1)=0,"",SUMIFS('8'!$AC$25:$AC$30,'8'!$AG$25:$AG$30,$AK13,'8'!$AF$25:$AF$30,1)/COUNTIFS('8'!$AG$25:$AG$30,$AK13,'8'!$AF$25:$AF$30,1))</f>
        <v/>
      </c>
      <c r="BD13" s="86" t="str">
        <f>IF(COUNTIFS('9'!$AG$25:$AG$30,$AK13,'9'!$AF$25:$AF$30,1)=0,"",SUMIFS('9'!$AC$25:$AC$30,'9'!$AG$25:$AG$30,$AK13,'9'!$AF$25:$AF$30,1)/COUNTIFS('9'!$AG$25:$AG$30,$AK13,'9'!$AF$25:$AF$30,1))</f>
        <v/>
      </c>
      <c r="BE13" s="86" t="str">
        <f>IF(COUNTIFS('10'!$AG$25:$AG$30,$AK13,'10'!$AF$25:$AF$30,1)=0,"",SUMIFS('10'!$AC$25:$AC$30,'10'!$AG$25:$AG$30,$AK13,'10'!$AF$25:$AF$30,1)/COUNTIFS('10'!$AG$25:$AG$30,$AK13,'10'!$AF$25:$AF$30,1))</f>
        <v/>
      </c>
      <c r="BF13" s="86" t="str">
        <f>IF(COUNTIFS('11'!$AG$25:$AG$30,$AK13,'11'!$AF$25:$AF$30,1)=0,"",SUMIFS('11'!$AC$25:$AC$30,'11'!$AG$25:$AG$30,$AK13,'11'!$AF$25:$AF$30,1)/COUNTIFS('11'!$AG$25:$AG$30,$AK13,'11'!$AF$25:$AF$30,1))</f>
        <v/>
      </c>
      <c r="BG13" s="86" t="str">
        <f>IF(COUNTIFS('12'!$AG$25:$AG$30,$AK13,'12'!$AF$25:$AF$30,1)=0,"",SUMIFS('12'!$AC$25:$AC$30,'12'!$AG$25:$AG$30,$AK13,'12'!$AF$25:$AF$30,1)/COUNTIFS('12'!$AG$25:$AG$30,$AK13,'12'!$AF$25:$AF$30,1))</f>
        <v/>
      </c>
      <c r="BH13" s="86" t="str">
        <f>IF(COUNTIFS('13'!$AG$25:$AG$30,$AK13,'13'!$AF$25:$AF$30,1)=0,"",SUMIFS('13'!$AC$25:$AC$30,'13'!$AG$25:$AG$30,$AK13,'13'!$AF$25:$AF$30,1)/COUNTIFS('13'!$AG$25:$AG$30,$AK13,'13'!$AF$25:$AF$30,1))</f>
        <v/>
      </c>
      <c r="BI13" s="86" t="str">
        <f>IF(COUNTIFS('14'!$AG$25:$AG$30,$AK13,'14'!$AF$25:$AF$30,1)=0,"",SUMIFS('14'!$AC$25:$AC$30,'14'!$AG$25:$AG$30,$AK13,'14'!$AF$25:$AF$30,1)/COUNTIFS('14'!$AG$25:$AG$30,$AK13,'14'!$AF$25:$AF$30,1))</f>
        <v/>
      </c>
      <c r="BJ13" s="86" t="str">
        <f>IF(COUNTIFS('15'!$AG$25:$AG$30,$AK13,'15'!$AF$25:$AF$30,1)=0,"",SUMIFS('15'!$AC$25:$AC$30,'15'!$AG$25:$AG$30,$AK13,'15'!$AF$25:$AF$30,1)/COUNTIFS('15'!$AG$25:$AG$30,$AK13,'15'!$AF$25:$AF$30,1))</f>
        <v/>
      </c>
      <c r="BK13" s="86" t="str">
        <f>IF(COUNTIFS('16'!$AG$25:$AG$30,$AK13,'16'!$AF$25:$AF$30,1)=0,"",SUMIFS('16'!$AC$25:$AC$30,'16'!$AG$25:$AG$30,$AK13,'16'!$AF$25:$AF$30,1)/COUNTIFS('16'!$AG$25:$AG$30,$AK13,'16'!$AF$25:$AF$30,1))</f>
        <v/>
      </c>
      <c r="BL13" s="86" t="str">
        <f>IF(COUNTIFS('17'!$AG$25:$AG$30,$AK13,'17'!$AF$25:$AF$30,1)=0,"",SUMIFS('17'!$AC$25:$AC$30,'17'!$AG$25:$AG$30,$AK13,'17'!$AF$25:$AF$30,1)/COUNTIFS('17'!$AG$25:$AG$30,$AK13,'17'!$AF$25:$AF$30,1))</f>
        <v/>
      </c>
      <c r="BM13" s="86" t="str">
        <f>IF(COUNTIFS('18'!$AG$25:$AG$30,$AK13,'18'!$AF$25:$AF$30,1)=0,"",SUMIFS('18'!$AC$25:$AC$30,'18'!$AG$25:$AG$30,$AK13,'18'!$AF$25:$AF$30,1)/COUNTIFS('18'!$AG$25:$AG$30,$AK13,'18'!$AF$25:$AF$30,1))</f>
        <v/>
      </c>
      <c r="BN13" s="86" t="str">
        <f>IF(COUNTIFS('19'!$AG$25:$AG$30,$AK13,'19'!$AF$25:$AF$30,1)=0,"",SUMIFS('19'!$AC$25:$AC$30,'19'!$AG$25:$AG$30,$AK13,'19'!$AF$25:$AF$30,1)/COUNTIFS('19'!$AG$25:$AG$30,$AK13,'19'!$AF$25:$AF$30,1))</f>
        <v/>
      </c>
      <c r="BO13" s="86" t="str">
        <f>IF(COUNTIFS('20'!$AG$25:$AG$30,$AK13,'20'!$AF$25:$AF$30,1)=0,"",SUMIFS('20'!$AC$25:$AC$30,'20'!$AG$25:$AG$30,$AK13,'20'!$AF$25:$AF$30,1)/COUNTIFS('20'!$AG$25:$AG$30,$AK13,'20'!$AF$25:$AF$30,1))</f>
        <v/>
      </c>
      <c r="BP13" s="86" t="str">
        <f>IF(COUNTIFS('21'!$AG$25:$AG$30,$AK13,'21'!$AF$25:$AF$30,1)=0,"",SUMIFS('21'!$AC$25:$AC$30,'21'!$AG$25:$AG$30,$AK13,'21'!$AF$25:$AF$30,1)/COUNTIFS('21'!$AG$25:$AG$30,$AK13,'21'!$AF$25:$AF$30,1))</f>
        <v/>
      </c>
      <c r="BQ13" s="86" t="str">
        <f>IF(COUNTIFS('22'!$AG$25:$AG$30,$AK13,'22'!$AF$25:$AF$30,1)=0,"",SUMIFS('22'!$AC$25:$AC$30,'22'!$AG$25:$AG$30,$AK13,'22'!$AF$25:$AF$30,1)/COUNTIFS('22'!$AG$25:$AG$30,$AK13,'22'!$AF$25:$AF$30,1))</f>
        <v/>
      </c>
      <c r="BR13" s="86" t="str">
        <f>IF(COUNTIFS('23'!$AG$25:$AG$30,$AK13,'23'!$AF$25:$AF$30,1)=0,"",SUMIFS('23'!$AC$25:$AC$30,'23'!$AG$25:$AG$30,$AK13,'23'!$AF$25:$AF$30,1)/COUNTIFS('23'!$AG$25:$AG$30,$AK13,'23'!$AF$25:$AF$30,1))</f>
        <v/>
      </c>
      <c r="BS13" s="86" t="str">
        <f>IF(COUNTIFS('24'!$AG$25:$AG$30,$AK13,'24'!$AF$25:$AF$30,1)=0,"",SUMIFS('24'!$AC$25:$AC$30,'24'!$AG$25:$AG$30,$AK13,'24'!$AF$25:$AF$30,1)/COUNTIFS('24'!$AG$25:$AG$30,$AK13,'24'!$AF$25:$AF$30,1))</f>
        <v/>
      </c>
      <c r="BT13" s="86" t="str">
        <f>IF(COUNTIFS('25'!$AG$25:$AG$30,$AK13,'25'!$AF$25:$AF$30,1)=0,"",SUMIFS('25'!$AC$25:$AC$30,'25'!$AG$25:$AG$30,$AK13,'25'!$AF$25:$AF$30,1)/COUNTIFS('25'!$AG$25:$AG$30,$AK13,'25'!$AF$25:$AF$30,1))</f>
        <v/>
      </c>
      <c r="BU13" s="86" t="str">
        <f>IF(COUNTIFS('26'!$AG$25:$AG$30,$AK13,'26'!$AF$25:$AF$30,1)=0,"",SUMIFS('26'!$AC$25:$AC$30,'26'!$AG$25:$AG$30,$AK13,'26'!$AF$25:$AF$30,1)/COUNTIFS('26'!$AG$25:$AG$30,$AK13,'26'!$AF$25:$AF$30,1))</f>
        <v/>
      </c>
      <c r="BV13" s="86" t="str">
        <f>IF(COUNTIFS('27'!$AG$25:$AG$30,$AK13,'27'!$AF$25:$AF$30,1)=0,"",SUMIFS('27'!$AC$25:$AC$30,'27'!$AG$25:$AG$30,$AK13,'27'!$AF$25:$AF$30,1)/COUNTIFS('27'!$AG$25:$AG$30,$AK13,'27'!$AF$25:$AF$30,1))</f>
        <v/>
      </c>
      <c r="BW13" s="86" t="str">
        <f>IF(COUNTIFS('28'!$AG$25:$AG$30,$AK13,'28'!$AF$25:$AF$30,1)=0,"",SUMIFS('28'!$AC$25:$AC$30,'28'!$AG$25:$AG$30,$AK13,'28'!$AF$25:$AF$30,1)/COUNTIFS('28'!$AG$25:$AG$30,$AK13,'28'!$AF$25:$AF$30,1))</f>
        <v/>
      </c>
      <c r="BX13" s="86" t="str">
        <f>IF(COUNTIFS('29'!$AG$25:$AG$30,$AK13,'29'!$AF$25:$AF$30,1)=0,"",SUMIFS('29'!$AC$25:$AC$30,'29'!$AG$25:$AG$30,$AK13,'29'!$AF$25:$AF$30,1)/COUNTIFS('29'!$AG$25:$AG$30,$AK13,'29'!$AF$25:$AF$30,1))</f>
        <v/>
      </c>
      <c r="BY13" s="86" t="str">
        <f>IF(COUNTIFS('30'!$AG$25:$AG$30,$AK13,'30'!$AF$25:$AF$30,1)=0,"",SUMIFS('30'!$AC$25:$AC$30,'30'!$AG$25:$AG$30,$AK13,'30'!$AF$25:$AF$30,1)/COUNTIFS('30'!$AG$25:$AG$30,$AK13,'30'!$AF$25:$AF$30,1))</f>
        <v/>
      </c>
      <c r="BZ13" s="8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1" t="str">
        <f>IF(LARGE($Y$5:$Y$17,9)=0,"",9)</f>
        <v/>
      </c>
      <c r="B14" s="141" t="str">
        <f t="shared" si="7"/>
        <v/>
      </c>
      <c r="C14" s="141" t="str">
        <f t="shared" si="8"/>
        <v/>
      </c>
      <c r="D14" s="142" t="str">
        <f t="shared" si="9"/>
        <v/>
      </c>
      <c r="E14" s="142" t="str">
        <f t="shared" si="10"/>
        <v/>
      </c>
      <c r="X14" s="86" t="s">
        <v>24</v>
      </c>
      <c r="Y14" s="86">
        <f>COUNTIF('1'!$D$4:$D$20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6">
        <f t="shared" si="1"/>
        <v>1.00004</v>
      </c>
      <c r="AA14" s="86" t="s">
        <v>119</v>
      </c>
      <c r="AB14" s="86" t="s">
        <v>117</v>
      </c>
      <c r="AC14" s="86">
        <f>COUNTIF('1'!$O$22:$O$25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6">
        <f t="shared" si="2"/>
        <v>0.00002</v>
      </c>
      <c r="AK14" s="86" t="s">
        <v>119</v>
      </c>
      <c r="AL14" s="86" t="s">
        <v>117</v>
      </c>
      <c r="AM14" s="86">
        <f>COUNTIFS('1'!$AG$29:$AG$34,AK14,'1'!$AF$29:$AF$34,1)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6" t="str">
        <f t="shared" si="5"/>
        <v/>
      </c>
      <c r="AO14" s="86" t="str">
        <f>IF(AM14=0,"",(SUMIFS('1'!$L$29:$L$34,'1'!$AG$29:$AG$34,AK14,'1'!$AF$29:$AF$34,1)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6" t="str">
        <f>IF(AM14=0,"",(SUMIFS('1'!$M$29:$M$34,'1'!$AG$29:$AG$34,AK14,'1'!$AF$29:$AF$34,1)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6" t="str">
        <f>IF(AM14=0,"",(SUMIFS('1'!$N$29:$N$34,'1'!$AG$29:$AG$34,AK14,'1'!$AF$29:$AF$34,1)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6" t="str">
        <f>IF(AM14=0,"",(SUMIFS('1'!$O$29:$O$34,'1'!$AG$29:$AG$34,AK14,'1'!$AF$29:$AF$34,1)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6" t="str">
        <f>IF(AM14=0,"",(SUMIFS('1'!$P$29:$P$34,'1'!$AG$29:$AG$34,AK14,'1'!$AF$29:$AF$34,1)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6" t="str">
        <f>IF(COUNTIFS('1'!$AG$29:$AG$34,$AK14,'1'!$AF$29:$AF$34,1)=0,"",SUMIFS('1'!$AC$29:$AC$34,'1'!$AG$29:$AG$34,$AK14,'1'!$AF$29:$AF$34,1)/COUNTIFS('1'!$AG$29:$AG$34,$AK14,'1'!$AF$29:$AF$34,1))</f>
        <v/>
      </c>
      <c r="AW14" s="86" t="str">
        <f>IF(COUNTIFS('2'!$AG$25:$AG$30,$AK14,'2'!$AF$25:$AF$30,1)=0,"",SUMIFS('2'!$AC$25:$AC$30,'2'!$AG$25:$AG$30,$AK14,'2'!$AF$25:$AF$30,1)/COUNTIFS('2'!$AG$25:$AG$30,$AK14,'2'!$AF$25:$AF$30,1))</f>
        <v/>
      </c>
      <c r="AX14" s="86" t="str">
        <f>IF(COUNTIFS('3'!$AG$24:$AG$29,$AK14,'3'!$AF$24:$AF$29,1)=0,"",SUMIFS('3'!$AC$24:$AC$29,'3'!$AG$24:$AG$29,$AK14,'3'!$AF$24:$AF$29,1)/COUNTIFS('3'!$AG$24:$AG$29,$AK14,'3'!$AF$24:$AF$29,1))</f>
        <v/>
      </c>
      <c r="AY14" s="86" t="str">
        <f>IF(COUNTIFS('4'!$AG$25:$AG$30,$AK14,'4'!$AF$25:$AF$30,1)=0,"",SUMIFS('4'!$AC$25:$AC$30,'4'!$AG$25:$AG$30,$AK14,'4'!$AF$25:$AF$30,1)/COUNTIFS('4'!$AG$25:$AG$30,$AK14,'4'!$AF$25:$AF$30,1))</f>
        <v/>
      </c>
      <c r="AZ14" s="86" t="str">
        <f>IF(COUNTIFS('5'!$AG$25:$AG$30,$AK14,'5'!$AF$25:$AF$30,1)=0,"",SUMIFS('5'!$AC$25:$AC$30,'5'!$AG$25:$AG$30,$AK14,'5'!$AF$25:$AF$30,1)/COUNTIFS('5'!$AG$25:$AG$30,$AK14,'5'!$AF$25:$AF$30,1))</f>
        <v/>
      </c>
      <c r="BA14" s="86" t="str">
        <f>IF(COUNTIFS('6'!$AG$25:$AG$30,$AK14,'6'!$AF$25:$AF$30,1)=0,"",SUMIFS('6'!$AC$25:$AC$30,'6'!$AG$25:$AG$30,$AK14,'6'!$AF$25:$AF$30,1)/COUNTIFS('6'!$AG$25:$AG$30,$AK14,'6'!$AF$25:$AF$30,1))</f>
        <v/>
      </c>
      <c r="BB14" s="86" t="str">
        <f>IF(COUNTIFS('7'!$AG$30:$AG$35,$AK14,'7'!$AF$30:$AF$35,1)=0,"",SUMIFS('7'!$AC$30:$AC$35,'7'!$AG$30:$AG$35,$AK14,'7'!$AF$30:$AF$35,1)/COUNTIFS('7'!$AG$30:$AG$35,$AK14,'7'!$AF$30:$AF$35,1))</f>
        <v/>
      </c>
      <c r="BC14" s="86" t="str">
        <f>IF(COUNTIFS('8'!$AG$25:$AG$30,$AK14,'8'!$AF$25:$AF$30,1)=0,"",SUMIFS('8'!$AC$25:$AC$30,'8'!$AG$25:$AG$30,$AK14,'8'!$AF$25:$AF$30,1)/COUNTIFS('8'!$AG$25:$AG$30,$AK14,'8'!$AF$25:$AF$30,1))</f>
        <v/>
      </c>
      <c r="BD14" s="86" t="str">
        <f>IF(COUNTIFS('9'!$AG$25:$AG$30,$AK14,'9'!$AF$25:$AF$30,1)=0,"",SUMIFS('9'!$AC$25:$AC$30,'9'!$AG$25:$AG$30,$AK14,'9'!$AF$25:$AF$30,1)/COUNTIFS('9'!$AG$25:$AG$30,$AK14,'9'!$AF$25:$AF$30,1))</f>
        <v/>
      </c>
      <c r="BE14" s="86" t="str">
        <f>IF(COUNTIFS('10'!$AG$25:$AG$30,$AK14,'10'!$AF$25:$AF$30,1)=0,"",SUMIFS('10'!$AC$25:$AC$30,'10'!$AG$25:$AG$30,$AK14,'10'!$AF$25:$AF$30,1)/COUNTIFS('10'!$AG$25:$AG$30,$AK14,'10'!$AF$25:$AF$30,1))</f>
        <v/>
      </c>
      <c r="BF14" s="86" t="str">
        <f>IF(COUNTIFS('11'!$AG$25:$AG$30,$AK14,'11'!$AF$25:$AF$30,1)=0,"",SUMIFS('11'!$AC$25:$AC$30,'11'!$AG$25:$AG$30,$AK14,'11'!$AF$25:$AF$30,1)/COUNTIFS('11'!$AG$25:$AG$30,$AK14,'11'!$AF$25:$AF$30,1))</f>
        <v/>
      </c>
      <c r="BG14" s="86" t="str">
        <f>IF(COUNTIFS('12'!$AG$25:$AG$30,$AK14,'12'!$AF$25:$AF$30,1)=0,"",SUMIFS('12'!$AC$25:$AC$30,'12'!$AG$25:$AG$30,$AK14,'12'!$AF$25:$AF$30,1)/COUNTIFS('12'!$AG$25:$AG$30,$AK14,'12'!$AF$25:$AF$30,1))</f>
        <v/>
      </c>
      <c r="BH14" s="86" t="str">
        <f>IF(COUNTIFS('13'!$AG$25:$AG$30,$AK14,'13'!$AF$25:$AF$30,1)=0,"",SUMIFS('13'!$AC$25:$AC$30,'13'!$AG$25:$AG$30,$AK14,'13'!$AF$25:$AF$30,1)/COUNTIFS('13'!$AG$25:$AG$30,$AK14,'13'!$AF$25:$AF$30,1))</f>
        <v/>
      </c>
      <c r="BI14" s="86" t="str">
        <f>IF(COUNTIFS('14'!$AG$25:$AG$30,$AK14,'14'!$AF$25:$AF$30,1)=0,"",SUMIFS('14'!$AC$25:$AC$30,'14'!$AG$25:$AG$30,$AK14,'14'!$AF$25:$AF$30,1)/COUNTIFS('14'!$AG$25:$AG$30,$AK14,'14'!$AF$25:$AF$30,1))</f>
        <v/>
      </c>
      <c r="BJ14" s="86" t="str">
        <f>IF(COUNTIFS('15'!$AG$25:$AG$30,$AK14,'15'!$AF$25:$AF$30,1)=0,"",SUMIFS('15'!$AC$25:$AC$30,'15'!$AG$25:$AG$30,$AK14,'15'!$AF$25:$AF$30,1)/COUNTIFS('15'!$AG$25:$AG$30,$AK14,'15'!$AF$25:$AF$30,1))</f>
        <v/>
      </c>
      <c r="BK14" s="86" t="str">
        <f>IF(COUNTIFS('16'!$AG$25:$AG$30,$AK14,'16'!$AF$25:$AF$30,1)=0,"",SUMIFS('16'!$AC$25:$AC$30,'16'!$AG$25:$AG$30,$AK14,'16'!$AF$25:$AF$30,1)/COUNTIFS('16'!$AG$25:$AG$30,$AK14,'16'!$AF$25:$AF$30,1))</f>
        <v/>
      </c>
      <c r="BL14" s="86" t="str">
        <f>IF(COUNTIFS('17'!$AG$25:$AG$30,$AK14,'17'!$AF$25:$AF$30,1)=0,"",SUMIFS('17'!$AC$25:$AC$30,'17'!$AG$25:$AG$30,$AK14,'17'!$AF$25:$AF$30,1)/COUNTIFS('17'!$AG$25:$AG$30,$AK14,'17'!$AF$25:$AF$30,1))</f>
        <v/>
      </c>
      <c r="BM14" s="86" t="str">
        <f>IF(COUNTIFS('18'!$AG$25:$AG$30,$AK14,'18'!$AF$25:$AF$30,1)=0,"",SUMIFS('18'!$AC$25:$AC$30,'18'!$AG$25:$AG$30,$AK14,'18'!$AF$25:$AF$30,1)/COUNTIFS('18'!$AG$25:$AG$30,$AK14,'18'!$AF$25:$AF$30,1))</f>
        <v/>
      </c>
      <c r="BN14" s="86" t="str">
        <f>IF(COUNTIFS('19'!$AG$25:$AG$30,$AK14,'19'!$AF$25:$AF$30,1)=0,"",SUMIFS('19'!$AC$25:$AC$30,'19'!$AG$25:$AG$30,$AK14,'19'!$AF$25:$AF$30,1)/COUNTIFS('19'!$AG$25:$AG$30,$AK14,'19'!$AF$25:$AF$30,1))</f>
        <v/>
      </c>
      <c r="BO14" s="86" t="str">
        <f>IF(COUNTIFS('20'!$AG$25:$AG$30,$AK14,'20'!$AF$25:$AF$30,1)=0,"",SUMIFS('20'!$AC$25:$AC$30,'20'!$AG$25:$AG$30,$AK14,'20'!$AF$25:$AF$30,1)/COUNTIFS('20'!$AG$25:$AG$30,$AK14,'20'!$AF$25:$AF$30,1))</f>
        <v/>
      </c>
      <c r="BP14" s="86" t="str">
        <f>IF(COUNTIFS('21'!$AG$25:$AG$30,$AK14,'21'!$AF$25:$AF$30,1)=0,"",SUMIFS('21'!$AC$25:$AC$30,'21'!$AG$25:$AG$30,$AK14,'21'!$AF$25:$AF$30,1)/COUNTIFS('21'!$AG$25:$AG$30,$AK14,'21'!$AF$25:$AF$30,1))</f>
        <v/>
      </c>
      <c r="BQ14" s="86" t="str">
        <f>IF(COUNTIFS('22'!$AG$25:$AG$30,$AK14,'22'!$AF$25:$AF$30,1)=0,"",SUMIFS('22'!$AC$25:$AC$30,'22'!$AG$25:$AG$30,$AK14,'22'!$AF$25:$AF$30,1)/COUNTIFS('22'!$AG$25:$AG$30,$AK14,'22'!$AF$25:$AF$30,1))</f>
        <v/>
      </c>
      <c r="BR14" s="86" t="str">
        <f>IF(COUNTIFS('23'!$AG$25:$AG$30,$AK14,'23'!$AF$25:$AF$30,1)=0,"",SUMIFS('23'!$AC$25:$AC$30,'23'!$AG$25:$AG$30,$AK14,'23'!$AF$25:$AF$30,1)/COUNTIFS('23'!$AG$25:$AG$30,$AK14,'23'!$AF$25:$AF$30,1))</f>
        <v/>
      </c>
      <c r="BS14" s="86" t="str">
        <f>IF(COUNTIFS('24'!$AG$25:$AG$30,$AK14,'24'!$AF$25:$AF$30,1)=0,"",SUMIFS('24'!$AC$25:$AC$30,'24'!$AG$25:$AG$30,$AK14,'24'!$AF$25:$AF$30,1)/COUNTIFS('24'!$AG$25:$AG$30,$AK14,'24'!$AF$25:$AF$30,1))</f>
        <v/>
      </c>
      <c r="BT14" s="86" t="str">
        <f>IF(COUNTIFS('25'!$AG$25:$AG$30,$AK14,'25'!$AF$25:$AF$30,1)=0,"",SUMIFS('25'!$AC$25:$AC$30,'25'!$AG$25:$AG$30,$AK14,'25'!$AF$25:$AF$30,1)/COUNTIFS('25'!$AG$25:$AG$30,$AK14,'25'!$AF$25:$AF$30,1))</f>
        <v/>
      </c>
      <c r="BU14" s="86" t="str">
        <f>IF(COUNTIFS('26'!$AG$25:$AG$30,$AK14,'26'!$AF$25:$AF$30,1)=0,"",SUMIFS('26'!$AC$25:$AC$30,'26'!$AG$25:$AG$30,$AK14,'26'!$AF$25:$AF$30,1)/COUNTIFS('26'!$AG$25:$AG$30,$AK14,'26'!$AF$25:$AF$30,1))</f>
        <v/>
      </c>
      <c r="BV14" s="86" t="str">
        <f>IF(COUNTIFS('27'!$AG$25:$AG$30,$AK14,'27'!$AF$25:$AF$30,1)=0,"",SUMIFS('27'!$AC$25:$AC$30,'27'!$AG$25:$AG$30,$AK14,'27'!$AF$25:$AF$30,1)/COUNTIFS('27'!$AG$25:$AG$30,$AK14,'27'!$AF$25:$AF$30,1))</f>
        <v/>
      </c>
      <c r="BW14" s="86" t="str">
        <f>IF(COUNTIFS('28'!$AG$25:$AG$30,$AK14,'28'!$AF$25:$AF$30,1)=0,"",SUMIFS('28'!$AC$25:$AC$30,'28'!$AG$25:$AG$30,$AK14,'28'!$AF$25:$AF$30,1)/COUNTIFS('28'!$AG$25:$AG$30,$AK14,'28'!$AF$25:$AF$30,1))</f>
        <v/>
      </c>
      <c r="BX14" s="86" t="str">
        <f>IF(COUNTIFS('29'!$AG$25:$AG$30,$AK14,'29'!$AF$25:$AF$30,1)=0,"",SUMIFS('29'!$AC$25:$AC$30,'29'!$AG$25:$AG$30,$AK14,'29'!$AF$25:$AF$30,1)/COUNTIFS('29'!$AG$25:$AG$30,$AK14,'29'!$AF$25:$AF$30,1))</f>
        <v/>
      </c>
      <c r="BY14" s="86" t="str">
        <f>IF(COUNTIFS('30'!$AG$25:$AG$30,$AK14,'30'!$AF$25:$AF$30,1)=0,"",SUMIFS('30'!$AC$25:$AC$30,'30'!$AG$25:$AG$30,$AK14,'30'!$AF$25:$AF$30,1)/COUNTIFS('30'!$AG$25:$AG$30,$AK14,'30'!$AF$25:$AF$30,1))</f>
        <v/>
      </c>
      <c r="BZ14" s="8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1" t="str">
        <f>IF(LARGE($Y$5:$Y$17,10)=0,"",10)</f>
        <v/>
      </c>
      <c r="B15" s="141" t="str">
        <f t="shared" si="7"/>
        <v/>
      </c>
      <c r="C15" s="141" t="str">
        <f t="shared" si="8"/>
        <v/>
      </c>
      <c r="D15" s="142" t="str">
        <f t="shared" si="9"/>
        <v/>
      </c>
      <c r="E15" s="142" t="str">
        <f t="shared" si="10"/>
        <v/>
      </c>
      <c r="X15" s="86" t="s">
        <v>40</v>
      </c>
      <c r="Y15" s="86">
        <f>COUNTIF('1'!$D$4:$D$20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6">
        <f t="shared" si="1"/>
        <v>1.00003</v>
      </c>
      <c r="AA15" s="86" t="s">
        <v>120</v>
      </c>
      <c r="AB15" s="86" t="s">
        <v>117</v>
      </c>
      <c r="AC15" s="86">
        <f>COUNTIF('1'!$O$22:$O$25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6">
        <f t="shared" si="2"/>
        <v>0.00001</v>
      </c>
      <c r="AK15" s="86" t="s">
        <v>120</v>
      </c>
      <c r="AL15" s="86" t="s">
        <v>117</v>
      </c>
      <c r="AM15" s="86">
        <f>COUNTIFS('1'!$AG$29:$AG$34,AK15,'1'!$AF$29:$AF$34,1)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6" t="str">
        <f t="shared" si="5"/>
        <v/>
      </c>
      <c r="AO15" s="86" t="str">
        <f>IF(AM15=0,"",(SUMIFS('1'!$L$29:$L$34,'1'!$AG$29:$AG$34,AK15,'1'!$AF$29:$AF$34,1)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6" t="str">
        <f>IF(AM15=0,"",(SUMIFS('1'!$M$29:$M$34,'1'!$AG$29:$AG$34,AK15,'1'!$AF$29:$AF$34,1)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6" t="str">
        <f>IF(AM15=0,"",(SUMIFS('1'!$N$29:$N$34,'1'!$AG$29:$AG$34,AK15,'1'!$AF$29:$AF$34,1)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6" t="str">
        <f>IF(AM15=0,"",(SUMIFS('1'!$O$29:$O$34,'1'!$AG$29:$AG$34,AK15,'1'!$AF$29:$AF$34,1)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6" t="str">
        <f>IF(AM15=0,"",(SUMIFS('1'!$P$29:$P$34,'1'!$AG$29:$AG$34,AK15,'1'!$AF$29:$AF$34,1)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6" t="str">
        <f>IF(COUNTIFS('1'!$AG$29:$AG$34,$AK15,'1'!$AF$29:$AF$34,1)=0,"",SUMIFS('1'!$AC$29:$AC$34,'1'!$AG$29:$AG$34,$AK15,'1'!$AF$29:$AF$34,1)/COUNTIFS('1'!$AG$29:$AG$34,$AK15,'1'!$AF$29:$AF$34,1))</f>
        <v/>
      </c>
      <c r="AW15" s="86" t="str">
        <f>IF(COUNTIFS('2'!$AG$25:$AG$30,$AK15,'2'!$AF$25:$AF$30,1)=0,"",SUMIFS('2'!$AC$25:$AC$30,'2'!$AG$25:$AG$30,$AK15,'2'!$AF$25:$AF$30,1)/COUNTIFS('2'!$AG$25:$AG$30,$AK15,'2'!$AF$25:$AF$30,1))</f>
        <v/>
      </c>
      <c r="AX15" s="86" t="str">
        <f>IF(COUNTIFS('3'!$AG$24:$AG$29,$AK15,'3'!$AF$24:$AF$29,1)=0,"",SUMIFS('3'!$AC$24:$AC$29,'3'!$AG$24:$AG$29,$AK15,'3'!$AF$24:$AF$29,1)/COUNTIFS('3'!$AG$24:$AG$29,$AK15,'3'!$AF$24:$AF$29,1))</f>
        <v/>
      </c>
      <c r="AY15" s="86" t="str">
        <f>IF(COUNTIFS('4'!$AG$25:$AG$30,$AK15,'4'!$AF$25:$AF$30,1)=0,"",SUMIFS('4'!$AC$25:$AC$30,'4'!$AG$25:$AG$30,$AK15,'4'!$AF$25:$AF$30,1)/COUNTIFS('4'!$AG$25:$AG$30,$AK15,'4'!$AF$25:$AF$30,1))</f>
        <v/>
      </c>
      <c r="AZ15" s="86" t="str">
        <f>IF(COUNTIFS('5'!$AG$25:$AG$30,$AK15,'5'!$AF$25:$AF$30,1)=0,"",SUMIFS('5'!$AC$25:$AC$30,'5'!$AG$25:$AG$30,$AK15,'5'!$AF$25:$AF$30,1)/COUNTIFS('5'!$AG$25:$AG$30,$AK15,'5'!$AF$25:$AF$30,1))</f>
        <v/>
      </c>
      <c r="BA15" s="86" t="str">
        <f>IF(COUNTIFS('6'!$AG$25:$AG$30,$AK15,'6'!$AF$25:$AF$30,1)=0,"",SUMIFS('6'!$AC$25:$AC$30,'6'!$AG$25:$AG$30,$AK15,'6'!$AF$25:$AF$30,1)/COUNTIFS('6'!$AG$25:$AG$30,$AK15,'6'!$AF$25:$AF$30,1))</f>
        <v/>
      </c>
      <c r="BB15" s="86" t="str">
        <f>IF(COUNTIFS('7'!$AG$30:$AG$35,$AK15,'7'!$AF$30:$AF$35,1)=0,"",SUMIFS('7'!$AC$30:$AC$35,'7'!$AG$30:$AG$35,$AK15,'7'!$AF$30:$AF$35,1)/COUNTIFS('7'!$AG$30:$AG$35,$AK15,'7'!$AF$30:$AF$35,1))</f>
        <v/>
      </c>
      <c r="BC15" s="86" t="str">
        <f>IF(COUNTIFS('8'!$AG$25:$AG$30,$AK15,'8'!$AF$25:$AF$30,1)=0,"",SUMIFS('8'!$AC$25:$AC$30,'8'!$AG$25:$AG$30,$AK15,'8'!$AF$25:$AF$30,1)/COUNTIFS('8'!$AG$25:$AG$30,$AK15,'8'!$AF$25:$AF$30,1))</f>
        <v/>
      </c>
      <c r="BD15" s="86" t="str">
        <f>IF(COUNTIFS('9'!$AG$25:$AG$30,$AK15,'9'!$AF$25:$AF$30,1)=0,"",SUMIFS('9'!$AC$25:$AC$30,'9'!$AG$25:$AG$30,$AK15,'9'!$AF$25:$AF$30,1)/COUNTIFS('9'!$AG$25:$AG$30,$AK15,'9'!$AF$25:$AF$30,1))</f>
        <v/>
      </c>
      <c r="BE15" s="86" t="str">
        <f>IF(COUNTIFS('10'!$AG$25:$AG$30,$AK15,'10'!$AF$25:$AF$30,1)=0,"",SUMIFS('10'!$AC$25:$AC$30,'10'!$AG$25:$AG$30,$AK15,'10'!$AF$25:$AF$30,1)/COUNTIFS('10'!$AG$25:$AG$30,$AK15,'10'!$AF$25:$AF$30,1))</f>
        <v/>
      </c>
      <c r="BF15" s="86" t="str">
        <f>IF(COUNTIFS('11'!$AG$25:$AG$30,$AK15,'11'!$AF$25:$AF$30,1)=0,"",SUMIFS('11'!$AC$25:$AC$30,'11'!$AG$25:$AG$30,$AK15,'11'!$AF$25:$AF$30,1)/COUNTIFS('11'!$AG$25:$AG$30,$AK15,'11'!$AF$25:$AF$30,1))</f>
        <v/>
      </c>
      <c r="BG15" s="86" t="str">
        <f>IF(COUNTIFS('12'!$AG$25:$AG$30,$AK15,'12'!$AF$25:$AF$30,1)=0,"",SUMIFS('12'!$AC$25:$AC$30,'12'!$AG$25:$AG$30,$AK15,'12'!$AF$25:$AF$30,1)/COUNTIFS('12'!$AG$25:$AG$30,$AK15,'12'!$AF$25:$AF$30,1))</f>
        <v/>
      </c>
      <c r="BH15" s="86" t="str">
        <f>IF(COUNTIFS('13'!$AG$25:$AG$30,$AK15,'13'!$AF$25:$AF$30,1)=0,"",SUMIFS('13'!$AC$25:$AC$30,'13'!$AG$25:$AG$30,$AK15,'13'!$AF$25:$AF$30,1)/COUNTIFS('13'!$AG$25:$AG$30,$AK15,'13'!$AF$25:$AF$30,1))</f>
        <v/>
      </c>
      <c r="BI15" s="86" t="str">
        <f>IF(COUNTIFS('14'!$AG$25:$AG$30,$AK15,'14'!$AF$25:$AF$30,1)=0,"",SUMIFS('14'!$AC$25:$AC$30,'14'!$AG$25:$AG$30,$AK15,'14'!$AF$25:$AF$30,1)/COUNTIFS('14'!$AG$25:$AG$30,$AK15,'14'!$AF$25:$AF$30,1))</f>
        <v/>
      </c>
      <c r="BJ15" s="86" t="str">
        <f>IF(COUNTIFS('15'!$AG$25:$AG$30,$AK15,'15'!$AF$25:$AF$30,1)=0,"",SUMIFS('15'!$AC$25:$AC$30,'15'!$AG$25:$AG$30,$AK15,'15'!$AF$25:$AF$30,1)/COUNTIFS('15'!$AG$25:$AG$30,$AK15,'15'!$AF$25:$AF$30,1))</f>
        <v/>
      </c>
      <c r="BK15" s="86" t="str">
        <f>IF(COUNTIFS('16'!$AG$25:$AG$30,$AK15,'16'!$AF$25:$AF$30,1)=0,"",SUMIFS('16'!$AC$25:$AC$30,'16'!$AG$25:$AG$30,$AK15,'16'!$AF$25:$AF$30,1)/COUNTIFS('16'!$AG$25:$AG$30,$AK15,'16'!$AF$25:$AF$30,1))</f>
        <v/>
      </c>
      <c r="BL15" s="86" t="str">
        <f>IF(COUNTIFS('17'!$AG$25:$AG$30,$AK15,'17'!$AF$25:$AF$30,1)=0,"",SUMIFS('17'!$AC$25:$AC$30,'17'!$AG$25:$AG$30,$AK15,'17'!$AF$25:$AF$30,1)/COUNTIFS('17'!$AG$25:$AG$30,$AK15,'17'!$AF$25:$AF$30,1))</f>
        <v/>
      </c>
      <c r="BM15" s="86" t="str">
        <f>IF(COUNTIFS('18'!$AG$25:$AG$30,$AK15,'18'!$AF$25:$AF$30,1)=0,"",SUMIFS('18'!$AC$25:$AC$30,'18'!$AG$25:$AG$30,$AK15,'18'!$AF$25:$AF$30,1)/COUNTIFS('18'!$AG$25:$AG$30,$AK15,'18'!$AF$25:$AF$30,1))</f>
        <v/>
      </c>
      <c r="BN15" s="86" t="str">
        <f>IF(COUNTIFS('19'!$AG$25:$AG$30,$AK15,'19'!$AF$25:$AF$30,1)=0,"",SUMIFS('19'!$AC$25:$AC$30,'19'!$AG$25:$AG$30,$AK15,'19'!$AF$25:$AF$30,1)/COUNTIFS('19'!$AG$25:$AG$30,$AK15,'19'!$AF$25:$AF$30,1))</f>
        <v/>
      </c>
      <c r="BO15" s="86" t="str">
        <f>IF(COUNTIFS('20'!$AG$25:$AG$30,$AK15,'20'!$AF$25:$AF$30,1)=0,"",SUMIFS('20'!$AC$25:$AC$30,'20'!$AG$25:$AG$30,$AK15,'20'!$AF$25:$AF$30,1)/COUNTIFS('20'!$AG$25:$AG$30,$AK15,'20'!$AF$25:$AF$30,1))</f>
        <v/>
      </c>
      <c r="BP15" s="86" t="str">
        <f>IF(COUNTIFS('21'!$AG$25:$AG$30,$AK15,'21'!$AF$25:$AF$30,1)=0,"",SUMIFS('21'!$AC$25:$AC$30,'21'!$AG$25:$AG$30,$AK15,'21'!$AF$25:$AF$30,1)/COUNTIFS('21'!$AG$25:$AG$30,$AK15,'21'!$AF$25:$AF$30,1))</f>
        <v/>
      </c>
      <c r="BQ15" s="86" t="str">
        <f>IF(COUNTIFS('22'!$AG$25:$AG$30,$AK15,'22'!$AF$25:$AF$30,1)=0,"",SUMIFS('22'!$AC$25:$AC$30,'22'!$AG$25:$AG$30,$AK15,'22'!$AF$25:$AF$30,1)/COUNTIFS('22'!$AG$25:$AG$30,$AK15,'22'!$AF$25:$AF$30,1))</f>
        <v/>
      </c>
      <c r="BR15" s="86" t="str">
        <f>IF(COUNTIFS('23'!$AG$25:$AG$30,$AK15,'23'!$AF$25:$AF$30,1)=0,"",SUMIFS('23'!$AC$25:$AC$30,'23'!$AG$25:$AG$30,$AK15,'23'!$AF$25:$AF$30,1)/COUNTIFS('23'!$AG$25:$AG$30,$AK15,'23'!$AF$25:$AF$30,1))</f>
        <v/>
      </c>
      <c r="BS15" s="86" t="str">
        <f>IF(COUNTIFS('24'!$AG$25:$AG$30,$AK15,'24'!$AF$25:$AF$30,1)=0,"",SUMIFS('24'!$AC$25:$AC$30,'24'!$AG$25:$AG$30,$AK15,'24'!$AF$25:$AF$30,1)/COUNTIFS('24'!$AG$25:$AG$30,$AK15,'24'!$AF$25:$AF$30,1))</f>
        <v/>
      </c>
      <c r="BT15" s="86" t="str">
        <f>IF(COUNTIFS('25'!$AG$25:$AG$30,$AK15,'25'!$AF$25:$AF$30,1)=0,"",SUMIFS('25'!$AC$25:$AC$30,'25'!$AG$25:$AG$30,$AK15,'25'!$AF$25:$AF$30,1)/COUNTIFS('25'!$AG$25:$AG$30,$AK15,'25'!$AF$25:$AF$30,1))</f>
        <v/>
      </c>
      <c r="BU15" s="86" t="str">
        <f>IF(COUNTIFS('26'!$AG$25:$AG$30,$AK15,'26'!$AF$25:$AF$30,1)=0,"",SUMIFS('26'!$AC$25:$AC$30,'26'!$AG$25:$AG$30,$AK15,'26'!$AF$25:$AF$30,1)/COUNTIFS('26'!$AG$25:$AG$30,$AK15,'26'!$AF$25:$AF$30,1))</f>
        <v/>
      </c>
      <c r="BV15" s="86" t="str">
        <f>IF(COUNTIFS('27'!$AG$25:$AG$30,$AK15,'27'!$AF$25:$AF$30,1)=0,"",SUMIFS('27'!$AC$25:$AC$30,'27'!$AG$25:$AG$30,$AK15,'27'!$AF$25:$AF$30,1)/COUNTIFS('27'!$AG$25:$AG$30,$AK15,'27'!$AF$25:$AF$30,1))</f>
        <v/>
      </c>
      <c r="BW15" s="86" t="str">
        <f>IF(COUNTIFS('28'!$AG$25:$AG$30,$AK15,'28'!$AF$25:$AF$30,1)=0,"",SUMIFS('28'!$AC$25:$AC$30,'28'!$AG$25:$AG$30,$AK15,'28'!$AF$25:$AF$30,1)/COUNTIFS('28'!$AG$25:$AG$30,$AK15,'28'!$AF$25:$AF$30,1))</f>
        <v/>
      </c>
      <c r="BX15" s="86" t="str">
        <f>IF(COUNTIFS('29'!$AG$25:$AG$30,$AK15,'29'!$AF$25:$AF$30,1)=0,"",SUMIFS('29'!$AC$25:$AC$30,'29'!$AG$25:$AG$30,$AK15,'29'!$AF$25:$AF$30,1)/COUNTIFS('29'!$AG$25:$AG$30,$AK15,'29'!$AF$25:$AF$30,1))</f>
        <v/>
      </c>
      <c r="BY15" s="86" t="str">
        <f>IF(COUNTIFS('30'!$AG$25:$AG$30,$AK15,'30'!$AF$25:$AF$30,1)=0,"",SUMIFS('30'!$AC$25:$AC$30,'30'!$AG$25:$AG$30,$AK15,'30'!$AF$25:$AF$30,1)/COUNTIFS('30'!$AG$25:$AG$30,$AK15,'30'!$AF$25:$AF$30,1))</f>
        <v/>
      </c>
      <c r="BZ15" s="8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1" t="str">
        <f>IF(LARGE($Y$5:$Y$17,11)=0,"",11)</f>
        <v/>
      </c>
      <c r="B16" s="141" t="str">
        <f t="shared" si="7"/>
        <v/>
      </c>
      <c r="C16" s="141" t="str">
        <f t="shared" si="8"/>
        <v/>
      </c>
      <c r="D16" s="142" t="str">
        <f t="shared" si="9"/>
        <v/>
      </c>
      <c r="E16" s="142" t="str">
        <f t="shared" si="10"/>
        <v/>
      </c>
      <c r="X16" s="86" t="s">
        <v>127</v>
      </c>
      <c r="Y16" s="86">
        <f>COUNTIF('1'!$D$4:$D$20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6">
        <f t="shared" si="1"/>
        <v>0.00002</v>
      </c>
    </row>
    <row r="17">
      <c r="A17" s="141" t="str">
        <f>IF(LARGE($Y$5:$Y$17,12)=0,"",12)</f>
        <v/>
      </c>
      <c r="B17" s="141" t="str">
        <f t="shared" si="7"/>
        <v/>
      </c>
      <c r="C17" s="141" t="str">
        <f t="shared" si="8"/>
        <v/>
      </c>
      <c r="D17" s="142" t="str">
        <f t="shared" si="9"/>
        <v/>
      </c>
      <c r="E17" s="142" t="str">
        <f t="shared" si="10"/>
        <v/>
      </c>
      <c r="X17" s="86" t="s">
        <v>128</v>
      </c>
      <c r="Y17" s="86">
        <f>COUNTIF('1'!$D$4:$D$20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86">
        <f t="shared" si="1"/>
        <v>0.00001</v>
      </c>
    </row>
    <row r="18">
      <c r="A18" s="141" t="str">
        <f>IF(LARGE($Y$5:$Y$17,13)=0,"",13)</f>
        <v/>
      </c>
      <c r="B18" s="141" t="str">
        <f t="shared" si="7"/>
        <v/>
      </c>
      <c r="C18" s="141" t="str">
        <f t="shared" si="8"/>
        <v/>
      </c>
      <c r="D18" s="142" t="str">
        <f t="shared" si="9"/>
        <v/>
      </c>
      <c r="E18" s="142" t="str">
        <f t="shared" si="10"/>
        <v/>
      </c>
      <c r="AV18" s="86" t="str">
        <f t="shared" ref="AV18:BZ18" si="11">IF(COUNT(AV5:AV15)=0,"",AVERAGE(AV5:AV15))</f>
        <v/>
      </c>
      <c r="AW18" s="86" t="str">
        <f t="shared" si="11"/>
        <v/>
      </c>
      <c r="AX18" s="86" t="str">
        <f t="shared" si="11"/>
        <v/>
      </c>
      <c r="AY18" s="86" t="str">
        <f t="shared" si="11"/>
        <v/>
      </c>
      <c r="AZ18" s="86" t="str">
        <f t="shared" si="11"/>
        <v/>
      </c>
      <c r="BA18" s="86" t="str">
        <f t="shared" si="11"/>
        <v/>
      </c>
      <c r="BB18" s="86" t="str">
        <f t="shared" si="11"/>
        <v/>
      </c>
      <c r="BC18" s="86" t="str">
        <f t="shared" si="11"/>
        <v/>
      </c>
      <c r="BD18" s="86" t="str">
        <f t="shared" si="11"/>
        <v/>
      </c>
      <c r="BE18" s="86" t="str">
        <f t="shared" si="11"/>
        <v/>
      </c>
      <c r="BF18" s="86" t="str">
        <f t="shared" si="11"/>
        <v/>
      </c>
      <c r="BG18" s="86" t="str">
        <f t="shared" si="11"/>
        <v/>
      </c>
      <c r="BH18" s="86" t="str">
        <f t="shared" si="11"/>
        <v/>
      </c>
      <c r="BI18" s="86" t="str">
        <f t="shared" si="11"/>
        <v/>
      </c>
      <c r="BJ18" s="86" t="str">
        <f t="shared" si="11"/>
        <v/>
      </c>
      <c r="BK18" s="86" t="str">
        <f t="shared" si="11"/>
        <v/>
      </c>
      <c r="BL18" s="86" t="str">
        <f t="shared" si="11"/>
        <v/>
      </c>
      <c r="BM18" s="86" t="str">
        <f t="shared" si="11"/>
        <v/>
      </c>
      <c r="BN18" s="86" t="str">
        <f t="shared" si="11"/>
        <v/>
      </c>
      <c r="BO18" s="86" t="str">
        <f t="shared" si="11"/>
        <v/>
      </c>
      <c r="BP18" s="86" t="str">
        <f t="shared" si="11"/>
        <v/>
      </c>
      <c r="BQ18" s="86" t="str">
        <f t="shared" si="11"/>
        <v/>
      </c>
      <c r="BR18" s="86" t="str">
        <f t="shared" si="11"/>
        <v/>
      </c>
      <c r="BS18" s="86" t="str">
        <f t="shared" si="11"/>
        <v/>
      </c>
      <c r="BT18" s="86" t="str">
        <f t="shared" si="11"/>
        <v/>
      </c>
      <c r="BU18" s="86" t="str">
        <f t="shared" si="11"/>
        <v/>
      </c>
      <c r="BV18" s="86" t="str">
        <f t="shared" si="11"/>
        <v/>
      </c>
      <c r="BW18" s="86" t="str">
        <f t="shared" si="11"/>
        <v/>
      </c>
      <c r="BX18" s="86" t="str">
        <f t="shared" si="11"/>
        <v/>
      </c>
      <c r="BY18" s="86" t="str">
        <f t="shared" si="11"/>
        <v/>
      </c>
      <c r="BZ18" s="86" t="str">
        <f t="shared" si="11"/>
        <v/>
      </c>
    </row>
    <row r="19">
      <c r="A19" s="141" t="s">
        <v>129</v>
      </c>
      <c r="C19" s="141">
        <f>SUM(C6:C18)</f>
        <v>12</v>
      </c>
      <c r="D19" s="142"/>
      <c r="E19" s="142">
        <f>SUM(D6:D18)</f>
        <v>1</v>
      </c>
    </row>
    <row r="21" ht="15.75" customHeight="1"/>
    <row r="22" ht="15.75" customHeight="1"/>
    <row r="23" ht="15.75" customHeight="1">
      <c r="A23" s="138" t="s">
        <v>130</v>
      </c>
      <c r="F23" s="138" t="s">
        <v>131</v>
      </c>
    </row>
    <row r="24" ht="15.75" customHeight="1">
      <c r="A24" s="139" t="s">
        <v>1</v>
      </c>
      <c r="B24" s="139" t="s">
        <v>132</v>
      </c>
      <c r="C24" s="139" t="s">
        <v>133</v>
      </c>
      <c r="D24" s="139" t="s">
        <v>134</v>
      </c>
      <c r="F24" s="139" t="s">
        <v>101</v>
      </c>
      <c r="G24" s="139" t="s">
        <v>7</v>
      </c>
      <c r="H24" s="139" t="s">
        <v>135</v>
      </c>
      <c r="I24" s="139" t="s">
        <v>136</v>
      </c>
    </row>
    <row r="25" ht="15.75" customHeight="1">
      <c r="A25" s="141" t="str">
        <f t="array" ref="A25">IF(LARGE($AC$5:$AC$15,1)=0,"",INDEX($AA$5:$AA$15,MATCH(LARGE($AD$5:$AD$15,1),$AD$5:$AD$15,0)))</f>
        <v>AMEL</v>
      </c>
      <c r="B25" s="141" t="str">
        <f t="shared" ref="B25:B35" si="12">IF(A25="","",INDEX($AB$5:$AB$15,MATCH(A25,$AA$5:$AA$15,0)))</f>
        <v>Admin/CS</v>
      </c>
      <c r="C25" s="141">
        <f t="shared" ref="C25:C35" si="13">IF(A25="","",INDEX($AC$5:$AC$15,MATCH(A25,$AA$5:$AA$15,0)))</f>
        <v>2</v>
      </c>
      <c r="D25" s="142">
        <f t="shared" ref="D25:D35" si="14">IF(A25="","",IFERROR(C25/SUM($C$25:$C$35),0))</f>
        <v>0.5</v>
      </c>
      <c r="F25" s="141">
        <f>IF(LARGE($AF$5:$AF$9,1)=0,"",1)</f>
        <v>1</v>
      </c>
      <c r="G25" s="141" t="str">
        <f t="shared" ref="G25:G29" si="15">IF(F25="","",INDEX($AE$5:$AE$9,MATCH(LARGE($AG$5:$AG$9,F25),$AG$5:$AG$9,0)))</f>
        <v>AMEL</v>
      </c>
      <c r="H25" s="141">
        <f t="shared" ref="H25:H29" si="16">IF(G25="","",INDEX($AF$5:$AF$9,MATCH(G25,$AE$5:$AE$9,0)))</f>
        <v>14</v>
      </c>
      <c r="I25" s="142">
        <f t="shared" ref="I25:I29" si="17">IF(H25="","",IFERROR(H25/SUM($H$25:$H$29),0))</f>
        <v>1</v>
      </c>
    </row>
    <row r="26" ht="15.75" customHeight="1">
      <c r="A26" s="141" t="str">
        <f t="array" ref="A26">IF(LARGE($AC$5:$AC$15,2)=0,"",INDEX($AA$5:$AA$15,MATCH(LARGE($AD$5:$AD$15,2),$AD$5:$AD$15,0)))</f>
        <v>ADIF</v>
      </c>
      <c r="B26" s="141" t="str">
        <f t="shared" si="12"/>
        <v>Fotografer</v>
      </c>
      <c r="C26" s="141">
        <f t="shared" si="13"/>
        <v>2</v>
      </c>
      <c r="D26" s="142">
        <f t="shared" si="14"/>
        <v>0.5</v>
      </c>
      <c r="F26" s="141" t="str">
        <f>IF(LARGE($AF$5:$AF$9,2)=0,"",2)</f>
        <v/>
      </c>
      <c r="G26" s="141" t="str">
        <f t="shared" si="15"/>
        <v/>
      </c>
      <c r="H26" s="141" t="str">
        <f t="shared" si="16"/>
        <v/>
      </c>
      <c r="I26" s="142" t="str">
        <f t="shared" si="17"/>
        <v/>
      </c>
    </row>
    <row r="27" ht="15.75" customHeight="1">
      <c r="A27" s="141" t="str">
        <f t="array" ref="A27">IF(LARGE($AC$5:$AC$15,3)=0,"",INDEX($AA$5:$AA$15,MATCH(LARGE($AD$5:$AD$15,3),$AD$5:$AD$15,0)))</f>
        <v/>
      </c>
      <c r="B27" s="141" t="str">
        <f t="shared" si="12"/>
        <v/>
      </c>
      <c r="C27" s="141" t="str">
        <f t="shared" si="13"/>
        <v/>
      </c>
      <c r="D27" s="142" t="str">
        <f t="shared" si="14"/>
        <v/>
      </c>
      <c r="F27" s="141" t="str">
        <f>IF(LARGE($AF$5:$AF$9,3)=0,"",3)</f>
        <v/>
      </c>
      <c r="G27" s="141" t="str">
        <f t="shared" si="15"/>
        <v/>
      </c>
      <c r="H27" s="141" t="str">
        <f t="shared" si="16"/>
        <v/>
      </c>
      <c r="I27" s="142" t="str">
        <f t="shared" si="17"/>
        <v/>
      </c>
    </row>
    <row r="28" ht="15.75" customHeight="1">
      <c r="A28" s="141" t="str">
        <f t="array" ref="A28">IF(LARGE($AC$5:$AC$15,4)=0,"",INDEX($AA$5:$AA$15,MATCH(LARGE($AD$5:$AD$15,4),$AD$5:$AD$15,0)))</f>
        <v/>
      </c>
      <c r="B28" s="141" t="str">
        <f t="shared" si="12"/>
        <v/>
      </c>
      <c r="C28" s="141" t="str">
        <f t="shared" si="13"/>
        <v/>
      </c>
      <c r="D28" s="142" t="str">
        <f t="shared" si="14"/>
        <v/>
      </c>
      <c r="F28" s="141" t="str">
        <f>IF(LARGE($AF$5:$AF$9,4)=0,"",4)</f>
        <v/>
      </c>
      <c r="G28" s="141" t="str">
        <f t="shared" si="15"/>
        <v/>
      </c>
      <c r="H28" s="141" t="str">
        <f t="shared" si="16"/>
        <v/>
      </c>
      <c r="I28" s="142" t="str">
        <f t="shared" si="17"/>
        <v/>
      </c>
    </row>
    <row r="29" ht="15.75" customHeight="1">
      <c r="A29" s="141" t="str">
        <f t="array" ref="A29">IF(LARGE($AC$5:$AC$15,5)=0,"",INDEX($AA$5:$AA$15,MATCH(LARGE($AD$5:$AD$15,5),$AD$5:$AD$15,0)))</f>
        <v/>
      </c>
      <c r="B29" s="141" t="str">
        <f t="shared" si="12"/>
        <v/>
      </c>
      <c r="C29" s="141" t="str">
        <f t="shared" si="13"/>
        <v/>
      </c>
      <c r="D29" s="142" t="str">
        <f t="shared" si="14"/>
        <v/>
      </c>
      <c r="F29" s="141" t="str">
        <f>IF(LARGE($AF$5:$AF$9,5)=0,"",5)</f>
        <v/>
      </c>
      <c r="G29" s="141" t="str">
        <f t="shared" si="15"/>
        <v/>
      </c>
      <c r="H29" s="141" t="str">
        <f t="shared" si="16"/>
        <v/>
      </c>
      <c r="I29" s="142" t="str">
        <f t="shared" si="17"/>
        <v/>
      </c>
    </row>
    <row r="30" ht="15.75" customHeight="1">
      <c r="A30" s="141" t="str">
        <f t="array" ref="A30">IF(LARGE($AC$5:$AC$15,6)=0,"",INDEX($AA$5:$AA$15,MATCH(LARGE($AD$5:$AD$15,6),$AD$5:$AD$15,0)))</f>
        <v/>
      </c>
      <c r="B30" s="141" t="str">
        <f t="shared" si="12"/>
        <v/>
      </c>
      <c r="C30" s="141" t="str">
        <f t="shared" si="13"/>
        <v/>
      </c>
      <c r="D30" s="142" t="str">
        <f t="shared" si="14"/>
        <v/>
      </c>
    </row>
    <row r="31" ht="15.75" customHeight="1">
      <c r="A31" s="141" t="str">
        <f t="array" ref="A31">IF(LARGE($AC$5:$AC$15,7)=0,"",INDEX($AA$5:$AA$15,MATCH(LARGE($AD$5:$AD$15,7),$AD$5:$AD$15,0)))</f>
        <v/>
      </c>
      <c r="B31" s="141" t="str">
        <f t="shared" si="12"/>
        <v/>
      </c>
      <c r="C31" s="141" t="str">
        <f t="shared" si="13"/>
        <v/>
      </c>
      <c r="D31" s="142" t="str">
        <f t="shared" si="14"/>
        <v/>
      </c>
      <c r="F31" s="138" t="s">
        <v>137</v>
      </c>
    </row>
    <row r="32" ht="15.75" customHeight="1">
      <c r="A32" s="141" t="str">
        <f t="array" ref="A32">IF(LARGE($AC$5:$AC$15,8)=0,"",INDEX($AA$5:$AA$15,MATCH(LARGE($AD$5:$AD$15,8),$AD$5:$AD$15,0)))</f>
        <v/>
      </c>
      <c r="B32" s="141" t="str">
        <f t="shared" si="12"/>
        <v/>
      </c>
      <c r="C32" s="141" t="str">
        <f t="shared" si="13"/>
        <v/>
      </c>
      <c r="D32" s="142" t="str">
        <f t="shared" si="14"/>
        <v/>
      </c>
      <c r="F32" s="139" t="s">
        <v>101</v>
      </c>
      <c r="G32" s="139" t="s">
        <v>117</v>
      </c>
      <c r="H32" s="139" t="s">
        <v>135</v>
      </c>
      <c r="I32" s="139" t="s">
        <v>136</v>
      </c>
    </row>
    <row r="33" ht="15.75" customHeight="1">
      <c r="A33" s="141" t="str">
        <f t="array" ref="A33">IF(LARGE($AC$5:$AC$15,9)=0,"",INDEX($AA$5:$AA$15,MATCH(LARGE($AD$5:$AD$15,9),$AD$5:$AD$15,0)))</f>
        <v/>
      </c>
      <c r="B33" s="141" t="str">
        <f t="shared" si="12"/>
        <v/>
      </c>
      <c r="C33" s="141" t="str">
        <f t="shared" si="13"/>
        <v/>
      </c>
      <c r="D33" s="142" t="str">
        <f t="shared" si="14"/>
        <v/>
      </c>
      <c r="F33" s="141">
        <f>IF(LARGE($AI$5:$AI$10,1)=0,"",1)</f>
        <v>1</v>
      </c>
      <c r="G33" s="141" t="str">
        <f t="shared" ref="G33:G38" si="18">IF(F33="","",INDEX($AH$5:$AH$10,MATCH(LARGE($AJ$5:$AJ$10,F33),$AJ$5:$AJ$10,0)))</f>
        <v>ADIF</v>
      </c>
      <c r="H33" s="141">
        <f t="shared" ref="H33:H38" si="19">IF(G33="","",INDEX($AI$5:$AI$10,MATCH(G33,$AH$5:$AH$10,0)))</f>
        <v>7</v>
      </c>
      <c r="I33" s="142">
        <f t="shared" ref="I33:I38" si="20">IF(H33="","",IFERROR(H33/SUM($H$33:$H$38),0))</f>
        <v>1</v>
      </c>
    </row>
    <row r="34" ht="15.75" customHeight="1">
      <c r="A34" s="141" t="str">
        <f t="array" ref="A34">IF(LARGE($AC$5:$AC$15,10)=0,"",INDEX($AA$5:$AA$15,MATCH(LARGE($AD$5:$AD$15,10),$AD$5:$AD$15,0)))</f>
        <v/>
      </c>
      <c r="B34" s="141" t="str">
        <f t="shared" si="12"/>
        <v/>
      </c>
      <c r="C34" s="141" t="str">
        <f t="shared" si="13"/>
        <v/>
      </c>
      <c r="D34" s="142" t="str">
        <f t="shared" si="14"/>
        <v/>
      </c>
      <c r="F34" s="141" t="str">
        <f>IF(LARGE($AI$5:$AI$10,2)=0,"",2)</f>
        <v/>
      </c>
      <c r="G34" s="141" t="str">
        <f t="shared" si="18"/>
        <v/>
      </c>
      <c r="H34" s="141" t="str">
        <f t="shared" si="19"/>
        <v/>
      </c>
      <c r="I34" s="142" t="str">
        <f t="shared" si="20"/>
        <v/>
      </c>
    </row>
    <row r="35" ht="15.75" customHeight="1">
      <c r="A35" s="141" t="str">
        <f t="array" ref="A35">IF(LARGE($AC$5:$AC$15,11)=0,"",INDEX($AA$5:$AA$15,MATCH(LARGE($AD$5:$AD$15,11),$AD$5:$AD$15,0)))</f>
        <v/>
      </c>
      <c r="B35" s="141" t="str">
        <f t="shared" si="12"/>
        <v/>
      </c>
      <c r="C35" s="141" t="str">
        <f t="shared" si="13"/>
        <v/>
      </c>
      <c r="D35" s="142" t="str">
        <f t="shared" si="14"/>
        <v/>
      </c>
      <c r="F35" s="141" t="str">
        <f>IF(LARGE($AI$5:$AI$10,3)=0,"",3)</f>
        <v/>
      </c>
      <c r="G35" s="141" t="str">
        <f t="shared" si="18"/>
        <v/>
      </c>
      <c r="H35" s="141" t="str">
        <f t="shared" si="19"/>
        <v/>
      </c>
      <c r="I35" s="142" t="str">
        <f t="shared" si="20"/>
        <v/>
      </c>
    </row>
    <row r="36" ht="15.75" customHeight="1">
      <c r="F36" s="141" t="str">
        <f>IF(LARGE($AI$5:$AI$10,4)=0,"",4)</f>
        <v/>
      </c>
      <c r="G36" s="141" t="str">
        <f t="shared" si="18"/>
        <v/>
      </c>
      <c r="H36" s="141" t="str">
        <f t="shared" si="19"/>
        <v/>
      </c>
      <c r="I36" s="142" t="str">
        <f t="shared" si="20"/>
        <v/>
      </c>
    </row>
    <row r="37" ht="15.75" customHeight="1">
      <c r="F37" s="141" t="str">
        <f>IF(LARGE($AI$5:$AI$10,5)=0,"",5)</f>
        <v/>
      </c>
      <c r="G37" s="141" t="str">
        <f t="shared" si="18"/>
        <v/>
      </c>
      <c r="H37" s="141" t="str">
        <f t="shared" si="19"/>
        <v/>
      </c>
      <c r="I37" s="142" t="str">
        <f t="shared" si="20"/>
        <v/>
      </c>
    </row>
    <row r="38" ht="15.75" customHeight="1">
      <c r="F38" s="141" t="str">
        <f>IF(LARGE($AI$5:$AI$10,6)=0,"",6)</f>
        <v/>
      </c>
      <c r="G38" s="141" t="str">
        <f t="shared" si="18"/>
        <v/>
      </c>
      <c r="H38" s="141" t="str">
        <f t="shared" si="19"/>
        <v/>
      </c>
      <c r="I38" s="14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8" t="s">
        <v>138</v>
      </c>
    </row>
    <row r="44" ht="15.75" customHeight="1"/>
    <row r="45" ht="15.75" customHeight="1">
      <c r="A45" s="139" t="s">
        <v>85</v>
      </c>
      <c r="D45" s="139" t="s">
        <v>139</v>
      </c>
      <c r="G45" s="139" t="s">
        <v>140</v>
      </c>
      <c r="J45" s="139" t="s">
        <v>141</v>
      </c>
    </row>
    <row r="46" ht="15.75" customHeight="1">
      <c r="A46" s="147" t="str">
        <f>IF(COUNTIF($C$51:$C$61,"&gt;0")=0,"",AVERAGEIF($D$51:$D$61,"&gt;0",$D$51:$D$61))</f>
        <v/>
      </c>
      <c r="D46" s="147" t="str">
        <f>IF(COUNTIFS($B$51:$B$61,"Admin/CS",$C$51:$C$61,"&gt;0")=0,"",SUMIFS($D$51:$D$61,$B$51:$B$61,"Admin/CS",$C$51:$C$61,"&gt;0")/COUNTIFS($B$51:$B$61,"Admin/CS",$C$51:$C$61,"&gt;0"))</f>
        <v/>
      </c>
      <c r="G46" s="147" t="str">
        <f>IF(COUNTIFS($B$51:$B$61,"Fotografer",$C$51:$C$61,"&gt;0")=0,"",SUMIFS($D$51:$D$61,$B$51:$B$61,"Fotografer",$C$51:$C$61,"&gt;0")/COUNTIFS($B$51:$B$61,"Fotografer",$C$51:$C$61,"&gt;0"))</f>
        <v/>
      </c>
      <c r="J46" s="148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39" t="s">
        <v>1</v>
      </c>
      <c r="B50" s="139" t="s">
        <v>132</v>
      </c>
      <c r="C50" s="139" t="s">
        <v>90</v>
      </c>
      <c r="D50" s="139" t="s">
        <v>91</v>
      </c>
      <c r="E50" s="139" t="s">
        <v>62</v>
      </c>
      <c r="F50" s="139" t="s">
        <v>63</v>
      </c>
      <c r="G50" s="139" t="s">
        <v>64</v>
      </c>
      <c r="H50" s="139" t="s">
        <v>65</v>
      </c>
      <c r="I50" s="139" t="s">
        <v>66</v>
      </c>
      <c r="J50" s="139" t="s">
        <v>142</v>
      </c>
      <c r="K50" s="139" t="s">
        <v>143</v>
      </c>
    </row>
    <row r="51" ht="15.75" customHeight="1">
      <c r="A51" s="141" t="str">
        <f t="shared" ref="A51:C51" si="21">AK5</f>
        <v>INDAH</v>
      </c>
      <c r="B51" s="141" t="str">
        <f t="shared" si="21"/>
        <v>Admin/CS</v>
      </c>
      <c r="C51" s="149">
        <f t="shared" si="21"/>
        <v>0</v>
      </c>
      <c r="D51" s="142" t="str">
        <f t="shared" ref="D51:D61" si="23">IF(C51=0,"",AN5/100)</f>
        <v/>
      </c>
      <c r="E51" s="150" t="str">
        <f t="shared" ref="E51:E61" si="24">IF(C51=0,"",AO5)</f>
        <v/>
      </c>
      <c r="F51" s="150" t="str">
        <f t="shared" ref="F51:F61" si="25">IF(C51=0,"",AP5)</f>
        <v/>
      </c>
      <c r="G51" s="150" t="str">
        <f t="shared" ref="G51:G61" si="26">IF(C51=0,"",AQ5)</f>
        <v/>
      </c>
      <c r="H51" s="150" t="str">
        <f t="shared" ref="H51:H61" si="27">IF(C51=0,"",AR5)</f>
        <v/>
      </c>
      <c r="I51" s="150" t="str">
        <f t="shared" ref="I51:I61" si="28">IF(C51=0,"",AS5)</f>
        <v/>
      </c>
      <c r="J51" s="141" t="str">
        <f t="shared" ref="J51:J61" si="29">IF(D51="","Belum Dinilai",IF(D51&gt;=0.9,"Sangat Baik",IF(D51&gt;=0.8,"Baik",IF(D51&gt;=0.7,"Coaching","Underperform"))))</f>
        <v>Belum Dinilai</v>
      </c>
      <c r="K51" s="9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1" t="str">
        <f t="shared" ref="A52:C52" si="22">AK6</f>
        <v>ADDEL</v>
      </c>
      <c r="B52" s="141" t="str">
        <f t="shared" si="22"/>
        <v>Admin/CS</v>
      </c>
      <c r="C52" s="149">
        <f t="shared" si="22"/>
        <v>0</v>
      </c>
      <c r="D52" s="142" t="str">
        <f t="shared" si="23"/>
        <v/>
      </c>
      <c r="E52" s="150" t="str">
        <f t="shared" si="24"/>
        <v/>
      </c>
      <c r="F52" s="150" t="str">
        <f t="shared" si="25"/>
        <v/>
      </c>
      <c r="G52" s="150" t="str">
        <f t="shared" si="26"/>
        <v/>
      </c>
      <c r="H52" s="150" t="str">
        <f t="shared" si="27"/>
        <v/>
      </c>
      <c r="I52" s="150" t="str">
        <f t="shared" si="28"/>
        <v/>
      </c>
      <c r="J52" s="141" t="str">
        <f t="shared" si="29"/>
        <v>Belum Dinilai</v>
      </c>
      <c r="K52" s="98" t="str">
        <f t="shared" si="30"/>
        <v>Belum Ada</v>
      </c>
    </row>
    <row r="53" ht="15.75" customHeight="1">
      <c r="A53" s="141" t="str">
        <f t="shared" ref="A53:C53" si="31">AK7</f>
        <v>AMEL</v>
      </c>
      <c r="B53" s="141" t="str">
        <f t="shared" si="31"/>
        <v>Admin/CS</v>
      </c>
      <c r="C53" s="149">
        <f t="shared" si="31"/>
        <v>0</v>
      </c>
      <c r="D53" s="142" t="str">
        <f t="shared" si="23"/>
        <v/>
      </c>
      <c r="E53" s="150" t="str">
        <f t="shared" si="24"/>
        <v/>
      </c>
      <c r="F53" s="150" t="str">
        <f t="shared" si="25"/>
        <v/>
      </c>
      <c r="G53" s="150" t="str">
        <f t="shared" si="26"/>
        <v/>
      </c>
      <c r="H53" s="150" t="str">
        <f t="shared" si="27"/>
        <v/>
      </c>
      <c r="I53" s="150" t="str">
        <f t="shared" si="28"/>
        <v/>
      </c>
      <c r="J53" s="141" t="str">
        <f t="shared" si="29"/>
        <v>Belum Dinilai</v>
      </c>
      <c r="K53" s="98" t="str">
        <f t="shared" si="30"/>
        <v>Belum Ada</v>
      </c>
    </row>
    <row r="54" ht="15.75" customHeight="1">
      <c r="A54" s="141" t="str">
        <f t="shared" ref="A54:C54" si="32">AK8</f>
        <v>PENTIL</v>
      </c>
      <c r="B54" s="141" t="str">
        <f t="shared" si="32"/>
        <v>Admin/CS</v>
      </c>
      <c r="C54" s="149">
        <f t="shared" si="32"/>
        <v>0</v>
      </c>
      <c r="D54" s="142" t="str">
        <f t="shared" si="23"/>
        <v/>
      </c>
      <c r="E54" s="150" t="str">
        <f t="shared" si="24"/>
        <v/>
      </c>
      <c r="F54" s="150" t="str">
        <f t="shared" si="25"/>
        <v/>
      </c>
      <c r="G54" s="150" t="str">
        <f t="shared" si="26"/>
        <v/>
      </c>
      <c r="H54" s="150" t="str">
        <f t="shared" si="27"/>
        <v/>
      </c>
      <c r="I54" s="150" t="str">
        <f t="shared" si="28"/>
        <v/>
      </c>
      <c r="J54" s="141" t="str">
        <f t="shared" si="29"/>
        <v>Belum Dinilai</v>
      </c>
      <c r="K54" s="98" t="str">
        <f t="shared" si="30"/>
        <v>Belum Ada</v>
      </c>
    </row>
    <row r="55" ht="15.75" customHeight="1">
      <c r="A55" s="141" t="str">
        <f t="shared" ref="A55:C55" si="33">AK9</f>
        <v>JIJANG</v>
      </c>
      <c r="B55" s="141" t="str">
        <f t="shared" si="33"/>
        <v>Admin/CS</v>
      </c>
      <c r="C55" s="149">
        <f t="shared" si="33"/>
        <v>0</v>
      </c>
      <c r="D55" s="142" t="str">
        <f t="shared" si="23"/>
        <v/>
      </c>
      <c r="E55" s="150" t="str">
        <f t="shared" si="24"/>
        <v/>
      </c>
      <c r="F55" s="150" t="str">
        <f t="shared" si="25"/>
        <v/>
      </c>
      <c r="G55" s="150" t="str">
        <f t="shared" si="26"/>
        <v/>
      </c>
      <c r="H55" s="150" t="str">
        <f t="shared" si="27"/>
        <v/>
      </c>
      <c r="I55" s="150" t="str">
        <f t="shared" si="28"/>
        <v/>
      </c>
      <c r="J55" s="141" t="str">
        <f t="shared" si="29"/>
        <v>Belum Dinilai</v>
      </c>
      <c r="K55" s="98" t="str">
        <f t="shared" si="30"/>
        <v>Belum Ada</v>
      </c>
    </row>
    <row r="56" ht="15.75" customHeight="1">
      <c r="A56" s="141" t="str">
        <f t="shared" ref="A56:C56" si="34">AK10</f>
        <v>HANIF</v>
      </c>
      <c r="B56" s="141" t="str">
        <f t="shared" si="34"/>
        <v>Fotografer</v>
      </c>
      <c r="C56" s="149">
        <f t="shared" si="34"/>
        <v>0</v>
      </c>
      <c r="D56" s="142" t="str">
        <f t="shared" si="23"/>
        <v/>
      </c>
      <c r="E56" s="150" t="str">
        <f t="shared" si="24"/>
        <v/>
      </c>
      <c r="F56" s="150" t="str">
        <f t="shared" si="25"/>
        <v/>
      </c>
      <c r="G56" s="150" t="str">
        <f t="shared" si="26"/>
        <v/>
      </c>
      <c r="H56" s="150" t="str">
        <f t="shared" si="27"/>
        <v/>
      </c>
      <c r="I56" s="150" t="str">
        <f t="shared" si="28"/>
        <v/>
      </c>
      <c r="J56" s="141" t="str">
        <f t="shared" si="29"/>
        <v>Belum Dinilai</v>
      </c>
      <c r="K56" s="98" t="str">
        <f t="shared" si="30"/>
        <v>Belum Ada</v>
      </c>
    </row>
    <row r="57" ht="15.75" customHeight="1">
      <c r="A57" s="141" t="str">
        <f t="shared" ref="A57:C57" si="35">AK11</f>
        <v>FAHME</v>
      </c>
      <c r="B57" s="141" t="str">
        <f t="shared" si="35"/>
        <v>Fotografer</v>
      </c>
      <c r="C57" s="149">
        <f t="shared" si="35"/>
        <v>0</v>
      </c>
      <c r="D57" s="142" t="str">
        <f t="shared" si="23"/>
        <v/>
      </c>
      <c r="E57" s="150" t="str">
        <f t="shared" si="24"/>
        <v/>
      </c>
      <c r="F57" s="150" t="str">
        <f t="shared" si="25"/>
        <v/>
      </c>
      <c r="G57" s="150" t="str">
        <f t="shared" si="26"/>
        <v/>
      </c>
      <c r="H57" s="150" t="str">
        <f t="shared" si="27"/>
        <v/>
      </c>
      <c r="I57" s="150" t="str">
        <f t="shared" si="28"/>
        <v/>
      </c>
      <c r="J57" s="141" t="str">
        <f t="shared" si="29"/>
        <v>Belum Dinilai</v>
      </c>
      <c r="K57" s="98" t="str">
        <f t="shared" si="30"/>
        <v>Belum Ada</v>
      </c>
    </row>
    <row r="58" ht="15.75" customHeight="1">
      <c r="A58" s="141" t="str">
        <f t="shared" ref="A58:C58" si="36">AK12</f>
        <v>ADIF</v>
      </c>
      <c r="B58" s="141" t="str">
        <f t="shared" si="36"/>
        <v>Fotografer</v>
      </c>
      <c r="C58" s="149">
        <f t="shared" si="36"/>
        <v>0</v>
      </c>
      <c r="D58" s="142" t="str">
        <f t="shared" si="23"/>
        <v/>
      </c>
      <c r="E58" s="150" t="str">
        <f t="shared" si="24"/>
        <v/>
      </c>
      <c r="F58" s="150" t="str">
        <f t="shared" si="25"/>
        <v/>
      </c>
      <c r="G58" s="150" t="str">
        <f t="shared" si="26"/>
        <v/>
      </c>
      <c r="H58" s="150" t="str">
        <f t="shared" si="27"/>
        <v/>
      </c>
      <c r="I58" s="150" t="str">
        <f t="shared" si="28"/>
        <v/>
      </c>
      <c r="J58" s="141" t="str">
        <f t="shared" si="29"/>
        <v>Belum Dinilai</v>
      </c>
      <c r="K58" s="98" t="str">
        <f t="shared" si="30"/>
        <v>Belum Ada</v>
      </c>
    </row>
    <row r="59" ht="15.75" customHeight="1">
      <c r="A59" s="141" t="str">
        <f t="shared" ref="A59:C59" si="37">AK13</f>
        <v>ABROR</v>
      </c>
      <c r="B59" s="141" t="str">
        <f t="shared" si="37"/>
        <v>Fotografer</v>
      </c>
      <c r="C59" s="149">
        <f t="shared" si="37"/>
        <v>0</v>
      </c>
      <c r="D59" s="142" t="str">
        <f t="shared" si="23"/>
        <v/>
      </c>
      <c r="E59" s="150" t="str">
        <f t="shared" si="24"/>
        <v/>
      </c>
      <c r="F59" s="150" t="str">
        <f t="shared" si="25"/>
        <v/>
      </c>
      <c r="G59" s="150" t="str">
        <f t="shared" si="26"/>
        <v/>
      </c>
      <c r="H59" s="150" t="str">
        <f t="shared" si="27"/>
        <v/>
      </c>
      <c r="I59" s="150" t="str">
        <f t="shared" si="28"/>
        <v/>
      </c>
      <c r="J59" s="141" t="str">
        <f t="shared" si="29"/>
        <v>Belum Dinilai</v>
      </c>
      <c r="K59" s="98" t="str">
        <f t="shared" si="30"/>
        <v>Belum Ada</v>
      </c>
    </row>
    <row r="60" ht="15.75" customHeight="1">
      <c r="A60" s="141" t="str">
        <f t="shared" ref="A60:C60" si="38">AK14</f>
        <v>FADEL</v>
      </c>
      <c r="B60" s="141" t="str">
        <f t="shared" si="38"/>
        <v>Fotografer</v>
      </c>
      <c r="C60" s="149">
        <f t="shared" si="38"/>
        <v>0</v>
      </c>
      <c r="D60" s="142" t="str">
        <f t="shared" si="23"/>
        <v/>
      </c>
      <c r="E60" s="150" t="str">
        <f t="shared" si="24"/>
        <v/>
      </c>
      <c r="F60" s="150" t="str">
        <f t="shared" si="25"/>
        <v/>
      </c>
      <c r="G60" s="150" t="str">
        <f t="shared" si="26"/>
        <v/>
      </c>
      <c r="H60" s="150" t="str">
        <f t="shared" si="27"/>
        <v/>
      </c>
      <c r="I60" s="150" t="str">
        <f t="shared" si="28"/>
        <v/>
      </c>
      <c r="J60" s="141" t="str">
        <f t="shared" si="29"/>
        <v>Belum Dinilai</v>
      </c>
      <c r="K60" s="98" t="str">
        <f t="shared" si="30"/>
        <v>Belum Ada</v>
      </c>
    </row>
    <row r="61" ht="15.75" customHeight="1">
      <c r="A61" s="141" t="str">
        <f t="shared" ref="A61:C61" si="39">AK15</f>
        <v>SAKA</v>
      </c>
      <c r="B61" s="141" t="str">
        <f t="shared" si="39"/>
        <v>Fotografer</v>
      </c>
      <c r="C61" s="149">
        <f t="shared" si="39"/>
        <v>0</v>
      </c>
      <c r="D61" s="142" t="str">
        <f t="shared" si="23"/>
        <v/>
      </c>
      <c r="E61" s="150" t="str">
        <f t="shared" si="24"/>
        <v/>
      </c>
      <c r="F61" s="150" t="str">
        <f t="shared" si="25"/>
        <v/>
      </c>
      <c r="G61" s="150" t="str">
        <f t="shared" si="26"/>
        <v/>
      </c>
      <c r="H61" s="150" t="str">
        <f t="shared" si="27"/>
        <v/>
      </c>
      <c r="I61" s="150" t="str">
        <f t="shared" si="28"/>
        <v/>
      </c>
      <c r="J61" s="141" t="str">
        <f t="shared" si="29"/>
        <v>Belum Dinilai</v>
      </c>
      <c r="K61" s="98" t="str">
        <f t="shared" si="30"/>
        <v>Belum Ada</v>
      </c>
    </row>
    <row r="62" ht="15.75" customHeight="1"/>
    <row r="63" ht="15.75" customHeight="1"/>
    <row r="64" ht="15.75" customHeight="1">
      <c r="A64" s="151" t="s">
        <v>144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