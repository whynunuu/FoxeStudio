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JqIqcJ24dUTAaG8YHVsb47zDFUk2V1dMB5yUm/0C1BU="/>
    </ext>
  </extLst>
</workbook>
</file>

<file path=xl/sharedStrings.xml><?xml version="1.0" encoding="utf-8"?>
<sst xmlns="http://schemas.openxmlformats.org/spreadsheetml/2006/main" count="4479" uniqueCount="564">
  <si>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</si>
  <si>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</si>
  <si>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</si>
  <si>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</si>
  <si>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</si>
  <si>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</si>
  <si>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</si>
  <si>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</si>
  <si>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</si>
  <si>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</si>
  <si>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</si>
  <si>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</si>
  <si>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</si>
  <si>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</si>
  <si>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</si>
  <si>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</si>
  <si>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</si>
  <si>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</si>
  <si>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</si>
  <si>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</si>
  <si>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</si>
  <si>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1. Sandlyra</t>
  </si>
  <si>
    <t>Graduation</t>
  </si>
  <si>
    <t>6 okt</t>
  </si>
  <si>
    <t>DP</t>
  </si>
  <si>
    <t>Lunas</t>
  </si>
  <si>
    <t>Uploaded</t>
  </si>
  <si>
    <t>Pending</t>
  </si>
  <si>
    <t>AMEL</t>
  </si>
  <si>
    <t>INDAH</t>
  </si>
  <si>
    <t>Fajar Alfani</t>
  </si>
  <si>
    <t>Rara</t>
  </si>
  <si>
    <t>Riski Mulyawan Pangestu d</t>
  </si>
  <si>
    <t>Wisnu pamungkas</t>
  </si>
  <si>
    <t>Photofox</t>
  </si>
  <si>
    <t>Add Cetak</t>
  </si>
  <si>
    <t>1 okt</t>
  </si>
  <si>
    <t>3 okt</t>
  </si>
  <si>
    <t>4 okt</t>
  </si>
  <si>
    <t>Elnie</t>
  </si>
  <si>
    <t>-</t>
  </si>
  <si>
    <t>Pratama</t>
  </si>
  <si>
    <t>ADIF</t>
  </si>
  <si>
    <t>Single</t>
  </si>
  <si>
    <t>Graduation Premium</t>
  </si>
  <si>
    <t xml:space="preserve"> 4 okt</t>
  </si>
  <si>
    <t>Nadia</t>
  </si>
  <si>
    <t>17 okt</t>
  </si>
  <si>
    <t>22 okt</t>
  </si>
  <si>
    <t>Adinda Putri Suwarno</t>
  </si>
  <si>
    <t>alya</t>
  </si>
  <si>
    <t>10 okt</t>
  </si>
  <si>
    <t>VERO</t>
  </si>
  <si>
    <t>Rotho</t>
  </si>
  <si>
    <t>Large Group</t>
  </si>
  <si>
    <t>Wisnu Pamungkas</t>
  </si>
  <si>
    <t>Adi</t>
  </si>
  <si>
    <t>Family B</t>
  </si>
  <si>
    <t>4 OKT</t>
  </si>
  <si>
    <t>SAKA</t>
  </si>
  <si>
    <t xml:space="preserve"> Tuti Priyani</t>
  </si>
  <si>
    <t>Dian</t>
  </si>
  <si>
    <t>Uji</t>
  </si>
  <si>
    <t>Iqis</t>
  </si>
  <si>
    <t xml:space="preserve"> Sabrina</t>
  </si>
  <si>
    <t>Liaamalia</t>
  </si>
  <si>
    <t>Yeni A</t>
  </si>
  <si>
    <t>Studio Rent</t>
  </si>
  <si>
    <t>2 okt</t>
  </si>
  <si>
    <t>Nurul Indah Amalia</t>
  </si>
  <si>
    <t>Danisha</t>
  </si>
  <si>
    <t>Audi nisa</t>
  </si>
  <si>
    <t>Rani</t>
  </si>
  <si>
    <t>Bening</t>
  </si>
  <si>
    <t>Rachel</t>
  </si>
  <si>
    <t>Couple A</t>
  </si>
  <si>
    <t>Ulfa Nurul</t>
  </si>
  <si>
    <t>Add Edit</t>
  </si>
  <si>
    <t>Nasywaa</t>
  </si>
  <si>
    <t>27 sept</t>
  </si>
  <si>
    <t>Qonita</t>
  </si>
  <si>
    <t>FAHME</t>
  </si>
  <si>
    <t>Mufti</t>
  </si>
  <si>
    <t>alfian wicaksana</t>
  </si>
  <si>
    <t>Dedik Purwanto</t>
  </si>
  <si>
    <t>Utia</t>
  </si>
  <si>
    <t>Add cetak</t>
  </si>
  <si>
    <t>22 sept</t>
  </si>
  <si>
    <t>Qottrunannda maulidia</t>
  </si>
  <si>
    <t>aida</t>
  </si>
  <si>
    <t>Lutfia</t>
  </si>
  <si>
    <t>Bilqis</t>
  </si>
  <si>
    <t>Photo Fox</t>
  </si>
  <si>
    <t>ABROR</t>
  </si>
  <si>
    <t>Nabila hasna</t>
  </si>
  <si>
    <t>azhar</t>
  </si>
  <si>
    <t xml:space="preserve"> Bilqis</t>
  </si>
  <si>
    <t>Ilut</t>
  </si>
  <si>
    <t xml:space="preserve">Luthfi </t>
  </si>
  <si>
    <t>Oktriana</t>
  </si>
  <si>
    <t>All file</t>
  </si>
  <si>
    <t>Widika Aden Agatha</t>
  </si>
  <si>
    <t>Na Salsabila</t>
  </si>
  <si>
    <t>Rizka</t>
  </si>
  <si>
    <t>Gandring Guste</t>
  </si>
  <si>
    <t>oktafira</t>
  </si>
  <si>
    <t>wafi wafa</t>
  </si>
  <si>
    <t>ine amalia</t>
  </si>
  <si>
    <t>Zaidan Ariefyandi</t>
  </si>
  <si>
    <t>Afifah</t>
  </si>
  <si>
    <t xml:space="preserve">Sulton Hidayah Arrosid </t>
  </si>
  <si>
    <t>Rahayu</t>
  </si>
  <si>
    <t>Sali</t>
  </si>
  <si>
    <t>Reynaldo</t>
  </si>
  <si>
    <t>fedinda nara</t>
  </si>
  <si>
    <t>Helmi</t>
  </si>
  <si>
    <t>1. Pratama</t>
  </si>
  <si>
    <t>titin setiawan</t>
  </si>
  <si>
    <t>Caca</t>
  </si>
  <si>
    <t>Amelia Nur</t>
  </si>
  <si>
    <t>Nominal</t>
  </si>
  <si>
    <t>Shift</t>
  </si>
  <si>
    <t>niko</t>
  </si>
  <si>
    <t>Akira Aditya Pandya</t>
  </si>
  <si>
    <t>Pendapatan Tunai</t>
  </si>
  <si>
    <t>Tiffani Agil</t>
  </si>
  <si>
    <t>Afita Khoerunnisa</t>
  </si>
  <si>
    <t>salsa</t>
  </si>
  <si>
    <t>Admin 1</t>
  </si>
  <si>
    <t>Salli</t>
  </si>
  <si>
    <t>Mahendra Putra Wardhana</t>
  </si>
  <si>
    <t>bela</t>
  </si>
  <si>
    <t>Admin 2</t>
  </si>
  <si>
    <t>aghnia</t>
  </si>
  <si>
    <t>2. Dita</t>
  </si>
  <si>
    <t>andin</t>
  </si>
  <si>
    <t>Fotografer 1</t>
  </si>
  <si>
    <t>hanifah</t>
  </si>
  <si>
    <t>Riski Mulyawan Pangestu</t>
  </si>
  <si>
    <t>lala</t>
  </si>
  <si>
    <t>alif</t>
  </si>
  <si>
    <t>Akhmad Binangun</t>
  </si>
  <si>
    <t>sema</t>
  </si>
  <si>
    <t xml:space="preserve"> Fadila</t>
  </si>
  <si>
    <t>Fahmy Bagas</t>
  </si>
  <si>
    <t>Desti Ika C</t>
  </si>
  <si>
    <t>asrul ridho</t>
  </si>
  <si>
    <t>Fotografer 2</t>
  </si>
  <si>
    <t>Fakhrian Yoga Permana</t>
  </si>
  <si>
    <t>rio furqon</t>
  </si>
  <si>
    <t>KPI HARIAN | SKALA 1-5</t>
  </si>
  <si>
    <t>Wahyu setyaningsih</t>
  </si>
  <si>
    <t>nana</t>
  </si>
  <si>
    <t>Disiplin</t>
  </si>
  <si>
    <t>Dhabi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</si>
  <si>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</si>
  <si>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</si>
  <si>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</si>
  <si>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</si>
  <si>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</si>
  <si>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</si>
  <si>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</si>
  <si>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aulia hani</t>
  </si>
  <si>
    <t>Evaluated Flag</t>
  </si>
  <si>
    <t>Effective Name</t>
  </si>
  <si>
    <t>ilham zambrot</t>
  </si>
  <si>
    <t>Widyaloka</t>
  </si>
  <si>
    <t>allez galan</t>
  </si>
  <si>
    <t>Bensin</t>
  </si>
  <si>
    <t>Nina dwi</t>
  </si>
  <si>
    <t>Ezar Nadhif</t>
  </si>
  <si>
    <t>Hanan</t>
  </si>
  <si>
    <t>rendy nIlhamsyah</t>
  </si>
  <si>
    <t>Tika Dwi</t>
  </si>
  <si>
    <t>cibita</t>
  </si>
  <si>
    <t>Sifa</t>
  </si>
  <si>
    <t>Renaldy</t>
  </si>
  <si>
    <t>3. Karlina</t>
  </si>
  <si>
    <t>rizma</t>
  </si>
  <si>
    <t xml:space="preserve"> inaya</t>
  </si>
  <si>
    <t>restu</t>
  </si>
  <si>
    <t>arif</t>
  </si>
  <si>
    <t>Couple B</t>
  </si>
  <si>
    <t xml:space="preserve"> Nola</t>
  </si>
  <si>
    <t>1. Mayzila</t>
  </si>
  <si>
    <t>2. Desni</t>
  </si>
  <si>
    <t>3. Rindi</t>
  </si>
  <si>
    <t>4. Dinah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</si>
  <si>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</si>
  <si>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</si>
  <si>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</si>
  <si>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</si>
  <si>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</si>
  <si>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</si>
  <si>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</si>
  <si>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Skala: 1 Sangat Kurang | 2 Kurang | 3 Cukup | 4 Baik | 5 Sangat Baik | Jika Nama kosong, 4 baris pertama otomatis mengikuti urutan Shift</t>
  </si>
  <si>
    <t>Ridhoo</t>
  </si>
  <si>
    <t>ots</t>
  </si>
  <si>
    <t>ADMIN FOLLOW-UP</t>
  </si>
  <si>
    <t>Salsabila Nurlina</t>
  </si>
  <si>
    <t>Saving Contact</t>
  </si>
  <si>
    <t>Reminder</t>
  </si>
  <si>
    <t>Direct RO</t>
  </si>
  <si>
    <t>viona</t>
  </si>
  <si>
    <t>5R</t>
  </si>
  <si>
    <t>Sarapan Pagi Day 1 &amp; Day 2</t>
  </si>
  <si>
    <t>TODAY | LEADS &amp; TRANSAKSI</t>
  </si>
  <si>
    <t>Leads</t>
  </si>
  <si>
    <t>Total DP</t>
  </si>
  <si>
    <t>galon</t>
  </si>
  <si>
    <t>Sesi Foto</t>
  </si>
  <si>
    <t>Jumlah Transaksi Harian</t>
  </si>
  <si>
    <t>Conversion Rate</t>
  </si>
  <si>
    <t>baterai cinemon</t>
  </si>
  <si>
    <t>INDAH AMEL, ADDEL</t>
  </si>
  <si>
    <t>FG ADIF SAKA FAME VERO</t>
  </si>
  <si>
    <t>ADIF, SAKA</t>
  </si>
  <si>
    <t xml:space="preserve">ADMIN INDAH AMEL </t>
  </si>
  <si>
    <t>FAHME, ABROR</t>
  </si>
  <si>
    <t xml:space="preserve">RUNN ADDEL </t>
  </si>
  <si>
    <t>Danu</t>
  </si>
  <si>
    <t>9 okt</t>
  </si>
  <si>
    <t xml:space="preserve">Fida </t>
  </si>
  <si>
    <t>5 okt</t>
  </si>
  <si>
    <t>widyaloka</t>
  </si>
  <si>
    <t>salsabila nurlina</t>
  </si>
  <si>
    <t>Desti Ika Cahyani</t>
  </si>
  <si>
    <t>Kresna</t>
  </si>
  <si>
    <t>Tuti</t>
  </si>
  <si>
    <t>Yudi</t>
  </si>
  <si>
    <t>Novita</t>
  </si>
  <si>
    <t>Packing</t>
  </si>
  <si>
    <t>Riska alfiansi</t>
  </si>
  <si>
    <t>Puji</t>
  </si>
  <si>
    <t>OTS</t>
  </si>
  <si>
    <t>mustofa</t>
  </si>
  <si>
    <t>Anggi</t>
  </si>
  <si>
    <t>Bayu</t>
  </si>
  <si>
    <t>Mukti</t>
  </si>
  <si>
    <t>Bintang nay</t>
  </si>
  <si>
    <t>Bre</t>
  </si>
  <si>
    <t>Family A</t>
  </si>
  <si>
    <t>Zahra</t>
  </si>
  <si>
    <t>Hamdan Ismail S.N</t>
  </si>
  <si>
    <t>bre</t>
  </si>
  <si>
    <t>Athia Mayyada Faozi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</si>
  <si>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</si>
  <si>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syska</t>
  </si>
  <si>
    <t>tomi</t>
  </si>
  <si>
    <t>yudhi</t>
  </si>
  <si>
    <t>lavandula</t>
  </si>
  <si>
    <t>Ade evan</t>
  </si>
  <si>
    <t>anggi</t>
  </si>
  <si>
    <t>7 okt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</si>
  <si>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</si>
  <si>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</si>
  <si>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</si>
  <si>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</si>
  <si>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</si>
  <si>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</si>
  <si>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</si>
  <si>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penthil</t>
  </si>
  <si>
    <t>Ahmad</t>
  </si>
  <si>
    <t>8 okt</t>
  </si>
  <si>
    <t>10r, 16r</t>
  </si>
  <si>
    <t>16r.5r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</si>
  <si>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</si>
  <si>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</si>
  <si>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</si>
  <si>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</si>
  <si>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</si>
  <si>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</si>
  <si>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</si>
  <si>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</si>
  <si>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</si>
  <si>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</si>
  <si>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 xml:space="preserve"> Yora Wibowo</t>
  </si>
  <si>
    <t>liaamalia</t>
  </si>
  <si>
    <t>Pas Foto</t>
  </si>
  <si>
    <t>Isma</t>
  </si>
  <si>
    <t>elsan</t>
  </si>
  <si>
    <t>pradipta mahardika</t>
  </si>
  <si>
    <t>2 jam</t>
  </si>
  <si>
    <t>Couple C</t>
  </si>
  <si>
    <t>akmal fauzi</t>
  </si>
  <si>
    <t>reza raditya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</si>
  <si>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</si>
  <si>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</si>
  <si>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</si>
  <si>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</si>
  <si>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</si>
  <si>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</si>
  <si>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</si>
  <si>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</si>
  <si>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</si>
  <si>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</si>
  <si>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baterai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</si>
  <si>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</si>
  <si>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</si>
  <si>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</si>
  <si>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</si>
  <si>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</si>
  <si>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</si>
  <si>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</si>
  <si>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</si>
  <si>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</si>
  <si>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</si>
  <si>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</si>
  <si>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</si>
  <si>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</si>
  <si>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</si>
  <si>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</si>
  <si>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</si>
  <si>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</si>
  <si>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</si>
  <si>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Kingkin Alman</t>
  </si>
  <si>
    <t>kkn 75</t>
  </si>
  <si>
    <t>Mazya</t>
  </si>
  <si>
    <t>add 10R</t>
  </si>
  <si>
    <t>Aprilia</t>
  </si>
  <si>
    <t>Amrullah gilang</t>
  </si>
  <si>
    <t>pass photo</t>
  </si>
  <si>
    <t>Naya</t>
  </si>
  <si>
    <t>Niky</t>
  </si>
  <si>
    <t>Pradipta Mahardika</t>
  </si>
  <si>
    <t>Ela</t>
  </si>
  <si>
    <t>Dina</t>
  </si>
  <si>
    <t>Diana</t>
  </si>
  <si>
    <t>Hanifa</t>
  </si>
  <si>
    <t>Alor</t>
  </si>
  <si>
    <t>OSIS SMPN 2 PWT</t>
  </si>
  <si>
    <t>Rifka Alfiansi</t>
  </si>
  <si>
    <t>KKN 75</t>
  </si>
  <si>
    <t>Nicky</t>
  </si>
  <si>
    <t>Lala</t>
  </si>
  <si>
    <t>Niki</t>
  </si>
  <si>
    <t>Galon</t>
  </si>
  <si>
    <t>16R</t>
  </si>
  <si>
    <t>16R, 10R, 5R</t>
  </si>
  <si>
    <t>Belita Yoan Intania</t>
  </si>
  <si>
    <t>Sofia</t>
  </si>
  <si>
    <t>Dhimas Sulthan</t>
  </si>
  <si>
    <t>Deri</t>
  </si>
  <si>
    <t>MnM</t>
  </si>
  <si>
    <t xml:space="preserve"> Iin</t>
  </si>
  <si>
    <t>PIT S3 2026</t>
  </si>
  <si>
    <t>teater proses</t>
  </si>
  <si>
    <t>akhmad Binangun</t>
  </si>
  <si>
    <t>Pramuka MAN 1 Banyumas</t>
  </si>
  <si>
    <t>Fapet 22</t>
  </si>
  <si>
    <t>16 oct`</t>
  </si>
  <si>
    <t>cyntya</t>
  </si>
  <si>
    <t>dea salsabila</t>
  </si>
  <si>
    <t>Anton</t>
  </si>
  <si>
    <t xml:space="preserve"> Reno</t>
  </si>
  <si>
    <t>Dini</t>
  </si>
  <si>
    <t>Prirahayu</t>
  </si>
  <si>
    <t>Nasrul NM</t>
  </si>
  <si>
    <t>cythia</t>
  </si>
  <si>
    <t>Rahma</t>
  </si>
  <si>
    <t>Lila</t>
  </si>
  <si>
    <t>Fida</t>
  </si>
  <si>
    <t>Ghazan</t>
  </si>
  <si>
    <t>Attha</t>
  </si>
  <si>
    <t>Okta</t>
  </si>
  <si>
    <t>zahra</t>
  </si>
  <si>
    <t>Atika Febriana</t>
  </si>
  <si>
    <t>alexa</t>
  </si>
  <si>
    <t>Kunci rak</t>
  </si>
  <si>
    <t>Ezar</t>
  </si>
  <si>
    <t>Zabrina</t>
  </si>
  <si>
    <t>vega</t>
  </si>
  <si>
    <t xml:space="preserve">Rosita </t>
  </si>
  <si>
    <t>Alexa</t>
  </si>
  <si>
    <t>Julian Doni S</t>
  </si>
  <si>
    <t>Fapet</t>
  </si>
  <si>
    <t>Manis</t>
  </si>
  <si>
    <t xml:space="preserve">Fahmi </t>
  </si>
  <si>
    <t>Miko</t>
  </si>
  <si>
    <t>5R, 10R, 16R</t>
  </si>
  <si>
    <t xml:space="preserve"> </t>
  </si>
  <si>
    <t xml:space="preserve">  Rifqi Firmansyah</t>
  </si>
  <si>
    <t>Musang Titut</t>
  </si>
  <si>
    <t>Indah Fitria</t>
  </si>
  <si>
    <t>Belita</t>
  </si>
  <si>
    <t>Vega</t>
  </si>
  <si>
    <t>amorza</t>
  </si>
  <si>
    <t>Dapong</t>
  </si>
  <si>
    <t>Abid Alwan</t>
  </si>
  <si>
    <t>Tuti Kumalasari</t>
  </si>
  <si>
    <t>Nasrul</t>
  </si>
  <si>
    <t>Amorza</t>
  </si>
  <si>
    <t>Mnm</t>
  </si>
  <si>
    <t>Lyra</t>
  </si>
  <si>
    <t xml:space="preserve">Dedik </t>
  </si>
  <si>
    <t>Add 10R</t>
  </si>
  <si>
    <t>Wiwi</t>
  </si>
  <si>
    <t>Iin</t>
  </si>
  <si>
    <t>Jay</t>
  </si>
  <si>
    <t>Davita</t>
  </si>
  <si>
    <t>Leonie</t>
  </si>
  <si>
    <t>18 octt</t>
  </si>
  <si>
    <t>Julian Doni</t>
  </si>
  <si>
    <t>Kharisma</t>
  </si>
  <si>
    <t>Fahmi</t>
  </si>
  <si>
    <t>Fajar Alfian</t>
  </si>
  <si>
    <t>Fadel</t>
  </si>
  <si>
    <t>Reno</t>
  </si>
  <si>
    <t>Saka</t>
  </si>
  <si>
    <t>Rifqi</t>
  </si>
  <si>
    <t>atun putra</t>
  </si>
  <si>
    <t xml:space="preserve">Dhimas Sulthan </t>
  </si>
  <si>
    <t>Fina</t>
  </si>
  <si>
    <t>Yora</t>
  </si>
  <si>
    <t>amel, indah</t>
  </si>
  <si>
    <t>Fahme</t>
  </si>
  <si>
    <t>Baterai</t>
  </si>
  <si>
    <t>adif, saka</t>
  </si>
  <si>
    <t>Afdal</t>
  </si>
  <si>
    <t>navin</t>
  </si>
  <si>
    <t>Have</t>
  </si>
  <si>
    <t>Musang titut</t>
  </si>
  <si>
    <t>Putri</t>
  </si>
  <si>
    <t>10R 2</t>
  </si>
  <si>
    <t>martin</t>
  </si>
  <si>
    <t>Navin</t>
  </si>
  <si>
    <t>25-29</t>
  </si>
  <si>
    <t>21 Oktober</t>
  </si>
  <si>
    <t>afilia</t>
  </si>
  <si>
    <t>dip</t>
  </si>
  <si>
    <t>Teater proses</t>
  </si>
  <si>
    <t>sanci</t>
  </si>
  <si>
    <t>22 oktober</t>
  </si>
  <si>
    <t>Abid alwan</t>
  </si>
  <si>
    <t>kkg kelompok 1</t>
  </si>
  <si>
    <t>20 oktober</t>
  </si>
  <si>
    <t>Gagas</t>
  </si>
  <si>
    <t>vlora</t>
  </si>
  <si>
    <t>Nana</t>
  </si>
  <si>
    <t>Dept. Internal HIMAKOM UNSOED DP</t>
  </si>
  <si>
    <t>Afilila</t>
  </si>
  <si>
    <t>fadel</t>
  </si>
  <si>
    <t>Affan</t>
  </si>
  <si>
    <t>backup adif</t>
  </si>
  <si>
    <t>Aisyah</t>
  </si>
  <si>
    <t>Naila</t>
  </si>
  <si>
    <t>Delinda</t>
  </si>
  <si>
    <t xml:space="preserve"> 1 jam</t>
  </si>
  <si>
    <t>Aisha</t>
  </si>
  <si>
    <t xml:space="preserve">Ar Rahman Tanjung </t>
  </si>
  <si>
    <t>Rian Nurahman</t>
  </si>
  <si>
    <t xml:space="preserve">tidak berkenan up di sosmed </t>
  </si>
  <si>
    <t>Martina</t>
  </si>
  <si>
    <t>16R,10R</t>
  </si>
  <si>
    <t>Cherisna</t>
  </si>
  <si>
    <t>nawasena</t>
  </si>
  <si>
    <t>Rea</t>
  </si>
  <si>
    <t>Fauzan bahy</t>
  </si>
  <si>
    <t>Vlora</t>
  </si>
  <si>
    <t>Atun Putra</t>
  </si>
  <si>
    <t>Fadhlah</t>
  </si>
  <si>
    <t>AM. Yulia Mutmainah</t>
  </si>
  <si>
    <t>Adhibara</t>
  </si>
  <si>
    <t>Andriya</t>
  </si>
  <si>
    <t>Laila</t>
  </si>
  <si>
    <t>Inaya</t>
  </si>
  <si>
    <t>Devita</t>
  </si>
  <si>
    <t>Aya</t>
  </si>
  <si>
    <t>Ar Rahman Tanjung</t>
  </si>
  <si>
    <t>aisha</t>
  </si>
  <si>
    <t>Sanci</t>
  </si>
  <si>
    <t>Malika</t>
  </si>
  <si>
    <t>Niken</t>
  </si>
  <si>
    <t>Zulfa</t>
  </si>
  <si>
    <t>Naura</t>
  </si>
  <si>
    <t>Fajarpeloo</t>
  </si>
  <si>
    <t>Kamil</t>
  </si>
  <si>
    <t>HILMI</t>
  </si>
  <si>
    <t>zeidan</t>
  </si>
  <si>
    <t>niken</t>
  </si>
  <si>
    <t>Zeidan</t>
  </si>
  <si>
    <t>fame</t>
  </si>
  <si>
    <t>Plastik</t>
  </si>
  <si>
    <t>Vera Desita Amelia</t>
  </si>
  <si>
    <t>Intan</t>
  </si>
  <si>
    <t>Shalma</t>
  </si>
  <si>
    <t>Alifka</t>
  </si>
  <si>
    <t>Dokumsi</t>
  </si>
  <si>
    <t>sofia</t>
  </si>
  <si>
    <t>oct</t>
  </si>
  <si>
    <t>hana</t>
  </si>
  <si>
    <t>Ganisyuri</t>
  </si>
  <si>
    <t>Hana</t>
  </si>
  <si>
    <t>Cita</t>
  </si>
  <si>
    <t>pass photo + proyektor + add time</t>
  </si>
  <si>
    <t>Wildan Ramadhani</t>
  </si>
  <si>
    <t>Devi</t>
  </si>
  <si>
    <t>Suha</t>
  </si>
  <si>
    <t>Faiz</t>
  </si>
  <si>
    <t>Acha</t>
  </si>
  <si>
    <t>8 sept</t>
  </si>
  <si>
    <t>Chersina</t>
  </si>
  <si>
    <t>Muhamad Irsyad</t>
  </si>
  <si>
    <t>Amelia</t>
  </si>
  <si>
    <t>Muzaki Eka</t>
  </si>
  <si>
    <t>Chava</t>
  </si>
  <si>
    <t>all file</t>
  </si>
  <si>
    <t>Lutfih Kharisma</t>
  </si>
  <si>
    <t>Abed Cinemoon</t>
  </si>
  <si>
    <t>lutfi</t>
  </si>
  <si>
    <t>27 okt</t>
  </si>
  <si>
    <t>Devinta Khoerunisa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</si>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</sst>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dotted">
        <color rgb="FF000000"/>
      </bottom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21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4" numFmtId="0" xfId="0" applyAlignment="1" applyBorder="1" applyFill="1" applyFont="1">
      <alignment horizontal="center" readingOrder="0" vertical="center"/>
    </xf>
    <xf borderId="2" fillId="2" fontId="3" numFmtId="0" xfId="0" applyAlignment="1" applyBorder="1" applyFill="1" applyFont="1">
      <alignment horizontal="center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2" fillId="4" fontId="3" numFmtId="0" xfId="0" applyAlignment="1" applyBorder="1" applyFill="1" applyFont="1">
      <alignment horizontal="center" vertical="center"/>
    </xf>
    <xf borderId="2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0" xfId="0" applyAlignment="1" applyBorder="1" applyFont="1">
      <alignment horizontal="center" readingOrder="0"/>
    </xf>
    <xf borderId="7" fillId="0" fontId="1" numFmtId="164" xfId="0" applyAlignment="1" applyBorder="1" applyFont="1" applyNumberFormat="1">
      <alignment horizontal="center" readingOrder="0" vertical="center"/>
    </xf>
    <xf borderId="8" fillId="0" fontId="1" numFmtId="165" xfId="0" applyBorder="1" applyFont="1" applyNumberFormat="1"/>
    <xf borderId="3" fillId="0" fontId="6" numFmtId="165" xfId="0" applyAlignment="1" applyBorder="1" applyFont="1" applyNumberFormat="1">
      <alignment horizontal="right" vertical="center"/>
    </xf>
    <xf borderId="3" fillId="0" fontId="1" numFmtId="165" xfId="0" applyAlignment="1" applyBorder="1" applyFont="1" applyNumberFormat="1">
      <alignment horizontal="center"/>
    </xf>
    <xf borderId="2" fillId="0" fontId="6" numFmtId="165" xfId="0" applyAlignment="1" applyBorder="1" applyFont="1" applyNumberFormat="1">
      <alignment horizontal="right" readingOrder="0"/>
    </xf>
    <xf borderId="7" fillId="0" fontId="6" numFmtId="165" xfId="0" applyAlignment="1" applyBorder="1" applyFont="1" applyNumberFormat="1">
      <alignment horizontal="right" readingOrder="0" vertical="center"/>
    </xf>
    <xf borderId="7" fillId="0" fontId="6" numFmtId="165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horizontal="center" readingOrder="0" vertical="center"/>
    </xf>
    <xf borderId="2" fillId="0" fontId="1" numFmtId="0" xfId="0" applyAlignment="1" applyBorder="1" applyFont="1">
      <alignment horizontal="center" vertical="center"/>
    </xf>
    <xf borderId="2" fillId="0" fontId="1" numFmtId="164" xfId="0" applyAlignment="1" applyBorder="1" applyFont="1" applyNumberFormat="1">
      <alignment horizontal="center" vertical="center"/>
    </xf>
    <xf borderId="3" fillId="0" fontId="1" numFmtId="165" xfId="0" applyAlignment="1" applyBorder="1" applyFont="1" applyNumberFormat="1">
      <alignment horizontal="center" readingOrder="0"/>
    </xf>
    <xf borderId="7" fillId="0" fontId="7" numFmtId="0" xfId="0" applyAlignment="1" applyBorder="1" applyFont="1">
      <alignment horizontal="center" readingOrder="0"/>
    </xf>
    <xf borderId="7" fillId="0" fontId="6" numFmtId="165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 vertical="center"/>
    </xf>
    <xf borderId="3" fillId="0" fontId="6" numFmtId="165" xfId="0" applyAlignment="1" applyBorder="1" applyFont="1" applyNumberFormat="1">
      <alignment horizontal="right" readingOrder="0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3" fillId="0" fontId="1" numFmtId="165" xfId="0" applyBorder="1" applyFont="1" applyNumberFormat="1"/>
    <xf borderId="2" fillId="0" fontId="6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horizontal="right" readingOrder="0"/>
    </xf>
    <xf borderId="1" fillId="0" fontId="8" numFmtId="0" xfId="0" applyAlignment="1" applyBorder="1" applyFont="1">
      <alignment horizontal="center" readingOrder="0" vertical="center"/>
    </xf>
    <xf borderId="0" fillId="0" fontId="1" numFmtId="0" xfId="0" applyAlignment="1" applyFont="1">
      <alignment horizontal="center" readingOrder="0"/>
    </xf>
    <xf borderId="7" fillId="0" fontId="1" numFmtId="9" xfId="0" applyAlignment="1" applyBorder="1" applyFont="1" applyNumberFormat="1">
      <alignment vertical="bottom"/>
    </xf>
    <xf borderId="11" fillId="0" fontId="1" numFmtId="0" xfId="0" applyAlignment="1" applyBorder="1" applyFont="1">
      <alignment horizontal="center" readingOrder="0" vertical="bottom"/>
    </xf>
    <xf borderId="10" fillId="0" fontId="2" numFmtId="0" xfId="0" applyAlignment="1" applyBorder="1" applyFont="1">
      <alignment horizontal="center" readingOrder="0" vertical="center"/>
    </xf>
    <xf borderId="7" fillId="0" fontId="1" numFmtId="9" xfId="0" applyAlignment="1" applyBorder="1" applyFont="1" applyNumberFormat="1">
      <alignment horizontal="center" vertical="bottom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center" readingOrder="0"/>
    </xf>
    <xf borderId="0" fillId="0" fontId="9" numFmtId="0" xfId="0" applyAlignment="1" applyFon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/>
    </xf>
    <xf borderId="7" fillId="0" fontId="1" numFmtId="167" xfId="0" applyAlignment="1" applyBorder="1" applyFont="1" applyNumberFormat="1">
      <alignment horizontal="center" readingOrder="0"/>
    </xf>
    <xf borderId="1" fillId="0" fontId="4" numFmtId="0" xfId="0" applyAlignment="1" applyBorder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6" numFmtId="165" xfId="0" applyAlignment="1" applyBorder="1" applyFont="1" applyNumberFormat="1">
      <alignment horizontal="right" vertical="center"/>
    </xf>
    <xf borderId="7" fillId="0" fontId="2" numFmtId="0" xfId="0" applyAlignment="1" applyBorder="1" applyFont="1">
      <alignment horizontal="center" vertical="bottom"/>
    </xf>
    <xf borderId="0" fillId="0" fontId="7" numFmtId="0" xfId="0" applyAlignment="1" applyFont="1">
      <alignment horizontal="center" readingOrder="0"/>
    </xf>
    <xf borderId="7" fillId="0" fontId="1" numFmtId="167" xfId="0" applyAlignment="1" applyBorder="1" applyFont="1" applyNumberFormat="1">
      <alignment horizontal="center"/>
    </xf>
    <xf borderId="3" fillId="0" fontId="1" numFmtId="165" xfId="0" applyAlignment="1" applyBorder="1" applyFont="1" applyNumberFormat="1">
      <alignment readingOrder="0"/>
    </xf>
    <xf borderId="0" fillId="0" fontId="1" numFmtId="3" xfId="0" applyAlignment="1" applyFont="1" applyNumberFormat="1">
      <alignment horizontal="center" readingOrder="0" vertical="center"/>
    </xf>
    <xf borderId="11" fillId="0" fontId="1" numFmtId="0" xfId="0" applyAlignment="1" applyBorder="1" applyFont="1">
      <alignment horizontal="center" readingOrder="0" vertical="center"/>
    </xf>
    <xf borderId="0" fillId="0" fontId="2" numFmtId="0" xfId="0" applyFont="1"/>
    <xf borderId="7" fillId="4" fontId="2" numFmtId="165" xfId="0" applyAlignment="1" applyBorder="1" applyFill="1" applyFont="1" applyNumberFormat="1">
      <alignment horizontal="center" vertical="center"/>
    </xf>
    <xf borderId="7" fillId="0" fontId="1" numFmtId="0" xfId="0" applyAlignment="1" applyBorder="1" applyFont="1">
      <alignment readingOrder="0" vertical="bottom"/>
    </xf>
    <xf borderId="6" fillId="5" fontId="6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9" fillId="0" fontId="2" numFmtId="0" xfId="0" applyAlignment="1" applyBorder="1" applyFont="1">
      <alignment horizontal="center" vertical="center"/>
    </xf>
    <xf borderId="12" fillId="0" fontId="4" numFmtId="0" xfId="0" applyAlignment="1" applyBorder="1" applyFont="1">
      <alignment horizontal="center" readingOrder="0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7" fillId="0" fontId="2" numFmtId="0" xfId="0" applyAlignment="1" applyBorder="1" applyFont="1">
      <alignment horizontal="center" vertical="center"/>
    </xf>
    <xf borderId="2" fillId="6" fontId="1" numFmtId="0" xfId="0" applyAlignment="1" applyBorder="1" applyFill="1" applyFont="1">
      <alignment horizontal="left" vertical="center"/>
    </xf>
    <xf borderId="2" fillId="0" fontId="1" numFmtId="0" xfId="0" applyAlignment="1" applyBorder="1" applyFont="1">
      <alignment horizontal="center" readingOrder="0" vertical="center"/>
    </xf>
    <xf borderId="7" fillId="0" fontId="4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Border="1" applyFill="1" applyFont="1"/>
    <xf borderId="9" fillId="7" fontId="2" numFmtId="165" xfId="0" applyAlignment="1" applyBorder="1" applyFill="1" applyFont="1" applyNumberFormat="1">
      <alignment horizontal="right"/>
    </xf>
    <xf borderId="6" fillId="6" fontId="1" numFmtId="0" xfId="0" applyAlignment="1" applyBorder="1" applyFill="1" applyFont="1">
      <alignment horizontal="left" vertical="center"/>
    </xf>
    <xf borderId="6" fillId="0" fontId="1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readingOrder="0" vertical="center"/>
    </xf>
    <xf borderId="7" fillId="5" fontId="2" numFmtId="165" xfId="0" applyAlignment="1" applyBorder="1" applyFill="1" applyFont="1" applyNumberFormat="1">
      <alignment horizontal="center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7" fillId="0" fontId="1" numFmtId="165" xfId="0" applyBorder="1" applyFont="1" applyNumberFormat="1"/>
    <xf borderId="7" fillId="0" fontId="1" numFmtId="166" xfId="0" applyAlignment="1" applyBorder="1" applyFont="1" applyNumberFormat="1">
      <alignment horizontal="center" vertical="center"/>
    </xf>
    <xf borderId="0" fillId="0" fontId="1" numFmtId="0" xfId="0" applyAlignment="1" applyFont="1">
      <alignment horizontal="left" vertical="center"/>
    </xf>
    <xf borderId="7" fillId="0" fontId="1" numFmtId="164" xfId="0" applyAlignment="1" applyBorder="1" applyFont="1" applyNumberFormat="1">
      <alignment horizontal="center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9" fillId="7" fontId="2" numFmtId="0" xfId="0" applyAlignment="1" applyBorder="1" applyFill="1" applyFont="1">
      <alignment readingOrder="0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9" fillId="7" fontId="2" numFmtId="165" xfId="0" applyAlignment="1" applyBorder="1" applyFill="1" applyFont="1" applyNumberFormat="1">
      <alignment horizontal="right" readingOrder="0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/>
    </xf>
    <xf borderId="7" fillId="0" fontId="2" numFmtId="165" xfId="0" applyAlignment="1" applyBorder="1" applyFont="1" applyNumberFormat="1">
      <alignment horizontal="right" vertical="center"/>
    </xf>
    <xf borderId="1" fillId="0" fontId="4" numFmtId="0" xfId="0" applyAlignment="1" applyBorder="1" applyFont="1">
      <alignment horizontal="center"/>
    </xf>
    <xf borderId="7" fillId="0" fontId="2" numFmtId="165" xfId="0" applyAlignment="1" applyBorder="1" applyFont="1" applyNumberFormat="1">
      <alignment horizontal="right" readingOrder="0" vertical="center"/>
    </xf>
    <xf borderId="7" fillId="0" fontId="1" numFmtId="9" xfId="0" applyAlignment="1" applyBorder="1" applyFont="1" applyNumberFormat="1">
      <alignment horizontal="center"/>
    </xf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6" fillId="4" fontId="2" numFmtId="165" xfId="0" applyAlignment="1" applyBorder="1" applyFill="1" applyFont="1" applyNumberFormat="1">
      <alignment horizontal="center" vertical="center"/>
    </xf>
    <xf borderId="0" fillId="11" fontId="11" numFmtId="0" xfId="0" applyAlignment="1" applyFill="1" applyFont="1">
      <alignment horizontal="center" shrinkToFit="0" vertical="center" wrapText="1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9" fillId="0" fontId="2" numFmtId="165" xfId="0" applyAlignment="1" applyBorder="1" applyFont="1" applyNumberFormat="1">
      <alignment horizontal="center" vertical="center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9" fillId="7" fontId="2" numFmtId="0" xfId="0" applyAlignment="1" applyBorder="1" applyFill="1" applyFont="1">
      <alignment horizontal="center" readingOrder="0" vertical="center"/>
    </xf>
    <xf borderId="0" fillId="14" fontId="14" numFmtId="0" xfId="0" applyAlignment="1" applyFill="1" applyFont="1">
      <alignment horizontal="center" shrinkToFit="0" vertical="center" wrapText="0"/>
    </xf>
    <xf borderId="9" fillId="7" fontId="2" numFmtId="165" xfId="0" applyAlignment="1" applyBorder="1" applyFill="1" applyFont="1" applyNumberFormat="1">
      <alignment horizontal="center" readingOrder="0" vertical="center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9" fillId="7" fontId="2" numFmtId="165" xfId="0" applyAlignment="1" applyBorder="1" applyFill="1" applyFont="1" applyNumberFormat="1">
      <alignment horizontal="center" vertical="center"/>
    </xf>
    <xf borderId="0" fillId="15" fontId="12" numFmtId="168" xfId="0" applyAlignment="1" applyFill="1" applyFont="1" applyNumberFormat="1">
      <alignment horizontal="center" shrinkToFit="0" vertical="center" wrapText="0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2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7" numFmtId="0" xfId="0" applyAlignment="1" applyFont="1">
      <alignment horizontal="center"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7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0" fillId="0" fontId="1" numFmtId="0" xfId="0" applyAlignment="1" applyFont="1">
      <alignment vertical="center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7" xfId="0" applyAlignment="1" applyBorder="1" applyFont="1" applyNumberFormat="1">
      <alignment horizontal="center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6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6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6" numFmtId="165" xfId="0" applyAlignment="1" applyBorder="1" applyFont="1" applyNumberFormat="1">
      <alignment horizontal="center" readingOrder="0"/>
    </xf>
    <xf borderId="7" fillId="0" fontId="6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3" fillId="0" fontId="2" numFmtId="167" xfId="0" applyAlignment="1" applyBorder="1" applyFont="1" applyNumberFormat="1">
      <alignment horizontal="right" readingOrder="0"/>
    </xf>
    <xf borderId="7" fillId="0" fontId="1" numFmtId="0" xfId="0" applyAlignment="1" applyBorder="1" applyFont="1">
      <alignment readingOrder="0"/>
    </xf>
    <xf borderId="7" fillId="0" fontId="1" numFmtId="0" xfId="0" applyBorder="1" applyFont="1"/>
    <xf borderId="0" fillId="0" fontId="1" numFmtId="0" xfId="0" applyAlignment="1" applyFont="1">
      <alignment horizontal="center" readingOrder="0" vertical="bottom"/>
    </xf>
    <xf borderId="7" fillId="0" fontId="1" numFmtId="167" xfId="0" applyAlignment="1" applyBorder="1" applyFont="1" applyNumberFormat="1">
      <alignment horizontal="center" vertical="center"/>
    </xf>
    <xf borderId="0" fillId="0" fontId="2" numFmtId="0" xfId="0" applyAlignment="1" applyFont="1">
      <alignment horizontal="center" readingOrder="0"/>
    </xf>
    <xf borderId="0" fillId="0" fontId="1" numFmtId="0" xfId="0" applyAlignment="1" applyFont="1">
      <alignment horizontal="center" readingOrder="0" shrinkToFit="0" wrapText="1"/>
    </xf>
    <xf borderId="11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right" readingOrder="0" vertic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0" fillId="4" fontId="1" numFmtId="0" xfId="0" applyAlignment="1" applyFill="1" applyFont="1">
      <alignment readingOrder="0"/>
    </xf>
    <xf borderId="8" fillId="0" fontId="2" numFmtId="165" xfId="0" applyAlignment="1" applyBorder="1" applyFont="1" applyNumberFormat="1">
      <alignment horizontal="right" vertical="center"/>
    </xf>
    <xf borderId="2" fillId="0" fontId="6" numFmtId="165" xfId="0" applyAlignment="1" applyBorder="1" applyFont="1" applyNumberFormat="1">
      <alignment horizontal="right" readingOrder="0" vertical="center"/>
    </xf>
    <xf borderId="8" fillId="0" fontId="2" numFmtId="165" xfId="0" applyAlignment="1" applyBorder="1" applyFont="1" applyNumberFormat="1">
      <alignment horizontal="right" readingOrder="0" vertical="center"/>
    </xf>
    <xf borderId="2" fillId="0" fontId="6" numFmtId="165" xfId="0" applyAlignment="1" applyBorder="1" applyFont="1" applyNumberFormat="1">
      <alignment horizontal="right" vertical="center"/>
    </xf>
    <xf borderId="11" fillId="16" fontId="1" numFmtId="0" xfId="0" applyAlignment="1" applyBorder="1" applyFill="1" applyFont="1">
      <alignment horizontal="center" readingOrder="0" vertical="bottom"/>
    </xf>
    <xf borderId="0" fillId="4" fontId="1" numFmtId="0" xfId="0" applyAlignment="1" applyFill="1" applyFont="1">
      <alignment horizontal="center" readingOrder="0" vertical="center"/>
    </xf>
    <xf borderId="7" fillId="0" fontId="1" numFmtId="9" xfId="0" applyAlignment="1" applyBorder="1" applyFont="1" applyNumberFormat="1">
      <alignment horizontal="center" readingOrder="0"/>
    </xf>
    <xf borderId="9" fillId="0" fontId="1" numFmtId="0" xfId="0" applyAlignment="1" applyBorder="1" applyFont="1">
      <alignment horizontal="center" readingOrder="0"/>
    </xf>
    <xf borderId="0" fillId="11" fontId="12" numFmtId="170" xfId="0" applyAlignment="1" applyFill="1" applyFont="1" applyNumberFormat="1">
      <alignment horizontal="center" readingOrder="0" shrinkToFit="0" vertical="center" wrapText="0"/>
    </xf>
    <xf borderId="11" fillId="0" fontId="1" numFmtId="0" xfId="0" applyAlignment="1" applyBorder="1" applyFont="1">
      <alignment horizontal="center" vertical="bottom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0" fontId="13" numFmtId="171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523360033"/>
        <c:axId val="12665302"/>
      </c:barChart>
      <c:catAx>
        <c:axId val="152336003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2665302"/>
      </c:catAx>
      <c:valAx>
        <c:axId val="1266530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52336003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983528932"/>
        <c:axId val="1064898278"/>
      </c:lineChart>
      <c:catAx>
        <c:axId val="9835289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064898278"/>
      </c:catAx>
      <c:valAx>
        <c:axId val="106489827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98352893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1" t="s">
        <v>22</v>
      </c>
      <c r="E4" s="23"/>
      <c r="F4" s="24" t="s">
        <v>23</v>
      </c>
      <c r="G4" s="28"/>
      <c r="H4" s="31">
        <v>100000.0</v>
      </c>
      <c r="I4" s="24" t="s">
        <v>24</v>
      </c>
      <c r="J4" s="17"/>
      <c r="K4" s="17"/>
      <c r="L4" s="24" t="s">
        <v>28</v>
      </c>
      <c r="M4" s="17"/>
      <c r="N4" s="33"/>
      <c r="O4" s="33"/>
      <c r="P4" s="34"/>
      <c r="Q4" s="1"/>
      <c r="R4" s="1"/>
    </row>
    <row r="5" ht="15.75" customHeight="1">
      <c r="A5" s="1"/>
      <c r="B5" s="17">
        <v>2.0</v>
      </c>
      <c r="C5" s="19" t="s">
        <v>31</v>
      </c>
      <c r="D5" s="21" t="s">
        <v>34</v>
      </c>
      <c r="E5" s="23"/>
      <c r="F5" s="24" t="s">
        <v>36</v>
      </c>
      <c r="G5" s="35">
        <v>125000.0</v>
      </c>
      <c r="H5" s="37"/>
      <c r="I5" s="24" t="s">
        <v>25</v>
      </c>
      <c r="J5" s="24" t="s">
        <v>26</v>
      </c>
      <c r="K5" s="24" t="s">
        <v>40</v>
      </c>
      <c r="L5" s="24" t="s">
        <v>28</v>
      </c>
      <c r="M5" s="24" t="s">
        <v>42</v>
      </c>
      <c r="N5" s="38"/>
      <c r="O5" s="38"/>
      <c r="P5" s="38"/>
      <c r="Q5" s="1"/>
      <c r="R5" s="1"/>
    </row>
    <row r="6" ht="15.75" customHeight="1">
      <c r="A6" s="1"/>
      <c r="B6" s="17">
        <v>3.0</v>
      </c>
      <c r="C6" s="19" t="s">
        <v>46</v>
      </c>
      <c r="D6" s="21" t="s">
        <v>22</v>
      </c>
      <c r="E6" s="23"/>
      <c r="F6" s="24" t="s">
        <v>48</v>
      </c>
      <c r="G6" s="40"/>
      <c r="H6" s="31">
        <v>100000.0</v>
      </c>
      <c r="I6" s="24" t="s">
        <v>24</v>
      </c>
      <c r="J6" s="17"/>
      <c r="K6" s="17"/>
      <c r="L6" s="24" t="s">
        <v>28</v>
      </c>
      <c r="M6" s="17"/>
      <c r="N6" s="38"/>
      <c r="O6" s="38"/>
      <c r="P6" s="38"/>
      <c r="Q6" s="1"/>
      <c r="R6" s="1"/>
    </row>
    <row r="7" ht="15.75" customHeight="1">
      <c r="A7" s="1"/>
      <c r="B7" s="17">
        <v>4.0</v>
      </c>
      <c r="C7" s="19" t="s">
        <v>53</v>
      </c>
      <c r="D7" s="21" t="s">
        <v>54</v>
      </c>
      <c r="E7" s="23"/>
      <c r="F7" s="24" t="s">
        <v>36</v>
      </c>
      <c r="G7" s="40"/>
      <c r="H7" s="44">
        <v>200000.0</v>
      </c>
      <c r="I7" s="24" t="s">
        <v>25</v>
      </c>
      <c r="J7" s="24" t="s">
        <v>26</v>
      </c>
      <c r="K7" s="24" t="s">
        <v>26</v>
      </c>
      <c r="L7" s="24" t="s">
        <v>28</v>
      </c>
      <c r="M7" s="24" t="s">
        <v>42</v>
      </c>
      <c r="N7" s="38"/>
      <c r="O7" s="38"/>
      <c r="P7" s="38"/>
      <c r="Q7" s="1"/>
      <c r="R7" s="1"/>
    </row>
    <row r="8" ht="15.75" customHeight="1">
      <c r="A8" s="1"/>
      <c r="B8" s="17">
        <v>5.0</v>
      </c>
      <c r="C8" s="19" t="s">
        <v>62</v>
      </c>
      <c r="D8" s="21" t="s">
        <v>22</v>
      </c>
      <c r="E8" s="23"/>
      <c r="F8" s="24" t="s">
        <v>37</v>
      </c>
      <c r="G8" s="28"/>
      <c r="H8" s="31">
        <v>100000.0</v>
      </c>
      <c r="I8" s="24" t="s">
        <v>24</v>
      </c>
      <c r="J8" s="17"/>
      <c r="K8" s="17"/>
      <c r="L8" s="24" t="s">
        <v>28</v>
      </c>
      <c r="M8" s="17"/>
      <c r="N8" s="38"/>
      <c r="O8" s="38"/>
      <c r="P8" s="38"/>
      <c r="Q8" s="1"/>
      <c r="R8" s="1"/>
    </row>
    <row r="9" ht="15.75" customHeight="1">
      <c r="A9" s="1"/>
      <c r="B9" s="17">
        <v>6.0</v>
      </c>
      <c r="C9" s="48" t="s">
        <v>65</v>
      </c>
      <c r="D9" s="21" t="s">
        <v>67</v>
      </c>
      <c r="E9" s="50"/>
      <c r="F9" s="24" t="s">
        <v>36</v>
      </c>
      <c r="G9" s="40"/>
      <c r="H9" s="44">
        <v>450000.0</v>
      </c>
      <c r="I9" s="24" t="s">
        <v>25</v>
      </c>
      <c r="J9" s="17"/>
      <c r="K9" s="17"/>
      <c r="L9" s="24" t="s">
        <v>28</v>
      </c>
      <c r="M9" s="17"/>
      <c r="N9" s="38"/>
      <c r="O9" s="38"/>
      <c r="P9" s="38"/>
      <c r="Q9" s="1"/>
      <c r="R9" s="1"/>
    </row>
    <row r="10" ht="15.75" customHeight="1">
      <c r="A10" s="1"/>
      <c r="B10" s="17">
        <v>7.0</v>
      </c>
      <c r="C10" s="19" t="s">
        <v>70</v>
      </c>
      <c r="D10" s="21" t="s">
        <v>54</v>
      </c>
      <c r="E10" s="50"/>
      <c r="F10" s="24" t="s">
        <v>36</v>
      </c>
      <c r="G10" s="40"/>
      <c r="H10" s="44">
        <v>100000.0</v>
      </c>
      <c r="I10" s="24" t="s">
        <v>25</v>
      </c>
      <c r="J10" s="24" t="s">
        <v>26</v>
      </c>
      <c r="K10" s="24" t="s">
        <v>27</v>
      </c>
      <c r="L10" s="24" t="s">
        <v>28</v>
      </c>
      <c r="M10" s="24" t="s">
        <v>42</v>
      </c>
      <c r="N10" s="38"/>
      <c r="O10" s="38"/>
      <c r="P10" s="38"/>
      <c r="Q10" s="1"/>
      <c r="R10" s="1"/>
    </row>
    <row r="11" ht="15.75" customHeight="1">
      <c r="A11" s="1"/>
      <c r="B11" s="17">
        <v>8.0</v>
      </c>
      <c r="C11" s="19" t="s">
        <v>74</v>
      </c>
      <c r="D11" s="21" t="s">
        <v>75</v>
      </c>
      <c r="E11" s="50"/>
      <c r="F11" s="24" t="s">
        <v>36</v>
      </c>
      <c r="G11" s="35">
        <v>150000.0</v>
      </c>
      <c r="H11" s="37"/>
      <c r="I11" s="24" t="s">
        <v>25</v>
      </c>
      <c r="J11" s="24" t="s">
        <v>26</v>
      </c>
      <c r="K11" s="24" t="s">
        <v>26</v>
      </c>
      <c r="L11" s="24" t="s">
        <v>28</v>
      </c>
      <c r="M11" s="24" t="s">
        <v>42</v>
      </c>
      <c r="N11" s="38"/>
      <c r="O11" s="38"/>
      <c r="P11" s="38"/>
      <c r="Q11" s="1"/>
      <c r="R11" s="1"/>
    </row>
    <row r="12" ht="15.75" customHeight="1">
      <c r="A12" s="1"/>
      <c r="B12" s="17">
        <v>9.0</v>
      </c>
      <c r="C12" s="48" t="s">
        <v>80</v>
      </c>
      <c r="D12" s="21" t="s">
        <v>43</v>
      </c>
      <c r="E12" s="50"/>
      <c r="F12" s="24" t="s">
        <v>36</v>
      </c>
      <c r="G12" s="40"/>
      <c r="H12" s="31">
        <v>100000.0</v>
      </c>
      <c r="I12" s="24" t="s">
        <v>25</v>
      </c>
      <c r="J12" s="24" t="s">
        <v>26</v>
      </c>
      <c r="K12" s="24" t="s">
        <v>26</v>
      </c>
      <c r="L12" s="24" t="s">
        <v>28</v>
      </c>
      <c r="M12" s="24" t="s">
        <v>42</v>
      </c>
      <c r="N12" s="38"/>
      <c r="O12" s="38"/>
      <c r="P12" s="38"/>
      <c r="Q12" s="1"/>
      <c r="R12" s="1"/>
    </row>
    <row r="13" ht="15.75" customHeight="1">
      <c r="A13" s="1"/>
      <c r="B13" s="17">
        <v>10.0</v>
      </c>
      <c r="C13" s="48" t="s">
        <v>84</v>
      </c>
      <c r="D13" s="21" t="s">
        <v>86</v>
      </c>
      <c r="E13" s="50"/>
      <c r="F13" s="24" t="s">
        <v>87</v>
      </c>
      <c r="G13" s="54">
        <v>25000.0</v>
      </c>
      <c r="H13" s="37"/>
      <c r="I13" s="24" t="s">
        <v>25</v>
      </c>
      <c r="J13" s="24" t="s">
        <v>40</v>
      </c>
      <c r="K13" s="24" t="s">
        <v>40</v>
      </c>
      <c r="L13" s="24" t="s">
        <v>28</v>
      </c>
      <c r="M13" s="17"/>
      <c r="N13" s="38"/>
      <c r="O13" s="38"/>
      <c r="P13" s="38"/>
      <c r="Q13" s="1"/>
      <c r="R13" s="1"/>
    </row>
    <row r="14" ht="15.75" customHeight="1">
      <c r="A14" s="1"/>
      <c r="B14" s="17">
        <v>11.0</v>
      </c>
      <c r="C14" s="48" t="s">
        <v>90</v>
      </c>
      <c r="D14" s="21" t="s">
        <v>54</v>
      </c>
      <c r="E14" s="50"/>
      <c r="F14" s="24" t="s">
        <v>36</v>
      </c>
      <c r="G14" s="54">
        <v>105000.0</v>
      </c>
      <c r="H14" s="31">
        <v>220000.0</v>
      </c>
      <c r="I14" s="24" t="s">
        <v>25</v>
      </c>
      <c r="J14" s="24" t="s">
        <v>26</v>
      </c>
      <c r="K14" s="24" t="s">
        <v>26</v>
      </c>
      <c r="L14" s="24" t="s">
        <v>28</v>
      </c>
      <c r="M14" s="24" t="s">
        <v>42</v>
      </c>
      <c r="N14" s="38"/>
      <c r="O14" s="38"/>
      <c r="P14" s="38"/>
      <c r="Q14" s="1"/>
      <c r="R14" s="1"/>
    </row>
    <row r="15" ht="15.75" customHeight="1">
      <c r="A15" s="1"/>
      <c r="B15" s="17">
        <v>12.0</v>
      </c>
      <c r="C15" s="48" t="s">
        <v>96</v>
      </c>
      <c r="D15" s="21" t="s">
        <v>34</v>
      </c>
      <c r="E15" s="50"/>
      <c r="F15" s="24" t="s">
        <v>68</v>
      </c>
      <c r="G15" s="40"/>
      <c r="H15" s="31">
        <v>100000.0</v>
      </c>
      <c r="I15" s="24" t="s">
        <v>24</v>
      </c>
      <c r="J15" s="17"/>
      <c r="K15" s="17"/>
      <c r="L15" s="24" t="s">
        <v>28</v>
      </c>
      <c r="M15" s="17"/>
      <c r="N15" s="38"/>
      <c r="O15" s="38"/>
      <c r="P15" s="38"/>
      <c r="Q15" s="1"/>
      <c r="R15" s="1"/>
    </row>
    <row r="16" ht="15.75" customHeight="1">
      <c r="A16" s="1"/>
      <c r="B16" s="17">
        <v>13.0</v>
      </c>
      <c r="C16" s="48" t="s">
        <v>80</v>
      </c>
      <c r="D16" s="21" t="s">
        <v>100</v>
      </c>
      <c r="E16" s="50"/>
      <c r="F16" s="24" t="s">
        <v>36</v>
      </c>
      <c r="G16" s="40"/>
      <c r="H16" s="31">
        <v>50000.0</v>
      </c>
      <c r="I16" s="24" t="s">
        <v>25</v>
      </c>
      <c r="J16" s="24" t="s">
        <v>26</v>
      </c>
      <c r="K16" s="24" t="s">
        <v>26</v>
      </c>
      <c r="L16" s="24" t="s">
        <v>28</v>
      </c>
      <c r="M16" s="24" t="s">
        <v>42</v>
      </c>
      <c r="N16" s="38"/>
      <c r="O16" s="38"/>
      <c r="P16" s="38"/>
      <c r="Q16" s="1"/>
      <c r="R16" s="1"/>
    </row>
    <row r="17" ht="15.75" customHeight="1">
      <c r="A17" s="1"/>
      <c r="B17" s="17">
        <v>14.0</v>
      </c>
      <c r="C17" s="59"/>
      <c r="D17" s="61"/>
      <c r="E17" s="50"/>
      <c r="F17" s="63"/>
      <c r="G17" s="28"/>
      <c r="H17" s="37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8">
        <f>SUM(G5:G17)</f>
        <v>405000</v>
      </c>
      <c r="H18" s="70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2" t="s">
        <v>7</v>
      </c>
      <c r="D21" s="72" t="s">
        <v>120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121</v>
      </c>
      <c r="O21" s="72" t="s">
        <v>2</v>
      </c>
      <c r="P21" s="1"/>
      <c r="Q21" s="1"/>
      <c r="R21" s="1"/>
    </row>
    <row r="22" ht="15.75" customHeight="1">
      <c r="A22" s="1"/>
      <c r="B22" s="73">
        <v>1.0</v>
      </c>
      <c r="C22" s="75" t="s">
        <v>124</v>
      </c>
      <c r="D22" s="76">
        <f>SUM(G18)</f>
        <v>405000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128</v>
      </c>
      <c r="O22" s="80" t="s">
        <v>28</v>
      </c>
      <c r="P22" s="1"/>
      <c r="Q22" s="1"/>
      <c r="R22" s="1"/>
    </row>
    <row r="23" ht="15.75" customHeight="1">
      <c r="A23" s="1"/>
      <c r="B23" s="82">
        <v>2.0</v>
      </c>
      <c r="C23" s="83"/>
      <c r="D23" s="84"/>
      <c r="E23" s="77"/>
      <c r="F23" s="1"/>
      <c r="G23" s="1"/>
      <c r="H23" s="1"/>
      <c r="I23" s="1"/>
      <c r="J23" s="1"/>
      <c r="K23" s="1"/>
      <c r="L23" s="1"/>
      <c r="M23" s="1"/>
      <c r="N23" s="85" t="s">
        <v>132</v>
      </c>
      <c r="O23" s="86" t="s">
        <v>28</v>
      </c>
      <c r="P23" s="1"/>
      <c r="Q23" s="1"/>
      <c r="R23" s="1"/>
    </row>
    <row r="24" ht="15.75" customHeight="1">
      <c r="A24" s="1"/>
      <c r="B24" s="73">
        <v>3.0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88" t="s">
        <v>136</v>
      </c>
      <c r="O24" s="89" t="s">
        <v>42</v>
      </c>
      <c r="P24" s="1"/>
      <c r="Q24" s="1"/>
      <c r="R24" s="1"/>
    </row>
    <row r="25" ht="15.75" customHeight="1">
      <c r="A25" s="1"/>
      <c r="B25" s="82">
        <v>4.0</v>
      </c>
      <c r="C25" s="92"/>
      <c r="D25" s="93"/>
      <c r="E25" s="77"/>
      <c r="F25" s="94"/>
      <c r="G25" s="1"/>
      <c r="H25" s="1"/>
      <c r="I25" s="1"/>
      <c r="J25" s="1"/>
      <c r="K25" s="1"/>
      <c r="L25" s="1"/>
      <c r="M25" s="1"/>
      <c r="N25" s="95" t="s">
        <v>147</v>
      </c>
      <c r="O25" s="86" t="s">
        <v>42</v>
      </c>
      <c r="P25" s="1"/>
      <c r="Q25" s="1"/>
      <c r="R25" s="1"/>
    </row>
    <row r="26" ht="15.75" customHeight="1">
      <c r="A26" s="1"/>
      <c r="B26" s="73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2"/>
      <c r="D27" s="93"/>
      <c r="E27" s="77"/>
      <c r="F27" s="1"/>
      <c r="G27" s="1"/>
      <c r="H27" s="1"/>
      <c r="I27" s="1"/>
      <c r="J27" s="1"/>
      <c r="K27" s="100" t="s">
        <v>150</v>
      </c>
      <c r="Q27" s="1"/>
      <c r="R27" s="1"/>
    </row>
    <row r="28" ht="15.75" customHeight="1">
      <c r="A28" s="1"/>
      <c r="B28" s="73">
        <v>7.0</v>
      </c>
      <c r="C28" s="75"/>
      <c r="D28" s="76"/>
      <c r="E28" s="77"/>
      <c r="F28" s="1"/>
      <c r="G28" s="1"/>
      <c r="H28" s="1"/>
      <c r="I28" s="1"/>
      <c r="J28" s="1"/>
      <c r="K28" s="101" t="s">
        <v>2</v>
      </c>
      <c r="L28" s="101" t="s">
        <v>153</v>
      </c>
      <c r="M28" s="101" t="s">
        <v>155</v>
      </c>
      <c r="N28" s="101" t="s">
        <v>156</v>
      </c>
      <c r="O28" s="101" t="s">
        <v>157</v>
      </c>
      <c r="P28" s="101" t="s">
        <v>158</v>
      </c>
      <c r="Q28" s="1"/>
      <c r="R28" s="1"/>
      <c r="AC28" s="102" t="s">
        <v>159</v>
      </c>
      <c r="AD28" s="102" t="s">
        <v>160</v>
      </c>
      <c r="AE28" s="102" t="s">
        <v>161</v>
      </c>
      <c r="AF28" s="102" t="s">
        <v>163</v>
      </c>
      <c r="AG28" s="102" t="s">
        <v>164</v>
      </c>
    </row>
    <row r="29" ht="15.75" customHeight="1">
      <c r="A29" s="1"/>
      <c r="B29" s="82">
        <v>8.0</v>
      </c>
      <c r="C29" s="92"/>
      <c r="D29" s="93"/>
      <c r="E29" s="77"/>
      <c r="F29" s="1"/>
      <c r="G29" s="1"/>
      <c r="H29" s="1"/>
      <c r="I29" s="1"/>
      <c r="J29" s="1"/>
      <c r="K29" s="104" t="str">
        <f t="shared" ref="K29:K32" si="1">IF(O22="","",O22)</f>
        <v>AMEL</v>
      </c>
      <c r="L29" s="105">
        <v>4.0</v>
      </c>
      <c r="M29" s="105">
        <v>4.0</v>
      </c>
      <c r="N29" s="105">
        <v>4.0</v>
      </c>
      <c r="O29" s="105">
        <v>4.0</v>
      </c>
      <c r="P29" s="105">
        <v>4.0</v>
      </c>
      <c r="Q29" s="1"/>
      <c r="R29" s="1"/>
      <c r="AC29" s="102">
        <f t="shared" ref="AC29:AC34" si="2">IF(AG29="","",IF(COUNT(L29:P29)&lt;5,"",L29/5*20+M29/5*25+N29/5*25+O29/5*15+P29/5*15))</f>
        <v>80</v>
      </c>
      <c r="AD29" s="102" t="str">
        <f t="shared" ref="AD29:AD34" si="3">IF(AC29="","",IF(AC29&gt;=90,"Sangat Baik",IF(AC29&gt;=80,"Baik",IF(AC29&gt;=70,"Coaching","Underperform"))))</f>
        <v>Baik</v>
      </c>
      <c r="AE29" s="102" t="str">
        <f t="shared" ref="AE29:AE34" si="4">IF(AG29="","",IF(OR(AG29="INDAH",AG29="ADDEL",AG29="AMEL",AG29="PENTIL",AG29="JIJANG"),"Admin/CS","Fotografer"))</f>
        <v>Admin/CS</v>
      </c>
      <c r="AF29" s="102">
        <f t="shared" ref="AF29:AF34" si="5">IF(OR(AG29="",COUNT(L29:P29)&lt;5),"",1)</f>
        <v>1</v>
      </c>
      <c r="AG29" s="102" t="str">
        <f t="shared" ref="AG29:AG34" si="6">IFERROR(K29,"")</f>
        <v>AMEL</v>
      </c>
    </row>
    <row r="30" ht="15.75" customHeight="1">
      <c r="A30" s="1"/>
      <c r="B30" s="73">
        <v>9.0</v>
      </c>
      <c r="C30" s="75"/>
      <c r="D30" s="76"/>
      <c r="E30" s="77"/>
      <c r="F30" s="1"/>
      <c r="G30" s="1"/>
      <c r="H30" s="1"/>
      <c r="I30" s="1"/>
      <c r="J30" s="1"/>
      <c r="K30" s="104" t="str">
        <f t="shared" si="1"/>
        <v>AMEL</v>
      </c>
      <c r="L30" s="105">
        <v>4.0</v>
      </c>
      <c r="M30" s="105">
        <v>4.0</v>
      </c>
      <c r="N30" s="105">
        <v>4.0</v>
      </c>
      <c r="O30" s="105">
        <v>4.0</v>
      </c>
      <c r="P30" s="105">
        <v>4.0</v>
      </c>
      <c r="Q30" s="1"/>
      <c r="R30" s="1"/>
      <c r="AC30" s="102">
        <f t="shared" si="2"/>
        <v>80</v>
      </c>
      <c r="AD30" s="102" t="str">
        <f t="shared" si="3"/>
        <v>Baik</v>
      </c>
      <c r="AE30" s="102" t="str">
        <f t="shared" si="4"/>
        <v>Admin/CS</v>
      </c>
      <c r="AF30" s="102">
        <f t="shared" si="5"/>
        <v>1</v>
      </c>
      <c r="AG30" s="102" t="str">
        <f t="shared" si="6"/>
        <v>AMEL</v>
      </c>
    </row>
    <row r="31" ht="15.75" customHeight="1">
      <c r="A31" s="1"/>
      <c r="B31" s="82">
        <v>10.0</v>
      </c>
      <c r="C31" s="92"/>
      <c r="D31" s="93"/>
      <c r="E31" s="77"/>
      <c r="F31" s="1"/>
      <c r="G31" s="1"/>
      <c r="H31" s="1"/>
      <c r="I31" s="1"/>
      <c r="J31" s="1"/>
      <c r="K31" s="104" t="str">
        <f t="shared" si="1"/>
        <v>ADIF</v>
      </c>
      <c r="L31" s="105">
        <v>4.0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2">
        <f t="shared" si="2"/>
        <v>96</v>
      </c>
      <c r="AD31" s="102" t="str">
        <f t="shared" si="3"/>
        <v>Sangat Baik</v>
      </c>
      <c r="AE31" s="102" t="str">
        <f t="shared" si="4"/>
        <v>Fotografer</v>
      </c>
      <c r="AF31" s="102">
        <f t="shared" si="5"/>
        <v>1</v>
      </c>
      <c r="AG31" s="102" t="str">
        <f t="shared" si="6"/>
        <v>ADIF</v>
      </c>
    </row>
    <row r="32" ht="15.75" customHeight="1">
      <c r="A32" s="1"/>
      <c r="B32" s="114">
        <v>11.0</v>
      </c>
      <c r="C32" s="115"/>
      <c r="D32" s="116"/>
      <c r="E32" s="77"/>
      <c r="F32" s="1"/>
      <c r="G32" s="1"/>
      <c r="H32" s="1"/>
      <c r="I32" s="1"/>
      <c r="J32" s="1"/>
      <c r="K32" s="104" t="str">
        <f t="shared" si="1"/>
        <v>ADIF</v>
      </c>
      <c r="L32" s="105">
        <v>4.0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2">
        <f t="shared" si="2"/>
        <v>96</v>
      </c>
      <c r="AD32" s="102" t="str">
        <f t="shared" si="3"/>
        <v>Sangat Baik</v>
      </c>
      <c r="AE32" s="102" t="str">
        <f t="shared" si="4"/>
        <v>Fotografer</v>
      </c>
      <c r="AF32" s="102">
        <f t="shared" si="5"/>
        <v>1</v>
      </c>
      <c r="AG32" s="102" t="str">
        <f t="shared" si="6"/>
        <v>ADIF</v>
      </c>
    </row>
    <row r="33" ht="15.75" customHeight="1">
      <c r="A33" s="1"/>
      <c r="B33" s="1"/>
      <c r="C33" s="3"/>
      <c r="D33" s="117">
        <f>SUM(D22:D32)</f>
        <v>405000</v>
      </c>
      <c r="E33" s="1"/>
      <c r="F33" s="1"/>
      <c r="G33" s="1"/>
      <c r="H33" s="1"/>
      <c r="I33" s="1"/>
      <c r="J33" s="1"/>
      <c r="K33" s="104"/>
      <c r="L33" s="118"/>
      <c r="M33" s="118"/>
      <c r="N33" s="118"/>
      <c r="O33" s="118"/>
      <c r="P33" s="118"/>
      <c r="Q33" s="1"/>
      <c r="R33" s="1"/>
      <c r="AC33" s="102" t="str">
        <f t="shared" si="2"/>
        <v/>
      </c>
      <c r="AD33" s="102" t="str">
        <f t="shared" si="3"/>
        <v/>
      </c>
      <c r="AE33" s="102" t="str">
        <f t="shared" si="4"/>
        <v/>
      </c>
      <c r="AF33" s="102" t="str">
        <f t="shared" si="5"/>
        <v/>
      </c>
      <c r="AG33" s="102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4"/>
      <c r="L34" s="118"/>
      <c r="M34" s="118"/>
      <c r="N34" s="118"/>
      <c r="O34" s="118"/>
      <c r="P34" s="118"/>
      <c r="Q34" s="1"/>
      <c r="R34" s="1"/>
      <c r="AC34" s="102" t="str">
        <f t="shared" si="2"/>
        <v/>
      </c>
      <c r="AD34" s="102" t="str">
        <f t="shared" si="3"/>
        <v/>
      </c>
      <c r="AE34" s="102" t="str">
        <f t="shared" si="4"/>
        <v/>
      </c>
      <c r="AF34" s="102" t="str">
        <f t="shared" si="5"/>
        <v/>
      </c>
      <c r="AG34" s="102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195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1" t="s">
        <v>198</v>
      </c>
      <c r="N37" s="122"/>
      <c r="O37" s="1"/>
      <c r="P37" s="1"/>
      <c r="Q37" s="1"/>
      <c r="R37" s="1"/>
    </row>
    <row r="38" ht="15.75" customHeight="1">
      <c r="K38" s="123" t="s">
        <v>8</v>
      </c>
      <c r="L38" s="123" t="s">
        <v>200</v>
      </c>
      <c r="M38" s="123" t="s">
        <v>201</v>
      </c>
      <c r="N38" s="124" t="s">
        <v>202</v>
      </c>
    </row>
    <row r="39" ht="15.75" customHeight="1">
      <c r="K39" s="126" t="str">
        <f t="shared" ref="K39:K40" si="7">IF(O22="","",O22)</f>
        <v>AMEL</v>
      </c>
      <c r="L39" s="127">
        <v>5.0</v>
      </c>
      <c r="M39" s="127" t="s">
        <v>204</v>
      </c>
      <c r="N39" s="128">
        <v>4.0</v>
      </c>
    </row>
    <row r="40" ht="15.75" customHeight="1">
      <c r="K40" s="126" t="str">
        <f t="shared" si="7"/>
        <v>AMEL</v>
      </c>
      <c r="L40" s="129"/>
      <c r="M40" s="129"/>
      <c r="N40" s="130"/>
    </row>
    <row r="41" ht="15.75" customHeight="1"/>
    <row r="42" ht="19.5" customHeight="1">
      <c r="K42" s="132" t="s">
        <v>206</v>
      </c>
    </row>
    <row r="43" ht="19.5" customHeight="1">
      <c r="K43" s="134" t="s">
        <v>207</v>
      </c>
      <c r="M43" s="127">
        <v>34.0</v>
      </c>
    </row>
    <row r="44" ht="19.5" customHeight="1">
      <c r="K44" s="135" t="s">
        <v>208</v>
      </c>
      <c r="M44" s="138">
        <f>COUNTIF($I$4:$I$20,"DP")</f>
        <v>4</v>
      </c>
    </row>
    <row r="45" ht="19.5" customHeight="1">
      <c r="K45" s="135" t="s">
        <v>210</v>
      </c>
      <c r="M45" s="138">
        <f>COUNTIFS($I$4:$I$20,"&lt;&gt;DP",$I$4:$I$20,"&lt;&gt;")</f>
        <v>9</v>
      </c>
    </row>
    <row r="46" ht="19.5" customHeight="1">
      <c r="K46" s="139" t="s">
        <v>211</v>
      </c>
      <c r="M46" s="138">
        <f>M44+M45</f>
        <v>13</v>
      </c>
    </row>
    <row r="47" ht="19.5" customHeight="1">
      <c r="K47" s="134" t="s">
        <v>212</v>
      </c>
      <c r="M47" s="141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36" t="s">
        <v>30</v>
      </c>
      <c r="D4" s="21" t="s">
        <v>44</v>
      </c>
      <c r="E4" s="22"/>
      <c r="F4" s="24" t="s">
        <v>47</v>
      </c>
      <c r="G4" s="42"/>
      <c r="H4" s="31">
        <v>100000.0</v>
      </c>
      <c r="I4" s="24" t="s">
        <v>24</v>
      </c>
      <c r="J4" s="17"/>
      <c r="K4" s="17"/>
      <c r="L4" s="24" t="s">
        <v>28</v>
      </c>
      <c r="M4" s="17"/>
      <c r="N4" s="33"/>
      <c r="O4" s="33"/>
      <c r="P4" s="34"/>
      <c r="Q4" s="1"/>
      <c r="R4" s="1"/>
    </row>
    <row r="5" ht="15.75" customHeight="1">
      <c r="A5" s="1"/>
      <c r="B5" s="18">
        <v>2.0</v>
      </c>
      <c r="C5" s="46" t="s">
        <v>63</v>
      </c>
      <c r="D5" s="21" t="s">
        <v>54</v>
      </c>
      <c r="E5" s="47"/>
      <c r="F5" s="24" t="s">
        <v>68</v>
      </c>
      <c r="G5" s="51"/>
      <c r="H5" s="52">
        <v>100000.0</v>
      </c>
      <c r="I5" s="24" t="s">
        <v>24</v>
      </c>
      <c r="J5" s="17"/>
      <c r="K5" s="17"/>
      <c r="L5" s="24" t="s">
        <v>28</v>
      </c>
      <c r="M5" s="17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9" t="s">
        <v>76</v>
      </c>
      <c r="D6" s="21" t="s">
        <v>77</v>
      </c>
      <c r="E6" s="22"/>
      <c r="F6" s="24" t="s">
        <v>79</v>
      </c>
      <c r="G6" s="42"/>
      <c r="H6" s="31">
        <v>50000.0</v>
      </c>
      <c r="I6" s="24" t="s">
        <v>25</v>
      </c>
      <c r="J6" s="24" t="s">
        <v>26</v>
      </c>
      <c r="K6" s="24" t="s">
        <v>26</v>
      </c>
      <c r="L6" s="24" t="s">
        <v>28</v>
      </c>
      <c r="M6" s="17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9" t="s">
        <v>85</v>
      </c>
      <c r="D7" s="21" t="s">
        <v>22</v>
      </c>
      <c r="E7" s="47"/>
      <c r="F7" s="24" t="s">
        <v>37</v>
      </c>
      <c r="G7" s="42"/>
      <c r="H7" s="31">
        <v>100000.0</v>
      </c>
      <c r="I7" s="24" t="s">
        <v>24</v>
      </c>
      <c r="J7" s="17"/>
      <c r="K7" s="17"/>
      <c r="L7" s="24" t="s">
        <v>28</v>
      </c>
      <c r="M7" s="17"/>
      <c r="N7" s="38"/>
      <c r="O7" s="38"/>
      <c r="P7" s="38"/>
      <c r="Q7" s="1"/>
      <c r="R7" s="1"/>
    </row>
    <row r="8" ht="15.75" customHeight="1">
      <c r="A8" s="1"/>
      <c r="B8" s="18">
        <v>5.0</v>
      </c>
      <c r="C8" s="48" t="s">
        <v>91</v>
      </c>
      <c r="D8" s="21" t="s">
        <v>92</v>
      </c>
      <c r="E8" s="22"/>
      <c r="F8" s="24" t="s">
        <v>68</v>
      </c>
      <c r="G8" s="56"/>
      <c r="H8" s="52">
        <v>125000.0</v>
      </c>
      <c r="I8" s="24" t="s">
        <v>25</v>
      </c>
      <c r="J8" s="24" t="s">
        <v>26</v>
      </c>
      <c r="K8" s="24" t="s">
        <v>40</v>
      </c>
      <c r="L8" s="24" t="s">
        <v>28</v>
      </c>
      <c r="M8" s="24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9" t="s">
        <v>98</v>
      </c>
      <c r="D9" s="21" t="s">
        <v>54</v>
      </c>
      <c r="E9" s="22"/>
      <c r="F9" s="57">
        <v>46305.0</v>
      </c>
      <c r="G9" s="51"/>
      <c r="H9" s="52">
        <v>100000.0</v>
      </c>
      <c r="I9" s="24" t="s">
        <v>24</v>
      </c>
      <c r="J9" s="17"/>
      <c r="K9" s="17"/>
      <c r="L9" s="24" t="s">
        <v>29</v>
      </c>
      <c r="M9" s="17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103</v>
      </c>
      <c r="D10" s="21" t="s">
        <v>54</v>
      </c>
      <c r="E10" s="22"/>
      <c r="F10" s="57">
        <v>46297.0</v>
      </c>
      <c r="G10" s="64">
        <v>75000.0</v>
      </c>
      <c r="H10" s="37"/>
      <c r="I10" s="24" t="s">
        <v>25</v>
      </c>
      <c r="J10" s="17"/>
      <c r="K10" s="17"/>
      <c r="L10" s="24" t="s">
        <v>29</v>
      </c>
      <c r="M10" s="24" t="s">
        <v>59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4" t="s">
        <v>63</v>
      </c>
      <c r="D11" s="21" t="s">
        <v>54</v>
      </c>
      <c r="E11" s="22"/>
      <c r="F11" s="57">
        <v>46297.0</v>
      </c>
      <c r="G11" s="42"/>
      <c r="H11" s="31">
        <v>275000.0</v>
      </c>
      <c r="I11" s="24" t="s">
        <v>25</v>
      </c>
      <c r="J11" s="24" t="s">
        <v>26</v>
      </c>
      <c r="K11" s="24" t="s">
        <v>27</v>
      </c>
      <c r="L11" s="24" t="s">
        <v>29</v>
      </c>
      <c r="M11" s="24" t="s">
        <v>59</v>
      </c>
      <c r="N11" s="38"/>
      <c r="O11" s="38"/>
      <c r="P11" s="38"/>
      <c r="Q11" s="1"/>
      <c r="R11" s="1"/>
      <c r="S11" s="67"/>
    </row>
    <row r="12" ht="15.75" customHeight="1">
      <c r="A12" s="1"/>
      <c r="B12" s="18"/>
      <c r="C12" s="19" t="s">
        <v>112</v>
      </c>
      <c r="D12" s="21" t="s">
        <v>43</v>
      </c>
      <c r="E12" s="69"/>
      <c r="F12" s="57">
        <v>46297.0</v>
      </c>
      <c r="G12" s="42"/>
      <c r="H12" s="31">
        <v>100000.0</v>
      </c>
      <c r="I12" s="24" t="s">
        <v>25</v>
      </c>
      <c r="J12" s="24" t="s">
        <v>26</v>
      </c>
      <c r="K12" s="24" t="s">
        <v>26</v>
      </c>
      <c r="L12" s="24" t="s">
        <v>29</v>
      </c>
      <c r="M12" s="17"/>
      <c r="N12" s="38"/>
      <c r="O12" s="38"/>
      <c r="P12" s="38"/>
      <c r="Q12" s="1"/>
      <c r="R12" s="1"/>
    </row>
    <row r="13" ht="15.75" customHeight="1">
      <c r="A13" s="1"/>
      <c r="B13" s="18"/>
      <c r="C13" s="19" t="s">
        <v>118</v>
      </c>
      <c r="D13" s="21" t="s">
        <v>54</v>
      </c>
      <c r="E13" s="22"/>
      <c r="F13" s="57">
        <v>46297.0</v>
      </c>
      <c r="G13" s="42"/>
      <c r="H13" s="31">
        <v>100000.0</v>
      </c>
      <c r="I13" s="24" t="s">
        <v>25</v>
      </c>
      <c r="J13" s="24" t="s">
        <v>26</v>
      </c>
      <c r="K13" s="24" t="s">
        <v>26</v>
      </c>
      <c r="L13" s="24" t="s">
        <v>29</v>
      </c>
      <c r="M13" s="24" t="s">
        <v>59</v>
      </c>
      <c r="N13" s="38"/>
      <c r="O13" s="38"/>
      <c r="P13" s="38"/>
      <c r="Q13" s="1"/>
      <c r="R13" s="1"/>
    </row>
    <row r="14" ht="15.75" customHeight="1">
      <c r="A14" s="1"/>
      <c r="B14" s="18"/>
      <c r="C14" s="19" t="s">
        <v>112</v>
      </c>
      <c r="D14" s="21" t="s">
        <v>14</v>
      </c>
      <c r="E14" s="22"/>
      <c r="F14" s="57">
        <v>46297.0</v>
      </c>
      <c r="G14" s="42"/>
      <c r="H14" s="31">
        <v>50000.0</v>
      </c>
      <c r="I14" s="24" t="s">
        <v>25</v>
      </c>
      <c r="J14" s="24" t="s">
        <v>26</v>
      </c>
      <c r="K14" s="24" t="s">
        <v>27</v>
      </c>
      <c r="L14" s="24" t="s">
        <v>29</v>
      </c>
      <c r="M14" s="24" t="s">
        <v>59</v>
      </c>
      <c r="N14" s="38"/>
      <c r="O14" s="38"/>
      <c r="P14" s="38"/>
      <c r="Q14" s="1"/>
      <c r="R14" s="1"/>
    </row>
    <row r="15" ht="15.75" customHeight="1">
      <c r="A15" s="1"/>
      <c r="B15" s="18"/>
      <c r="C15" s="24" t="s">
        <v>129</v>
      </c>
      <c r="D15" s="21" t="s">
        <v>77</v>
      </c>
      <c r="E15" s="22"/>
      <c r="F15" s="57">
        <v>46297.0</v>
      </c>
      <c r="G15" s="42"/>
      <c r="H15" s="31">
        <v>40000.0</v>
      </c>
      <c r="I15" s="24" t="s">
        <v>25</v>
      </c>
      <c r="J15" s="17"/>
      <c r="K15" s="17"/>
      <c r="L15" s="24" t="s">
        <v>29</v>
      </c>
      <c r="M15" s="17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8">
        <f>SUM(G3:G15)</f>
        <v>75000</v>
      </c>
      <c r="H16" s="91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1" t="s">
        <v>1</v>
      </c>
      <c r="C19" s="72" t="s">
        <v>7</v>
      </c>
      <c r="D19" s="72" t="s">
        <v>120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121</v>
      </c>
      <c r="O19" s="72" t="s">
        <v>2</v>
      </c>
      <c r="P19" s="1"/>
      <c r="Q19" s="1"/>
      <c r="R19" s="1"/>
    </row>
    <row r="20" ht="15.75" customHeight="1">
      <c r="A20" s="1"/>
      <c r="B20" s="73">
        <v>1.0</v>
      </c>
      <c r="C20" s="75" t="s">
        <v>124</v>
      </c>
      <c r="D20" s="76">
        <f>SUM(G16)</f>
        <v>75000</v>
      </c>
      <c r="E20" s="77"/>
      <c r="F20" s="1"/>
      <c r="G20" s="1"/>
      <c r="H20" s="1"/>
      <c r="I20" s="1"/>
      <c r="J20" s="1"/>
      <c r="K20" s="1"/>
      <c r="L20" s="1"/>
      <c r="N20" s="79" t="s">
        <v>128</v>
      </c>
      <c r="O20" s="80" t="s">
        <v>28</v>
      </c>
      <c r="P20" s="1"/>
      <c r="Q20" s="1"/>
      <c r="R20" s="1"/>
    </row>
    <row r="21" ht="15.75" customHeight="1">
      <c r="A21" s="1"/>
      <c r="B21" s="82">
        <v>2.0</v>
      </c>
      <c r="C21" s="103" t="s">
        <v>168</v>
      </c>
      <c r="D21" s="106">
        <v>-75000.0</v>
      </c>
      <c r="E21" s="77"/>
      <c r="F21" s="1"/>
      <c r="G21" s="1"/>
      <c r="H21" s="1"/>
      <c r="I21" s="1"/>
      <c r="J21" s="1"/>
      <c r="K21" s="1"/>
      <c r="L21" s="1"/>
      <c r="N21" s="85" t="s">
        <v>132</v>
      </c>
      <c r="O21" s="86" t="s">
        <v>29</v>
      </c>
      <c r="P21" s="1"/>
      <c r="Q21" s="1"/>
      <c r="R21" s="1"/>
    </row>
    <row r="22" ht="15.75" customHeight="1">
      <c r="A22" s="1"/>
      <c r="B22" s="73">
        <v>3.0</v>
      </c>
      <c r="C22" s="107"/>
      <c r="D22" s="108"/>
      <c r="E22" s="77"/>
      <c r="F22" s="1"/>
      <c r="G22" s="1"/>
      <c r="H22" s="1"/>
      <c r="I22" s="1"/>
      <c r="J22" s="1"/>
      <c r="K22" s="1"/>
      <c r="L22" s="1"/>
      <c r="M22" s="1"/>
      <c r="N22" s="88" t="s">
        <v>136</v>
      </c>
      <c r="O22" s="89" t="s">
        <v>42</v>
      </c>
      <c r="P22" s="1"/>
      <c r="Q22" s="1"/>
      <c r="R22" s="1"/>
    </row>
    <row r="23" ht="15.75" customHeight="1">
      <c r="A23" s="1"/>
      <c r="B23" s="82">
        <v>4.0</v>
      </c>
      <c r="C23" s="83"/>
      <c r="D23" s="84"/>
      <c r="E23" s="77"/>
      <c r="F23" s="1"/>
      <c r="G23" s="1"/>
      <c r="H23" s="1"/>
      <c r="I23" s="1"/>
      <c r="J23" s="1"/>
      <c r="K23" s="1"/>
      <c r="L23" s="1"/>
      <c r="M23" s="1"/>
      <c r="N23" s="95" t="s">
        <v>147</v>
      </c>
      <c r="O23" s="86" t="s">
        <v>59</v>
      </c>
      <c r="P23" s="1"/>
      <c r="Q23" s="1"/>
      <c r="R23" s="1"/>
    </row>
    <row r="24" ht="15.75" customHeight="1">
      <c r="A24" s="1"/>
      <c r="B24" s="73">
        <v>5.0</v>
      </c>
      <c r="C24" s="107"/>
      <c r="D24" s="108"/>
      <c r="E24" s="77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</row>
    <row r="25" ht="15.75" customHeight="1">
      <c r="A25" s="1"/>
      <c r="B25" s="82">
        <v>6.0</v>
      </c>
      <c r="C25" s="83"/>
      <c r="D25" s="84"/>
      <c r="E25" s="77"/>
      <c r="F25" s="94"/>
      <c r="G25" s="1"/>
      <c r="H25" s="1"/>
      <c r="I25" s="1"/>
      <c r="J25" s="1"/>
      <c r="K25" s="100" t="s">
        <v>150</v>
      </c>
      <c r="Q25" s="1"/>
      <c r="R25" s="1"/>
    </row>
    <row r="26" ht="15.75" customHeight="1">
      <c r="A26" s="1"/>
      <c r="B26" s="73">
        <v>7.0</v>
      </c>
      <c r="C26" s="75"/>
      <c r="D26" s="76"/>
      <c r="E26" s="77"/>
      <c r="F26" s="94"/>
      <c r="G26" s="1"/>
      <c r="H26" s="1"/>
      <c r="I26" s="1"/>
      <c r="J26" s="1"/>
      <c r="K26" s="101" t="s">
        <v>2</v>
      </c>
      <c r="L26" s="101" t="s">
        <v>153</v>
      </c>
      <c r="M26" s="101" t="s">
        <v>155</v>
      </c>
      <c r="N26" s="101" t="s">
        <v>156</v>
      </c>
      <c r="O26" s="101" t="s">
        <v>157</v>
      </c>
      <c r="P26" s="101" t="s">
        <v>158</v>
      </c>
      <c r="Q26" s="1"/>
      <c r="R26" s="1"/>
      <c r="AC26" s="102" t="s">
        <v>159</v>
      </c>
      <c r="AD26" s="102" t="s">
        <v>160</v>
      </c>
      <c r="AE26" s="102" t="s">
        <v>161</v>
      </c>
      <c r="AF26" s="102" t="s">
        <v>163</v>
      </c>
      <c r="AG26" s="102" t="s">
        <v>164</v>
      </c>
    </row>
    <row r="27" ht="15.75" customHeight="1">
      <c r="A27" s="1"/>
      <c r="B27" s="82">
        <v>8.0</v>
      </c>
      <c r="C27" s="92"/>
      <c r="D27" s="93"/>
      <c r="E27" s="77"/>
      <c r="F27" s="1"/>
      <c r="G27" s="1"/>
      <c r="H27" s="1"/>
      <c r="I27" s="1"/>
      <c r="J27" s="1"/>
      <c r="K27" s="104" t="str">
        <f t="shared" ref="K27:K30" si="1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AC27" s="102">
        <f t="shared" ref="AC27:AC32" si="2">IF(AG27="","",IF(COUNT(L27:P27)&lt;5,"",L27/5*20+M27/5*25+N27/5*25+O27/5*15+P27/5*15))</f>
        <v>100</v>
      </c>
      <c r="AD27" s="102" t="str">
        <f t="shared" ref="AD27:AD32" si="3">IF(AC27="","",IF(AC27&gt;=90,"Sangat Baik",IF(AC27&gt;=80,"Baik",IF(AC27&gt;=70,"Coaching","Underperform"))))</f>
        <v>Sangat Baik</v>
      </c>
      <c r="AE27" s="102" t="str">
        <f t="shared" ref="AE27:AE32" si="4">IF(AG27="","",IF(OR(AG27="INDAH",AG27="ADDEL",AG27="AMEL",AG27="PENTIL",AG27="JIJANG"),"Admin/CS","Fotografer"))</f>
        <v>Admin/CS</v>
      </c>
      <c r="AF27" s="102">
        <f t="shared" ref="AF27:AF32" si="5">IF(OR(AG27="",COUNT(L27:P27)&lt;5),"",1)</f>
        <v>1</v>
      </c>
      <c r="AG27" s="102" t="str">
        <f t="shared" ref="AG27:AG32" si="6">IFERROR(K27,"")</f>
        <v>AMEL</v>
      </c>
    </row>
    <row r="28" ht="15.75" customHeight="1">
      <c r="A28" s="1"/>
      <c r="B28" s="73">
        <v>9.0</v>
      </c>
      <c r="C28" s="75"/>
      <c r="D28" s="76"/>
      <c r="E28" s="77"/>
      <c r="F28" s="1"/>
      <c r="G28" s="1"/>
      <c r="H28" s="1"/>
      <c r="I28" s="1"/>
      <c r="J28" s="1"/>
      <c r="K28" s="104" t="str">
        <f t="shared" si="1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2">
        <f t="shared" si="2"/>
        <v>100</v>
      </c>
      <c r="AD28" s="102" t="str">
        <f t="shared" si="3"/>
        <v>Sangat Baik</v>
      </c>
      <c r="AE28" s="102" t="str">
        <f t="shared" si="4"/>
        <v>Admin/CS</v>
      </c>
      <c r="AF28" s="102">
        <f t="shared" si="5"/>
        <v>1</v>
      </c>
      <c r="AG28" s="102" t="str">
        <f t="shared" si="6"/>
        <v>INDAH</v>
      </c>
    </row>
    <row r="29" ht="15.75" customHeight="1">
      <c r="A29" s="1"/>
      <c r="B29" s="82">
        <v>10.0</v>
      </c>
      <c r="C29" s="92"/>
      <c r="D29" s="93"/>
      <c r="E29" s="77"/>
      <c r="F29" s="1"/>
      <c r="G29" s="1"/>
      <c r="H29" s="1"/>
      <c r="I29" s="1"/>
      <c r="J29" s="1"/>
      <c r="K29" s="104" t="str">
        <f t="shared" si="1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2">
        <f t="shared" si="2"/>
        <v>100</v>
      </c>
      <c r="AD29" s="102" t="str">
        <f t="shared" si="3"/>
        <v>Sangat Baik</v>
      </c>
      <c r="AE29" s="102" t="str">
        <f t="shared" si="4"/>
        <v>Fotografer</v>
      </c>
      <c r="AF29" s="102">
        <f t="shared" si="5"/>
        <v>1</v>
      </c>
      <c r="AG29" s="102" t="str">
        <f t="shared" si="6"/>
        <v>ADIF</v>
      </c>
    </row>
    <row r="30" ht="15.75" customHeight="1">
      <c r="A30" s="1"/>
      <c r="B30" s="114">
        <v>11.0</v>
      </c>
      <c r="C30" s="115"/>
      <c r="D30" s="116"/>
      <c r="E30" s="77"/>
      <c r="F30" s="1"/>
      <c r="G30" s="1"/>
      <c r="H30" s="1"/>
      <c r="I30" s="1"/>
      <c r="J30" s="1"/>
      <c r="K30" s="104" t="str">
        <f t="shared" si="1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2">
        <f t="shared" si="2"/>
        <v>100</v>
      </c>
      <c r="AD30" s="102" t="str">
        <f t="shared" si="3"/>
        <v>Sangat Baik</v>
      </c>
      <c r="AE30" s="102" t="str">
        <f t="shared" si="4"/>
        <v>Fotografer</v>
      </c>
      <c r="AF30" s="102">
        <f t="shared" si="5"/>
        <v>1</v>
      </c>
      <c r="AG30" s="102" t="str">
        <f t="shared" si="6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4"/>
      <c r="L31" s="118"/>
      <c r="M31" s="118"/>
      <c r="N31" s="118"/>
      <c r="O31" s="118"/>
      <c r="P31" s="118"/>
      <c r="Q31" s="1"/>
      <c r="R31" s="1"/>
      <c r="AC31" s="102" t="str">
        <f t="shared" si="2"/>
        <v/>
      </c>
      <c r="AD31" s="102" t="str">
        <f t="shared" si="3"/>
        <v/>
      </c>
      <c r="AE31" s="102" t="str">
        <f t="shared" si="4"/>
        <v/>
      </c>
      <c r="AF31" s="102" t="str">
        <f t="shared" si="5"/>
        <v/>
      </c>
      <c r="AG31" s="102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8"/>
      <c r="M32" s="118"/>
      <c r="N32" s="118"/>
      <c r="O32" s="118"/>
      <c r="P32" s="118"/>
      <c r="Q32" s="1"/>
      <c r="R32" s="1"/>
      <c r="AC32" s="102" t="str">
        <f t="shared" si="2"/>
        <v/>
      </c>
      <c r="AD32" s="102" t="str">
        <f t="shared" si="3"/>
        <v/>
      </c>
      <c r="AE32" s="102" t="str">
        <f t="shared" si="4"/>
        <v/>
      </c>
      <c r="AF32" s="102" t="str">
        <f t="shared" si="5"/>
        <v/>
      </c>
      <c r="AG32" s="102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195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1" t="s">
        <v>198</v>
      </c>
      <c r="N35" s="1"/>
      <c r="O35" s="1"/>
      <c r="P35" s="1"/>
      <c r="Q35" s="1"/>
      <c r="R35" s="1"/>
    </row>
    <row r="36" ht="15.75" customHeight="1">
      <c r="K36" s="123" t="s">
        <v>8</v>
      </c>
      <c r="L36" s="123" t="s">
        <v>200</v>
      </c>
      <c r="M36" s="123" t="s">
        <v>201</v>
      </c>
    </row>
    <row r="37" ht="15.75" customHeight="1">
      <c r="K37" s="126" t="str">
        <f t="shared" ref="K37:K38" si="7">IF(O20="","",O20)</f>
        <v>AMEL</v>
      </c>
      <c r="L37" s="127">
        <v>3.0</v>
      </c>
      <c r="M37" s="129"/>
    </row>
    <row r="38" ht="15.75" customHeight="1">
      <c r="K38" s="126" t="str">
        <f t="shared" si="7"/>
        <v>INDAH</v>
      </c>
      <c r="L38" s="127">
        <v>2.0</v>
      </c>
      <c r="M38" s="129"/>
    </row>
    <row r="39" ht="15.75" customHeight="1"/>
    <row r="40" ht="19.5" customHeight="1">
      <c r="K40" s="132" t="s">
        <v>206</v>
      </c>
    </row>
    <row r="41" ht="19.5" customHeight="1">
      <c r="K41" s="134" t="s">
        <v>207</v>
      </c>
      <c r="M41" s="127">
        <v>39.0</v>
      </c>
    </row>
    <row r="42" ht="19.5" customHeight="1">
      <c r="K42" s="135" t="s">
        <v>208</v>
      </c>
      <c r="M42" s="138">
        <f>COUNTIF($I$4:$I$18,"DP")</f>
        <v>4</v>
      </c>
    </row>
    <row r="43" ht="19.5" customHeight="1">
      <c r="K43" s="135" t="s">
        <v>210</v>
      </c>
      <c r="M43" s="138">
        <f>COUNTIFS($I$4:$I$18,"&lt;&gt;DP",$I$4:$I$18,"&lt;&gt;")</f>
        <v>8</v>
      </c>
    </row>
    <row r="44" ht="19.5" customHeight="1">
      <c r="K44" s="139" t="s">
        <v>211</v>
      </c>
      <c r="M44" s="138">
        <f>M42+M43</f>
        <v>12</v>
      </c>
    </row>
    <row r="45" ht="19.5" customHeight="1">
      <c r="K45" s="134" t="s">
        <v>212</v>
      </c>
      <c r="M45" s="141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0" t="s">
        <v>22</v>
      </c>
      <c r="E4" s="22"/>
      <c r="F4" s="24" t="s">
        <v>23</v>
      </c>
      <c r="G4" s="26"/>
      <c r="H4" s="29">
        <v>100000.0</v>
      </c>
      <c r="I4" s="32" t="s">
        <v>24</v>
      </c>
      <c r="J4" s="18"/>
      <c r="K4" s="18"/>
      <c r="L4" s="32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32</v>
      </c>
      <c r="D5" s="20" t="s">
        <v>22</v>
      </c>
      <c r="E5" s="22"/>
      <c r="F5" s="24" t="s">
        <v>38</v>
      </c>
      <c r="G5" s="26"/>
      <c r="H5" s="29">
        <v>100000.0</v>
      </c>
      <c r="I5" s="32" t="s">
        <v>24</v>
      </c>
      <c r="J5" s="18"/>
      <c r="K5" s="18"/>
      <c r="L5" s="32" t="s">
        <v>28</v>
      </c>
      <c r="M5" s="18"/>
      <c r="N5" s="33"/>
      <c r="O5" s="33"/>
      <c r="P5" s="34"/>
      <c r="Q5" s="1"/>
      <c r="R5" s="1"/>
    </row>
    <row r="6" ht="15.75" customHeight="1">
      <c r="A6" s="1"/>
      <c r="B6" s="18">
        <v>3.0</v>
      </c>
      <c r="C6" s="20" t="s">
        <v>39</v>
      </c>
      <c r="D6" s="20" t="s">
        <v>22</v>
      </c>
      <c r="E6" s="22"/>
      <c r="F6" s="24" t="s">
        <v>37</v>
      </c>
      <c r="G6" s="26"/>
      <c r="H6" s="29">
        <v>250000.0</v>
      </c>
      <c r="I6" s="32" t="s">
        <v>25</v>
      </c>
      <c r="J6" s="32" t="s">
        <v>26</v>
      </c>
      <c r="K6" s="32" t="s">
        <v>27</v>
      </c>
      <c r="L6" s="32" t="s">
        <v>28</v>
      </c>
      <c r="M6" s="32" t="s">
        <v>42</v>
      </c>
      <c r="N6" s="33"/>
      <c r="O6" s="33"/>
      <c r="P6" s="34"/>
      <c r="Q6" s="1"/>
      <c r="R6" s="1"/>
    </row>
    <row r="7" ht="15.75" customHeight="1">
      <c r="A7" s="1"/>
      <c r="B7" s="18">
        <v>4.0</v>
      </c>
      <c r="C7" s="20" t="s">
        <v>49</v>
      </c>
      <c r="D7" s="20" t="s">
        <v>22</v>
      </c>
      <c r="E7" s="22"/>
      <c r="F7" s="24" t="s">
        <v>37</v>
      </c>
      <c r="G7" s="41">
        <v>250000.0</v>
      </c>
      <c r="H7" s="43"/>
      <c r="I7" s="32" t="s">
        <v>25</v>
      </c>
      <c r="J7" s="32" t="s">
        <v>26</v>
      </c>
      <c r="K7" s="32" t="s">
        <v>27</v>
      </c>
      <c r="L7" s="32" t="s">
        <v>28</v>
      </c>
      <c r="M7" s="32" t="s">
        <v>52</v>
      </c>
      <c r="N7" s="33"/>
      <c r="O7" s="33"/>
      <c r="P7" s="34"/>
      <c r="Q7" s="1"/>
      <c r="R7" s="1"/>
    </row>
    <row r="8" ht="15.75" customHeight="1">
      <c r="A8" s="1"/>
      <c r="B8" s="18">
        <v>5.0</v>
      </c>
      <c r="C8" s="20" t="s">
        <v>55</v>
      </c>
      <c r="D8" s="20" t="s">
        <v>44</v>
      </c>
      <c r="E8" s="22"/>
      <c r="F8" s="24" t="s">
        <v>37</v>
      </c>
      <c r="G8" s="41">
        <v>400000.0</v>
      </c>
      <c r="H8" s="43"/>
      <c r="I8" s="32" t="s">
        <v>25</v>
      </c>
      <c r="J8" s="32" t="s">
        <v>26</v>
      </c>
      <c r="K8" s="32" t="s">
        <v>27</v>
      </c>
      <c r="L8" s="32" t="s">
        <v>28</v>
      </c>
      <c r="M8" s="32" t="s">
        <v>59</v>
      </c>
      <c r="N8" s="33"/>
      <c r="O8" s="33"/>
      <c r="P8" s="34"/>
      <c r="Q8" s="1"/>
      <c r="R8" s="1"/>
    </row>
    <row r="9" ht="15.75" customHeight="1">
      <c r="A9" s="1"/>
      <c r="B9" s="18">
        <v>6.0</v>
      </c>
      <c r="C9" s="45" t="s">
        <v>60</v>
      </c>
      <c r="D9" s="20" t="s">
        <v>22</v>
      </c>
      <c r="E9" s="22"/>
      <c r="F9" s="24" t="s">
        <v>37</v>
      </c>
      <c r="G9" s="41">
        <v>250000.0</v>
      </c>
      <c r="H9" s="43"/>
      <c r="I9" s="32" t="s">
        <v>25</v>
      </c>
      <c r="J9" s="32" t="s">
        <v>26</v>
      </c>
      <c r="K9" s="18"/>
      <c r="L9" s="32" t="s">
        <v>28</v>
      </c>
      <c r="M9" s="32" t="s">
        <v>42</v>
      </c>
      <c r="N9" s="33"/>
      <c r="O9" s="33"/>
      <c r="P9" s="34"/>
      <c r="Q9" s="1"/>
      <c r="R9" s="1"/>
    </row>
    <row r="10" ht="15.75" customHeight="1">
      <c r="A10" s="1"/>
      <c r="B10" s="18">
        <v>7.0</v>
      </c>
      <c r="C10" s="49" t="s">
        <v>64</v>
      </c>
      <c r="D10" s="20" t="s">
        <v>44</v>
      </c>
      <c r="E10" s="22"/>
      <c r="F10" s="17"/>
      <c r="G10" s="41">
        <v>400000.0</v>
      </c>
      <c r="H10" s="43"/>
      <c r="I10" s="32" t="s">
        <v>25</v>
      </c>
      <c r="J10" s="32" t="s">
        <v>26</v>
      </c>
      <c r="K10" s="18"/>
      <c r="L10" s="18"/>
      <c r="M10" s="32" t="s">
        <v>52</v>
      </c>
      <c r="N10" s="33"/>
      <c r="O10" s="33"/>
      <c r="P10" s="34"/>
      <c r="Q10" s="1"/>
      <c r="R10" s="1"/>
    </row>
    <row r="11" ht="15.75" customHeight="1">
      <c r="A11" s="1"/>
      <c r="B11" s="18">
        <v>8.0</v>
      </c>
      <c r="C11" s="20" t="s">
        <v>71</v>
      </c>
      <c r="D11" s="20" t="s">
        <v>22</v>
      </c>
      <c r="E11" s="22"/>
      <c r="F11" s="17"/>
      <c r="G11" s="41">
        <v>290000.0</v>
      </c>
      <c r="H11" s="43"/>
      <c r="I11" s="32" t="s">
        <v>25</v>
      </c>
      <c r="J11" s="18"/>
      <c r="K11" s="18"/>
      <c r="L11" s="18"/>
      <c r="M11" s="32" t="s">
        <v>52</v>
      </c>
      <c r="N11" s="33"/>
      <c r="O11" s="33"/>
      <c r="P11" s="34"/>
      <c r="Q11" s="1"/>
      <c r="R11" s="1"/>
    </row>
    <row r="12" ht="15.75" customHeight="1">
      <c r="A12" s="1"/>
      <c r="B12" s="18">
        <v>9.0</v>
      </c>
      <c r="C12" s="20" t="s">
        <v>72</v>
      </c>
      <c r="D12" s="20" t="s">
        <v>22</v>
      </c>
      <c r="E12" s="22"/>
      <c r="F12" s="17"/>
      <c r="G12" s="41">
        <v>350000.0</v>
      </c>
      <c r="H12" s="43"/>
      <c r="I12" s="32" t="s">
        <v>25</v>
      </c>
      <c r="J12" s="18"/>
      <c r="K12" s="18"/>
      <c r="L12" s="18"/>
      <c r="M12" s="32" t="s">
        <v>42</v>
      </c>
      <c r="N12" s="33"/>
      <c r="O12" s="33"/>
      <c r="P12" s="34"/>
      <c r="Q12" s="1"/>
      <c r="R12" s="1"/>
    </row>
    <row r="13" ht="15.75" customHeight="1">
      <c r="A13" s="1"/>
      <c r="B13" s="18">
        <v>10.0</v>
      </c>
      <c r="C13" s="20" t="s">
        <v>78</v>
      </c>
      <c r="D13" s="20" t="s">
        <v>22</v>
      </c>
      <c r="E13" s="22"/>
      <c r="F13" s="17"/>
      <c r="G13" s="41">
        <v>250000.0</v>
      </c>
      <c r="H13" s="43"/>
      <c r="I13" s="32" t="s">
        <v>25</v>
      </c>
      <c r="J13" s="18"/>
      <c r="K13" s="18"/>
      <c r="L13" s="18"/>
      <c r="M13" s="32" t="s">
        <v>81</v>
      </c>
      <c r="N13" s="33"/>
      <c r="O13" s="33"/>
      <c r="P13" s="34"/>
      <c r="Q13" s="1"/>
      <c r="R13" s="1"/>
    </row>
    <row r="14" ht="15.75" customHeight="1">
      <c r="A14" s="1"/>
      <c r="B14" s="18">
        <v>11.0</v>
      </c>
      <c r="C14" s="20" t="s">
        <v>82</v>
      </c>
      <c r="D14" s="20" t="s">
        <v>22</v>
      </c>
      <c r="E14" s="22"/>
      <c r="F14" s="17"/>
      <c r="G14" s="41"/>
      <c r="H14" s="29">
        <v>310000.0</v>
      </c>
      <c r="I14" s="32" t="s">
        <v>25</v>
      </c>
      <c r="J14" s="18"/>
      <c r="K14" s="18"/>
      <c r="L14" s="18"/>
      <c r="M14" s="32" t="s">
        <v>59</v>
      </c>
      <c r="N14" s="33"/>
      <c r="O14" s="33"/>
      <c r="P14" s="34"/>
      <c r="Q14" s="1"/>
      <c r="R14" s="1"/>
    </row>
    <row r="15" ht="15.75" customHeight="1">
      <c r="A15" s="1"/>
      <c r="B15" s="18">
        <v>12.0</v>
      </c>
      <c r="C15" s="55" t="s">
        <v>88</v>
      </c>
      <c r="D15" s="20" t="s">
        <v>22</v>
      </c>
      <c r="E15" s="22"/>
      <c r="F15" s="17"/>
      <c r="G15" s="26"/>
      <c r="H15" s="29">
        <v>290000.0</v>
      </c>
      <c r="I15" s="32" t="s">
        <v>25</v>
      </c>
      <c r="J15" s="32" t="s">
        <v>26</v>
      </c>
      <c r="K15" s="32" t="s">
        <v>27</v>
      </c>
      <c r="L15" s="18"/>
      <c r="M15" s="32" t="s">
        <v>52</v>
      </c>
      <c r="N15" s="33"/>
      <c r="O15" s="33"/>
      <c r="P15" s="34"/>
      <c r="Q15" s="1"/>
      <c r="R15" s="1"/>
    </row>
    <row r="16" ht="15.75" customHeight="1">
      <c r="A16" s="1"/>
      <c r="B16" s="18">
        <v>13.0</v>
      </c>
      <c r="C16" s="20" t="s">
        <v>94</v>
      </c>
      <c r="D16" s="20" t="s">
        <v>22</v>
      </c>
      <c r="E16" s="22"/>
      <c r="F16" s="17"/>
      <c r="G16" s="26"/>
      <c r="H16" s="29">
        <v>250000.0</v>
      </c>
      <c r="I16" s="32" t="s">
        <v>25</v>
      </c>
      <c r="J16" s="32" t="s">
        <v>26</v>
      </c>
      <c r="K16" s="32" t="s">
        <v>27</v>
      </c>
      <c r="L16" s="18"/>
      <c r="M16" s="32" t="s">
        <v>81</v>
      </c>
      <c r="N16" s="33"/>
      <c r="O16" s="33"/>
      <c r="P16" s="34"/>
      <c r="Q16" s="1"/>
      <c r="R16" s="1"/>
    </row>
    <row r="17" ht="15.75" customHeight="1">
      <c r="A17" s="1"/>
      <c r="B17" s="18">
        <v>14.0</v>
      </c>
      <c r="C17" s="20" t="s">
        <v>97</v>
      </c>
      <c r="D17" s="20" t="s">
        <v>44</v>
      </c>
      <c r="E17" s="22"/>
      <c r="F17" s="17"/>
      <c r="G17" s="26"/>
      <c r="H17" s="29">
        <v>450000.0</v>
      </c>
      <c r="I17" s="32" t="s">
        <v>25</v>
      </c>
      <c r="J17" s="32" t="s">
        <v>26</v>
      </c>
      <c r="K17" s="32" t="s">
        <v>27</v>
      </c>
      <c r="L17" s="18"/>
      <c r="M17" s="32" t="s">
        <v>52</v>
      </c>
      <c r="N17" s="33"/>
      <c r="O17" s="33"/>
      <c r="P17" s="34"/>
      <c r="Q17" s="1"/>
      <c r="R17" s="1"/>
    </row>
    <row r="18" ht="15.75" customHeight="1">
      <c r="A18" s="1"/>
      <c r="B18" s="18">
        <v>15.0</v>
      </c>
      <c r="C18" s="20" t="s">
        <v>99</v>
      </c>
      <c r="D18" s="20" t="s">
        <v>22</v>
      </c>
      <c r="E18" s="22"/>
      <c r="F18" s="17"/>
      <c r="G18" s="41">
        <v>250000.0</v>
      </c>
      <c r="H18" s="43"/>
      <c r="I18" s="32" t="s">
        <v>25</v>
      </c>
      <c r="J18" s="18"/>
      <c r="K18" s="18"/>
      <c r="L18" s="18"/>
      <c r="M18" s="32" t="s">
        <v>42</v>
      </c>
      <c r="N18" s="33"/>
      <c r="O18" s="33"/>
      <c r="P18" s="34"/>
      <c r="Q18" s="1"/>
      <c r="R18" s="1"/>
    </row>
    <row r="19" ht="15.75" customHeight="1">
      <c r="A19" s="1"/>
      <c r="B19" s="18">
        <v>16.0</v>
      </c>
      <c r="C19" s="20" t="s">
        <v>102</v>
      </c>
      <c r="D19" s="20" t="s">
        <v>22</v>
      </c>
      <c r="E19" s="22"/>
      <c r="F19" s="24" t="s">
        <v>37</v>
      </c>
      <c r="G19" s="41">
        <v>290000.0</v>
      </c>
      <c r="H19" s="43"/>
      <c r="I19" s="32" t="s">
        <v>25</v>
      </c>
      <c r="J19" s="32" t="s">
        <v>26</v>
      </c>
      <c r="K19" s="32" t="s">
        <v>27</v>
      </c>
      <c r="L19" s="18"/>
      <c r="M19" s="32" t="s">
        <v>59</v>
      </c>
      <c r="N19" s="33"/>
      <c r="O19" s="33"/>
      <c r="P19" s="34"/>
      <c r="Q19" s="1"/>
      <c r="R19" s="1"/>
    </row>
    <row r="20" ht="15.75" customHeight="1">
      <c r="A20" s="1"/>
      <c r="B20" s="18">
        <v>17.0</v>
      </c>
      <c r="C20" s="62" t="s">
        <v>104</v>
      </c>
      <c r="D20" s="20" t="s">
        <v>22</v>
      </c>
      <c r="E20" s="22"/>
      <c r="F20" s="17"/>
      <c r="G20" s="26"/>
      <c r="H20" s="29">
        <v>260000.0</v>
      </c>
      <c r="I20" s="32" t="s">
        <v>25</v>
      </c>
      <c r="J20" s="18"/>
      <c r="K20" s="18"/>
      <c r="L20" s="18"/>
      <c r="M20" s="32" t="s">
        <v>81</v>
      </c>
      <c r="N20" s="33"/>
      <c r="O20" s="33"/>
      <c r="P20" s="34"/>
      <c r="Q20" s="1"/>
      <c r="R20" s="1"/>
    </row>
    <row r="21" ht="15.75" customHeight="1">
      <c r="A21" s="1"/>
      <c r="B21" s="18">
        <v>18.0</v>
      </c>
      <c r="C21" s="20" t="s">
        <v>106</v>
      </c>
      <c r="D21" s="20" t="s">
        <v>22</v>
      </c>
      <c r="E21" s="22"/>
      <c r="G21" s="26"/>
      <c r="H21" s="29">
        <v>250000.0</v>
      </c>
      <c r="I21" s="32" t="s">
        <v>25</v>
      </c>
      <c r="J21" s="18"/>
      <c r="K21" s="18"/>
      <c r="L21" s="18"/>
      <c r="M21" s="32" t="s">
        <v>42</v>
      </c>
      <c r="N21" s="33"/>
      <c r="O21" s="33"/>
      <c r="P21" s="34"/>
      <c r="Q21" s="1"/>
      <c r="R21" s="1"/>
    </row>
    <row r="22" ht="15.75" customHeight="1">
      <c r="A22" s="1"/>
      <c r="B22" s="18">
        <v>19.0</v>
      </c>
      <c r="C22" s="58" t="s">
        <v>108</v>
      </c>
      <c r="D22" s="20" t="s">
        <v>44</v>
      </c>
      <c r="E22" s="22"/>
      <c r="F22" s="17"/>
      <c r="G22" s="26"/>
      <c r="H22" s="29">
        <v>440000.0</v>
      </c>
      <c r="I22" s="32" t="s">
        <v>25</v>
      </c>
      <c r="J22" s="18"/>
      <c r="K22" s="18"/>
      <c r="L22" s="18"/>
      <c r="M22" s="32" t="s">
        <v>59</v>
      </c>
      <c r="N22" s="33"/>
      <c r="O22" s="33"/>
      <c r="P22" s="34"/>
      <c r="Q22" s="1"/>
      <c r="R22" s="1"/>
    </row>
    <row r="23" ht="15.75" customHeight="1">
      <c r="A23" s="1"/>
      <c r="B23" s="18">
        <v>20.0</v>
      </c>
      <c r="C23" s="20" t="s">
        <v>109</v>
      </c>
      <c r="D23" s="20" t="s">
        <v>22</v>
      </c>
      <c r="E23" s="22"/>
      <c r="F23" s="17"/>
      <c r="G23" s="41">
        <v>290000.0</v>
      </c>
      <c r="H23" s="43"/>
      <c r="I23" s="32" t="s">
        <v>25</v>
      </c>
      <c r="J23" s="18"/>
      <c r="K23" s="18"/>
      <c r="L23" s="18"/>
      <c r="M23" s="32" t="s">
        <v>52</v>
      </c>
      <c r="N23" s="33"/>
      <c r="O23" s="33"/>
      <c r="P23" s="34"/>
      <c r="Q23" s="1"/>
      <c r="R23" s="1"/>
    </row>
    <row r="24" ht="15.75" customHeight="1">
      <c r="A24" s="1"/>
      <c r="B24" s="18">
        <v>21.0</v>
      </c>
      <c r="C24" s="20" t="s">
        <v>111</v>
      </c>
      <c r="D24" s="20" t="s">
        <v>22</v>
      </c>
      <c r="E24" s="22"/>
      <c r="F24" s="17"/>
      <c r="G24" s="26"/>
      <c r="H24" s="29">
        <v>570000.0</v>
      </c>
      <c r="I24" s="32" t="s">
        <v>25</v>
      </c>
      <c r="J24" s="18"/>
      <c r="K24" s="18"/>
      <c r="L24" s="18"/>
      <c r="M24" s="32" t="s">
        <v>42</v>
      </c>
      <c r="N24" s="33"/>
      <c r="O24" s="33"/>
      <c r="P24" s="34"/>
      <c r="Q24" s="1"/>
      <c r="R24" s="1"/>
    </row>
    <row r="25" ht="15.75" customHeight="1">
      <c r="A25" s="1"/>
      <c r="B25" s="18">
        <v>22.0</v>
      </c>
      <c r="C25" s="20" t="s">
        <v>113</v>
      </c>
      <c r="D25" s="20" t="s">
        <v>22</v>
      </c>
      <c r="E25" s="22"/>
      <c r="F25" s="17"/>
      <c r="G25" s="26"/>
      <c r="H25" s="29">
        <v>330000.0</v>
      </c>
      <c r="I25" s="32" t="s">
        <v>25</v>
      </c>
      <c r="J25" s="18"/>
      <c r="K25" s="18"/>
      <c r="L25" s="18"/>
      <c r="M25" s="32" t="s">
        <v>42</v>
      </c>
      <c r="N25" s="33"/>
      <c r="O25" s="33"/>
      <c r="P25" s="34"/>
      <c r="Q25" s="1"/>
      <c r="R25" s="1"/>
    </row>
    <row r="26" ht="15.75" customHeight="1">
      <c r="A26" s="1"/>
      <c r="B26" s="18">
        <v>23.0</v>
      </c>
      <c r="C26" s="20" t="s">
        <v>115</v>
      </c>
      <c r="D26" s="20" t="s">
        <v>22</v>
      </c>
      <c r="E26" s="22"/>
      <c r="F26" s="17"/>
      <c r="G26" s="26"/>
      <c r="H26" s="29">
        <v>290000.0</v>
      </c>
      <c r="I26" s="32" t="s">
        <v>25</v>
      </c>
      <c r="J26" s="32" t="s">
        <v>26</v>
      </c>
      <c r="K26" s="18"/>
      <c r="L26" s="18"/>
      <c r="M26" s="32" t="s">
        <v>59</v>
      </c>
      <c r="N26" s="33"/>
      <c r="O26" s="33"/>
      <c r="P26" s="34"/>
      <c r="Q26" s="1"/>
      <c r="R26" s="1"/>
    </row>
    <row r="27" ht="15.75" customHeight="1">
      <c r="A27" s="1"/>
      <c r="B27" s="18">
        <v>24.0</v>
      </c>
      <c r="C27" s="20" t="s">
        <v>116</v>
      </c>
      <c r="D27" s="20" t="s">
        <v>43</v>
      </c>
      <c r="E27" s="22"/>
      <c r="F27" s="57">
        <v>46299.0</v>
      </c>
      <c r="G27" s="26"/>
      <c r="H27" s="29">
        <v>100000.0</v>
      </c>
      <c r="I27" s="32" t="s">
        <v>25</v>
      </c>
      <c r="J27" s="18"/>
      <c r="K27" s="18"/>
      <c r="L27" s="32" t="s">
        <v>29</v>
      </c>
      <c r="M27" s="18"/>
      <c r="N27" s="33"/>
      <c r="O27" s="33"/>
      <c r="P27" s="34"/>
      <c r="Q27" s="1"/>
      <c r="R27" s="1"/>
    </row>
    <row r="28" ht="15.75" customHeight="1">
      <c r="A28" s="1"/>
      <c r="B28" s="18">
        <v>25.0</v>
      </c>
      <c r="C28" s="20" t="s">
        <v>119</v>
      </c>
      <c r="D28" s="20" t="s">
        <v>22</v>
      </c>
      <c r="E28" s="22"/>
      <c r="F28" s="17"/>
      <c r="G28" s="26"/>
      <c r="H28" s="29">
        <v>250000.0</v>
      </c>
      <c r="I28" s="32" t="s">
        <v>25</v>
      </c>
      <c r="J28" s="18"/>
      <c r="K28" s="18"/>
      <c r="L28" s="18"/>
      <c r="M28" s="32" t="s">
        <v>52</v>
      </c>
      <c r="N28" s="33"/>
      <c r="O28" s="33"/>
      <c r="P28" s="34"/>
      <c r="Q28" s="1"/>
      <c r="R28" s="1"/>
    </row>
    <row r="29" ht="15.75" customHeight="1">
      <c r="A29" s="1"/>
      <c r="B29" s="18">
        <v>26.0</v>
      </c>
      <c r="C29" s="20" t="s">
        <v>122</v>
      </c>
      <c r="D29" s="20" t="s">
        <v>22</v>
      </c>
      <c r="E29" s="22"/>
      <c r="F29" s="17"/>
      <c r="G29" s="26"/>
      <c r="H29" s="29">
        <v>250000.0</v>
      </c>
      <c r="I29" s="32" t="s">
        <v>25</v>
      </c>
      <c r="J29" s="18"/>
      <c r="K29" s="18"/>
      <c r="L29" s="18"/>
      <c r="M29" s="18"/>
      <c r="N29" s="33"/>
      <c r="O29" s="33"/>
      <c r="P29" s="34"/>
      <c r="Q29" s="1"/>
      <c r="R29" s="1"/>
    </row>
    <row r="30" ht="15.75" customHeight="1">
      <c r="A30" s="1"/>
      <c r="B30" s="18">
        <v>27.0</v>
      </c>
      <c r="C30" s="20" t="s">
        <v>125</v>
      </c>
      <c r="D30" s="20" t="s">
        <v>22</v>
      </c>
      <c r="E30" s="22"/>
      <c r="F30" s="17"/>
      <c r="G30" s="26"/>
      <c r="H30" s="29">
        <v>250000.0</v>
      </c>
      <c r="I30" s="32" t="s">
        <v>25</v>
      </c>
      <c r="J30" s="18"/>
      <c r="K30" s="18"/>
      <c r="L30" s="18"/>
      <c r="M30" s="32" t="s">
        <v>42</v>
      </c>
      <c r="N30" s="33"/>
      <c r="O30" s="33"/>
      <c r="P30" s="34"/>
      <c r="Q30" s="1"/>
      <c r="R30" s="1"/>
    </row>
    <row r="31" ht="15.75" customHeight="1">
      <c r="A31" s="1"/>
      <c r="B31" s="18">
        <v>28.0</v>
      </c>
      <c r="C31" s="74" t="s">
        <v>126</v>
      </c>
      <c r="D31" s="20" t="s">
        <v>22</v>
      </c>
      <c r="E31" s="22"/>
      <c r="F31" s="17"/>
      <c r="G31" s="41">
        <v>250000.0</v>
      </c>
      <c r="H31" s="43"/>
      <c r="I31" s="32" t="s">
        <v>25</v>
      </c>
      <c r="J31" s="18"/>
      <c r="K31" s="18"/>
      <c r="L31" s="32" t="s">
        <v>28</v>
      </c>
      <c r="M31" s="32" t="s">
        <v>81</v>
      </c>
      <c r="N31" s="33"/>
      <c r="O31" s="33"/>
      <c r="P31" s="34"/>
      <c r="Q31" s="1"/>
      <c r="R31" s="1"/>
    </row>
    <row r="32" ht="15.75" customHeight="1">
      <c r="A32" s="1"/>
      <c r="B32" s="18">
        <v>29.0</v>
      </c>
      <c r="C32" s="81" t="s">
        <v>130</v>
      </c>
      <c r="D32" s="20" t="s">
        <v>22</v>
      </c>
      <c r="E32" s="22"/>
      <c r="F32" s="17"/>
      <c r="G32" s="41"/>
      <c r="H32" s="29">
        <v>330000.0</v>
      </c>
      <c r="I32" s="32" t="s">
        <v>25</v>
      </c>
      <c r="J32" s="18"/>
      <c r="K32" s="18"/>
      <c r="L32" s="32" t="s">
        <v>28</v>
      </c>
      <c r="M32" s="32" t="s">
        <v>52</v>
      </c>
      <c r="N32" s="33"/>
      <c r="O32" s="33"/>
      <c r="P32" s="34"/>
      <c r="Q32" s="1"/>
      <c r="R32" s="1"/>
    </row>
    <row r="33" ht="15.75" customHeight="1">
      <c r="A33" s="1"/>
      <c r="B33" s="18">
        <v>30.0</v>
      </c>
      <c r="C33" s="87" t="s">
        <v>134</v>
      </c>
      <c r="D33" s="20" t="s">
        <v>22</v>
      </c>
      <c r="E33" s="22"/>
      <c r="F33" s="17"/>
      <c r="G33" s="41">
        <v>270000.0</v>
      </c>
      <c r="H33" s="43"/>
      <c r="I33" s="32" t="s">
        <v>25</v>
      </c>
      <c r="J33" s="18"/>
      <c r="K33" s="18"/>
      <c r="L33" s="32" t="s">
        <v>29</v>
      </c>
      <c r="M33" s="32" t="s">
        <v>59</v>
      </c>
      <c r="N33" s="33"/>
      <c r="O33" s="33"/>
      <c r="P33" s="34"/>
      <c r="Q33" s="1"/>
      <c r="R33" s="1"/>
    </row>
    <row r="34" ht="15.75" customHeight="1">
      <c r="A34" s="1"/>
      <c r="B34" s="18">
        <v>31.0</v>
      </c>
      <c r="C34" s="20" t="s">
        <v>137</v>
      </c>
      <c r="D34" s="20" t="s">
        <v>22</v>
      </c>
      <c r="E34" s="22"/>
      <c r="F34" s="17"/>
      <c r="G34" s="41">
        <v>250000.0</v>
      </c>
      <c r="H34" s="43"/>
      <c r="I34" s="32" t="s">
        <v>25</v>
      </c>
      <c r="J34" s="18"/>
      <c r="K34" s="18"/>
      <c r="L34" s="18"/>
      <c r="M34" s="32" t="s">
        <v>52</v>
      </c>
      <c r="N34" s="33"/>
      <c r="O34" s="33"/>
      <c r="P34" s="34"/>
      <c r="Q34" s="1"/>
      <c r="R34" s="1"/>
    </row>
    <row r="35" ht="15.75" customHeight="1">
      <c r="A35" s="1"/>
      <c r="B35" s="18">
        <v>32.0</v>
      </c>
      <c r="C35" s="20" t="s">
        <v>139</v>
      </c>
      <c r="D35" s="20" t="s">
        <v>22</v>
      </c>
      <c r="E35" s="22"/>
      <c r="F35" s="24"/>
      <c r="G35" s="41" t="s">
        <v>40</v>
      </c>
      <c r="H35" s="29" t="s">
        <v>40</v>
      </c>
      <c r="I35" s="32" t="s">
        <v>25</v>
      </c>
      <c r="J35" s="18"/>
      <c r="K35" s="18"/>
      <c r="L35" s="32" t="s">
        <v>28</v>
      </c>
      <c r="M35" s="32" t="s">
        <v>59</v>
      </c>
      <c r="N35" s="33"/>
      <c r="O35" s="33"/>
      <c r="P35" s="34"/>
      <c r="Q35" s="1"/>
      <c r="R35" s="1"/>
    </row>
    <row r="36" ht="15.75" customHeight="1">
      <c r="A36" s="1"/>
      <c r="B36" s="18">
        <v>33.0</v>
      </c>
      <c r="C36" s="20" t="s">
        <v>141</v>
      </c>
      <c r="D36" s="20" t="s">
        <v>22</v>
      </c>
      <c r="E36" s="22"/>
      <c r="F36" s="17"/>
      <c r="G36" s="26"/>
      <c r="H36" s="29">
        <v>250000.0</v>
      </c>
      <c r="I36" s="32" t="s">
        <v>25</v>
      </c>
      <c r="J36" s="18"/>
      <c r="K36" s="18"/>
      <c r="L36" s="32" t="s">
        <v>28</v>
      </c>
      <c r="M36" s="32" t="s">
        <v>81</v>
      </c>
      <c r="N36" s="33"/>
      <c r="O36" s="33"/>
      <c r="P36" s="34"/>
      <c r="Q36" s="1"/>
      <c r="R36" s="1"/>
    </row>
    <row r="37" ht="15.75" customHeight="1">
      <c r="A37" s="1"/>
      <c r="B37" s="18">
        <v>34.0</v>
      </c>
      <c r="C37" s="90" t="s">
        <v>143</v>
      </c>
      <c r="D37" s="20" t="s">
        <v>22</v>
      </c>
      <c r="E37" s="22"/>
      <c r="F37" s="17"/>
      <c r="G37" s="41">
        <v>250000.0</v>
      </c>
      <c r="H37" s="43"/>
      <c r="I37" s="32" t="s">
        <v>25</v>
      </c>
      <c r="J37" s="18"/>
      <c r="K37" s="18"/>
      <c r="L37" s="32" t="s">
        <v>28</v>
      </c>
      <c r="M37" s="32" t="s">
        <v>42</v>
      </c>
      <c r="N37" s="33"/>
      <c r="O37" s="33"/>
      <c r="P37" s="34"/>
      <c r="Q37" s="1"/>
      <c r="R37" s="1"/>
    </row>
    <row r="38" ht="15.75" customHeight="1">
      <c r="A38" s="1"/>
      <c r="B38" s="18">
        <v>35.0</v>
      </c>
      <c r="C38" s="20" t="s">
        <v>145</v>
      </c>
      <c r="D38" s="20" t="s">
        <v>22</v>
      </c>
      <c r="E38" s="22"/>
      <c r="F38" s="17"/>
      <c r="G38" s="41">
        <v>310000.0</v>
      </c>
      <c r="H38" s="43"/>
      <c r="I38" s="32" t="s">
        <v>25</v>
      </c>
      <c r="J38" s="18"/>
      <c r="K38" s="18"/>
      <c r="L38" s="32" t="s">
        <v>28</v>
      </c>
      <c r="M38" s="32" t="s">
        <v>59</v>
      </c>
      <c r="N38" s="33"/>
      <c r="O38" s="33"/>
      <c r="P38" s="34"/>
      <c r="Q38" s="1"/>
      <c r="R38" s="1"/>
    </row>
    <row r="39" ht="15.75" customHeight="1">
      <c r="A39" s="1"/>
      <c r="B39" s="18">
        <v>36.0</v>
      </c>
      <c r="C39" s="58" t="s">
        <v>85</v>
      </c>
      <c r="D39" s="20" t="s">
        <v>22</v>
      </c>
      <c r="E39" s="22"/>
      <c r="F39" s="17"/>
      <c r="G39" s="96"/>
      <c r="H39" s="31">
        <v>330000.0</v>
      </c>
      <c r="I39" s="32" t="s">
        <v>25</v>
      </c>
      <c r="J39" s="18"/>
      <c r="K39" s="18"/>
      <c r="L39" s="18"/>
      <c r="M39" s="32" t="s">
        <v>52</v>
      </c>
      <c r="N39" s="18"/>
      <c r="O39" s="18"/>
      <c r="P39" s="99"/>
      <c r="Q39" s="1"/>
      <c r="R39" s="1"/>
    </row>
    <row r="40" ht="15.75" customHeight="1">
      <c r="A40" s="1"/>
      <c r="B40" s="18">
        <v>37.0</v>
      </c>
      <c r="C40" s="20" t="s">
        <v>151</v>
      </c>
      <c r="D40" s="20" t="s">
        <v>22</v>
      </c>
      <c r="E40" s="22"/>
      <c r="F40" s="17"/>
      <c r="G40" s="96"/>
      <c r="H40" s="31">
        <v>290000.0</v>
      </c>
      <c r="I40" s="32" t="s">
        <v>25</v>
      </c>
      <c r="J40" s="18"/>
      <c r="K40" s="18"/>
      <c r="L40" s="32" t="s">
        <v>28</v>
      </c>
      <c r="M40" s="32" t="s">
        <v>42</v>
      </c>
      <c r="N40" s="18"/>
      <c r="O40" s="18"/>
      <c r="P40" s="99"/>
      <c r="Q40" s="1"/>
      <c r="R40" s="1"/>
    </row>
    <row r="41" ht="15.75" customHeight="1">
      <c r="A41" s="1"/>
      <c r="B41" s="18">
        <v>38.0</v>
      </c>
      <c r="C41" s="20" t="s">
        <v>152</v>
      </c>
      <c r="D41" s="20" t="s">
        <v>22</v>
      </c>
      <c r="E41" s="22"/>
      <c r="F41" s="17"/>
      <c r="G41" s="96"/>
      <c r="H41" s="31">
        <v>250000.0</v>
      </c>
      <c r="I41" s="32" t="s">
        <v>25</v>
      </c>
      <c r="J41" s="18"/>
      <c r="K41" s="18"/>
      <c r="L41" s="18"/>
      <c r="M41" s="32" t="s">
        <v>81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0" t="s">
        <v>162</v>
      </c>
      <c r="D42" s="20" t="s">
        <v>22</v>
      </c>
      <c r="E42" s="22"/>
      <c r="F42" s="17"/>
      <c r="G42" s="52">
        <v>250000.0</v>
      </c>
      <c r="H42" s="37"/>
      <c r="I42" s="32" t="s">
        <v>25</v>
      </c>
      <c r="J42" s="18"/>
      <c r="K42" s="18"/>
      <c r="L42" s="18"/>
      <c r="M42" s="32" t="s">
        <v>59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0" t="s">
        <v>166</v>
      </c>
      <c r="D43" s="20" t="s">
        <v>22</v>
      </c>
      <c r="E43" s="22"/>
      <c r="F43" s="17"/>
      <c r="G43" s="96"/>
      <c r="H43" s="31">
        <v>250000.0</v>
      </c>
      <c r="I43" s="32" t="s">
        <v>25</v>
      </c>
      <c r="J43" s="18"/>
      <c r="K43" s="18"/>
      <c r="L43" s="18"/>
      <c r="M43" s="32" t="s">
        <v>42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0" t="s">
        <v>169</v>
      </c>
      <c r="D44" s="20" t="s">
        <v>22</v>
      </c>
      <c r="E44" s="47"/>
      <c r="F44" s="17"/>
      <c r="G44" s="109"/>
      <c r="H44" s="52">
        <v>290000.0</v>
      </c>
      <c r="I44" s="32" t="s">
        <v>25</v>
      </c>
      <c r="J44" s="18"/>
      <c r="K44" s="18"/>
      <c r="L44" s="18"/>
      <c r="M44" s="32" t="s">
        <v>59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0" t="s">
        <v>62</v>
      </c>
      <c r="D45" s="20" t="s">
        <v>22</v>
      </c>
      <c r="E45" s="17"/>
      <c r="F45" s="18"/>
      <c r="G45" s="110"/>
      <c r="H45" s="30">
        <v>250000.0</v>
      </c>
      <c r="I45" s="32" t="s">
        <v>25</v>
      </c>
      <c r="J45" s="18"/>
      <c r="K45" s="18"/>
      <c r="L45" s="32" t="s">
        <v>28</v>
      </c>
      <c r="M45" s="32" t="s">
        <v>59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0" t="s">
        <v>173</v>
      </c>
      <c r="D46" s="20" t="s">
        <v>22</v>
      </c>
      <c r="E46" s="17"/>
      <c r="F46" s="18"/>
      <c r="G46" s="110"/>
      <c r="H46" s="30">
        <v>610000.0</v>
      </c>
      <c r="I46" s="32" t="s">
        <v>25</v>
      </c>
      <c r="J46" s="18"/>
      <c r="K46" s="18"/>
      <c r="L46" s="32" t="s">
        <v>28</v>
      </c>
      <c r="M46" s="32" t="s">
        <v>52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0" t="s">
        <v>175</v>
      </c>
      <c r="D47" s="20" t="s">
        <v>22</v>
      </c>
      <c r="E47" s="17"/>
      <c r="F47" s="18"/>
      <c r="G47" s="110"/>
      <c r="H47" s="30">
        <v>250000.0</v>
      </c>
      <c r="I47" s="32" t="s">
        <v>25</v>
      </c>
      <c r="J47" s="18"/>
      <c r="K47" s="18"/>
      <c r="L47" s="32" t="s">
        <v>28</v>
      </c>
      <c r="M47" s="32" t="s">
        <v>42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0" t="s">
        <v>177</v>
      </c>
      <c r="D48" s="20" t="s">
        <v>22</v>
      </c>
      <c r="E48" s="17"/>
      <c r="F48" s="18"/>
      <c r="G48" s="112">
        <v>290000.0</v>
      </c>
      <c r="H48" s="60"/>
      <c r="I48" s="32" t="s">
        <v>25</v>
      </c>
      <c r="J48" s="18"/>
      <c r="K48" s="18"/>
      <c r="L48" s="32" t="s">
        <v>29</v>
      </c>
      <c r="M48" s="32" t="s">
        <v>59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0" t="s">
        <v>179</v>
      </c>
      <c r="D49" s="20" t="s">
        <v>22</v>
      </c>
      <c r="E49" s="17"/>
      <c r="F49" s="32" t="s">
        <v>48</v>
      </c>
      <c r="G49" s="110"/>
      <c r="H49" s="30">
        <v>100000.0</v>
      </c>
      <c r="I49" s="32" t="s">
        <v>24</v>
      </c>
      <c r="J49" s="18"/>
      <c r="K49" s="18"/>
      <c r="L49" s="32" t="s">
        <v>28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0" t="s">
        <v>181</v>
      </c>
      <c r="D50" s="20" t="s">
        <v>182</v>
      </c>
      <c r="E50" s="17"/>
      <c r="F50" s="32" t="s">
        <v>37</v>
      </c>
      <c r="G50" s="110"/>
      <c r="H50" s="30">
        <v>200000.0</v>
      </c>
      <c r="I50" s="32" t="s">
        <v>25</v>
      </c>
      <c r="J50" s="32" t="s">
        <v>26</v>
      </c>
      <c r="K50" s="18"/>
      <c r="L50" s="32" t="s">
        <v>28</v>
      </c>
      <c r="M50" s="32" t="s">
        <v>42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0"/>
      <c r="D51" s="20"/>
      <c r="E51" s="17"/>
      <c r="F51" s="32"/>
      <c r="G51" s="110"/>
      <c r="H51" s="60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78"/>
      <c r="D52" s="78"/>
      <c r="E52" s="17"/>
      <c r="F52" s="18"/>
      <c r="G52" s="110"/>
      <c r="H52" s="60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78"/>
      <c r="D53" s="78"/>
      <c r="E53" s="17"/>
      <c r="F53" s="18"/>
      <c r="G53" s="110"/>
      <c r="H53" s="60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78"/>
      <c r="D54" s="78"/>
      <c r="E54" s="17"/>
      <c r="F54" s="18"/>
      <c r="G54" s="110"/>
      <c r="H54" s="60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78"/>
      <c r="D55" s="78"/>
      <c r="E55" s="113"/>
      <c r="F55" s="18"/>
      <c r="G55" s="110"/>
      <c r="H55" s="60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78"/>
      <c r="D56" s="78"/>
      <c r="E56" s="113"/>
      <c r="F56" s="18"/>
      <c r="G56" s="110"/>
      <c r="H56" s="60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78"/>
      <c r="D57" s="78"/>
      <c r="E57" s="113"/>
      <c r="F57" s="18"/>
      <c r="G57" s="110"/>
      <c r="H57" s="60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78"/>
      <c r="D58" s="78"/>
      <c r="E58" s="113"/>
      <c r="F58" s="18"/>
      <c r="G58" s="110"/>
      <c r="H58" s="60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78"/>
      <c r="D59" s="78"/>
      <c r="E59" s="113"/>
      <c r="F59" s="18"/>
      <c r="G59" s="110"/>
      <c r="H59" s="60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78"/>
      <c r="D60" s="78"/>
      <c r="E60" s="113"/>
      <c r="F60" s="18"/>
      <c r="G60" s="110"/>
      <c r="H60" s="60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78"/>
      <c r="D61" s="78"/>
      <c r="E61" s="113"/>
      <c r="F61" s="18"/>
      <c r="G61" s="110"/>
      <c r="H61" s="60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78"/>
      <c r="D62" s="78"/>
      <c r="E62" s="17"/>
      <c r="F62" s="18"/>
      <c r="G62" s="110"/>
      <c r="H62" s="60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19">
        <f t="shared" ref="G63:H63" si="1">SUM(G4:G62)</f>
        <v>4890000</v>
      </c>
      <c r="H63" s="70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71" t="s">
        <v>1</v>
      </c>
      <c r="C66" s="72" t="s">
        <v>7</v>
      </c>
      <c r="D66" s="72" t="s">
        <v>120</v>
      </c>
      <c r="E66" s="1"/>
      <c r="F66" s="1"/>
      <c r="G66" s="1"/>
      <c r="H66" s="1"/>
      <c r="I66" s="1"/>
      <c r="J66" s="1"/>
      <c r="K66" s="1"/>
      <c r="L66" s="1"/>
      <c r="M66" s="1"/>
      <c r="N66" s="72" t="s">
        <v>121</v>
      </c>
      <c r="O66" s="72" t="s">
        <v>2</v>
      </c>
      <c r="P66" s="1"/>
      <c r="Q66" s="1"/>
      <c r="R66" s="1"/>
    </row>
    <row r="67" ht="15.75" customHeight="1">
      <c r="A67" s="1"/>
      <c r="B67" s="73">
        <v>1.0</v>
      </c>
      <c r="C67" s="73" t="s">
        <v>124</v>
      </c>
      <c r="D67" s="125">
        <f>SUM(G63)</f>
        <v>4890000</v>
      </c>
      <c r="E67" s="77"/>
      <c r="F67" s="1"/>
      <c r="G67" s="1"/>
      <c r="H67" s="1"/>
      <c r="I67" s="1"/>
      <c r="J67" s="1"/>
      <c r="K67" s="1"/>
      <c r="L67" s="1"/>
      <c r="M67" s="1"/>
      <c r="N67" s="79" t="s">
        <v>128</v>
      </c>
      <c r="O67" s="80" t="s">
        <v>29</v>
      </c>
      <c r="P67" s="1"/>
      <c r="Q67" s="1"/>
      <c r="R67" s="1"/>
    </row>
    <row r="68" ht="15.75" customHeight="1">
      <c r="A68" s="1"/>
      <c r="B68" s="82">
        <v>2.0</v>
      </c>
      <c r="C68" s="131" t="s">
        <v>205</v>
      </c>
      <c r="D68" s="133">
        <v>-255000.0</v>
      </c>
      <c r="E68" s="77"/>
      <c r="F68" s="1"/>
      <c r="G68" s="1"/>
      <c r="H68" s="1"/>
      <c r="I68" s="1"/>
      <c r="J68" s="1"/>
      <c r="K68" s="1"/>
      <c r="L68" s="1"/>
      <c r="M68" s="1"/>
      <c r="N68" s="85" t="s">
        <v>132</v>
      </c>
      <c r="O68" s="86" t="s">
        <v>28</v>
      </c>
      <c r="P68" s="1"/>
      <c r="Q68" s="1"/>
      <c r="R68" s="1"/>
    </row>
    <row r="69" ht="15.75" customHeight="1">
      <c r="A69" s="1"/>
      <c r="B69" s="73">
        <v>3.0</v>
      </c>
      <c r="C69" s="136" t="s">
        <v>209</v>
      </c>
      <c r="D69" s="137">
        <v>-15000.0</v>
      </c>
      <c r="E69" s="77"/>
      <c r="F69" s="1"/>
      <c r="G69" s="1"/>
      <c r="H69" s="1"/>
      <c r="I69" s="1"/>
      <c r="J69" s="1"/>
      <c r="K69" s="1"/>
      <c r="L69" s="1"/>
      <c r="M69" s="1"/>
      <c r="N69" s="88" t="s">
        <v>136</v>
      </c>
      <c r="O69" s="89" t="s">
        <v>42</v>
      </c>
      <c r="P69" s="1"/>
      <c r="Q69" s="1"/>
      <c r="R69" s="1"/>
    </row>
    <row r="70" ht="15.75" customHeight="1">
      <c r="A70" s="1"/>
      <c r="B70" s="82">
        <v>4.0</v>
      </c>
      <c r="C70" s="82"/>
      <c r="D70" s="133"/>
      <c r="E70" s="77"/>
      <c r="F70" s="1"/>
      <c r="G70" s="1"/>
      <c r="H70" s="1"/>
      <c r="I70" s="1"/>
      <c r="J70" s="1"/>
      <c r="K70" s="1"/>
      <c r="L70" s="1"/>
      <c r="M70" s="1"/>
      <c r="N70" s="95" t="s">
        <v>147</v>
      </c>
      <c r="O70" s="86" t="s">
        <v>59</v>
      </c>
      <c r="P70" s="1"/>
      <c r="Q70" s="1"/>
      <c r="R70" s="1"/>
    </row>
    <row r="71" ht="15.75" customHeight="1">
      <c r="A71" s="1"/>
      <c r="B71" s="73">
        <v>5.0</v>
      </c>
      <c r="C71" s="73"/>
      <c r="D71" s="125"/>
      <c r="E71" s="77"/>
      <c r="F71" s="1"/>
      <c r="G71" s="1"/>
      <c r="H71" s="1"/>
      <c r="I71" s="1"/>
      <c r="J71" s="1"/>
      <c r="K71" s="1"/>
      <c r="L71" s="1"/>
      <c r="M71" s="1"/>
      <c r="N71" s="98"/>
      <c r="O71" s="1"/>
      <c r="P71" s="1"/>
      <c r="Q71" s="1"/>
      <c r="R71" s="1"/>
    </row>
    <row r="72" ht="15.75" customHeight="1">
      <c r="A72" s="1"/>
      <c r="B72" s="82">
        <v>6.0</v>
      </c>
      <c r="C72" s="82"/>
      <c r="D72" s="140"/>
      <c r="E72" s="77"/>
      <c r="F72" s="1"/>
      <c r="G72" s="1"/>
      <c r="H72" s="1"/>
      <c r="I72" s="1"/>
      <c r="J72" s="1"/>
      <c r="K72" s="100" t="s">
        <v>150</v>
      </c>
      <c r="Q72" s="1"/>
      <c r="R72" s="1"/>
    </row>
    <row r="73" ht="15.75" customHeight="1">
      <c r="A73" s="1"/>
      <c r="B73" s="73">
        <v>7.0</v>
      </c>
      <c r="C73" s="73"/>
      <c r="D73" s="125"/>
      <c r="E73" s="77"/>
      <c r="F73" s="1"/>
      <c r="G73" s="1"/>
      <c r="H73" s="1"/>
      <c r="I73" s="1"/>
      <c r="J73" s="1"/>
      <c r="K73" s="101" t="s">
        <v>2</v>
      </c>
      <c r="L73" s="101" t="s">
        <v>153</v>
      </c>
      <c r="M73" s="101" t="s">
        <v>155</v>
      </c>
      <c r="N73" s="101" t="s">
        <v>156</v>
      </c>
      <c r="O73" s="101" t="s">
        <v>157</v>
      </c>
      <c r="P73" s="101" t="s">
        <v>158</v>
      </c>
      <c r="Q73" s="1"/>
      <c r="R73" s="1"/>
      <c r="AC73" s="102" t="s">
        <v>159</v>
      </c>
      <c r="AD73" s="102" t="s">
        <v>160</v>
      </c>
      <c r="AE73" s="102" t="s">
        <v>161</v>
      </c>
      <c r="AF73" s="102" t="s">
        <v>163</v>
      </c>
      <c r="AG73" s="102" t="s">
        <v>164</v>
      </c>
    </row>
    <row r="74" ht="15.75" customHeight="1">
      <c r="A74" s="1"/>
      <c r="B74" s="82">
        <v>8.0</v>
      </c>
      <c r="C74" s="82"/>
      <c r="D74" s="140"/>
      <c r="E74" s="77"/>
      <c r="F74" s="1"/>
      <c r="G74" s="1"/>
      <c r="H74" s="1"/>
      <c r="I74" s="1"/>
      <c r="J74" s="1"/>
      <c r="K74" s="104" t="str">
        <f t="shared" ref="K74:K77" si="2">IF(O67="","",O67)</f>
        <v>INDAH</v>
      </c>
      <c r="L74" s="105">
        <v>5.0</v>
      </c>
      <c r="M74" s="105">
        <v>5.0</v>
      </c>
      <c r="N74" s="105">
        <v>5.0</v>
      </c>
      <c r="O74" s="105">
        <v>5.0</v>
      </c>
      <c r="P74" s="105">
        <v>5.0</v>
      </c>
      <c r="Q74" s="1"/>
      <c r="R74" s="1"/>
      <c r="AC74" s="102">
        <f t="shared" ref="AC74:AC79" si="3">IF(AG74="","",IF(COUNT(L74:P74)&lt;5,"",L74/5*20+M74/5*25+N74/5*25+O74/5*15+P74/5*15))</f>
        <v>100</v>
      </c>
      <c r="AD74" s="102" t="str">
        <f t="shared" ref="AD74:AD79" si="4">IF(AC74="","",IF(AC74&gt;=90,"Sangat Baik",IF(AC74&gt;=80,"Baik",IF(AC74&gt;=70,"Coaching","Underperform"))))</f>
        <v>Sangat Baik</v>
      </c>
      <c r="AE74" s="102" t="str">
        <f t="shared" ref="AE74:AE79" si="5">IF(AG74="","",IF(OR(AG74="INDAH",AG74="ADDEL",AG74="AMEL",AG74="PENTIL",AG74="JIJANG"),"Admin/CS","Fotografer"))</f>
        <v>Admin/CS</v>
      </c>
      <c r="AF74" s="102">
        <f t="shared" ref="AF74:AF79" si="6">IF(OR(AG74="",COUNT(L74:P74)&lt;5),"",1)</f>
        <v>1</v>
      </c>
      <c r="AG74" s="102" t="str">
        <f t="shared" ref="AG74:AG79" si="7">IFERROR(K74,"")</f>
        <v>INDAH</v>
      </c>
    </row>
    <row r="75" ht="15.75" customHeight="1">
      <c r="A75" s="1"/>
      <c r="B75" s="73">
        <v>9.0</v>
      </c>
      <c r="C75" s="73"/>
      <c r="D75" s="125"/>
      <c r="E75" s="77"/>
      <c r="F75" s="1"/>
      <c r="G75" s="1"/>
      <c r="H75" s="1"/>
      <c r="I75" s="1"/>
      <c r="J75" s="1"/>
      <c r="K75" s="104" t="str">
        <f t="shared" si="2"/>
        <v>AMEL</v>
      </c>
      <c r="L75" s="105">
        <v>5.0</v>
      </c>
      <c r="M75" s="105">
        <v>5.0</v>
      </c>
      <c r="N75" s="105">
        <v>5.0</v>
      </c>
      <c r="O75" s="105">
        <v>5.0</v>
      </c>
      <c r="P75" s="105">
        <v>5.0</v>
      </c>
      <c r="Q75" s="1"/>
      <c r="R75" s="1"/>
      <c r="AC75" s="102">
        <f t="shared" si="3"/>
        <v>100</v>
      </c>
      <c r="AD75" s="102" t="str">
        <f t="shared" si="4"/>
        <v>Sangat Baik</v>
      </c>
      <c r="AE75" s="102" t="str">
        <f t="shared" si="5"/>
        <v>Admin/CS</v>
      </c>
      <c r="AF75" s="102">
        <f t="shared" si="6"/>
        <v>1</v>
      </c>
      <c r="AG75" s="102" t="str">
        <f t="shared" si="7"/>
        <v>AMEL</v>
      </c>
    </row>
    <row r="76" ht="15.75" customHeight="1">
      <c r="A76" s="1"/>
      <c r="B76" s="82">
        <v>10.0</v>
      </c>
      <c r="C76" s="82"/>
      <c r="D76" s="140"/>
      <c r="E76" s="77"/>
      <c r="F76" s="1"/>
      <c r="G76" s="1"/>
      <c r="H76" s="1"/>
      <c r="I76" s="1"/>
      <c r="J76" s="1"/>
      <c r="K76" s="104" t="str">
        <f t="shared" si="2"/>
        <v>ADIF</v>
      </c>
      <c r="L76" s="105">
        <v>5.0</v>
      </c>
      <c r="M76" s="105">
        <v>5.0</v>
      </c>
      <c r="N76" s="105">
        <v>5.0</v>
      </c>
      <c r="O76" s="105">
        <v>5.0</v>
      </c>
      <c r="P76" s="105">
        <v>5.0</v>
      </c>
      <c r="Q76" s="1"/>
      <c r="R76" s="1"/>
      <c r="AC76" s="102">
        <f t="shared" si="3"/>
        <v>100</v>
      </c>
      <c r="AD76" s="102" t="str">
        <f t="shared" si="4"/>
        <v>Sangat Baik</v>
      </c>
      <c r="AE76" s="102" t="str">
        <f t="shared" si="5"/>
        <v>Fotografer</v>
      </c>
      <c r="AF76" s="102">
        <f t="shared" si="6"/>
        <v>1</v>
      </c>
      <c r="AG76" s="102" t="str">
        <f t="shared" si="7"/>
        <v>ADIF</v>
      </c>
    </row>
    <row r="77" ht="15.75" customHeight="1">
      <c r="A77" s="1"/>
      <c r="B77" s="114">
        <v>11.0</v>
      </c>
      <c r="C77" s="114"/>
      <c r="D77" s="144"/>
      <c r="E77" s="77"/>
      <c r="F77" s="1"/>
      <c r="G77" s="1"/>
      <c r="H77" s="1"/>
      <c r="I77" s="1"/>
      <c r="J77" s="1"/>
      <c r="K77" s="104" t="str">
        <f t="shared" si="2"/>
        <v>SAKA</v>
      </c>
      <c r="L77" s="105">
        <v>5.0</v>
      </c>
      <c r="M77" s="105">
        <v>5.0</v>
      </c>
      <c r="N77" s="105">
        <v>5.0</v>
      </c>
      <c r="O77" s="105">
        <v>5.0</v>
      </c>
      <c r="P77" s="105">
        <v>5.0</v>
      </c>
      <c r="Q77" s="1"/>
      <c r="R77" s="1"/>
      <c r="AC77" s="102">
        <f t="shared" si="3"/>
        <v>100</v>
      </c>
      <c r="AD77" s="102" t="str">
        <f t="shared" si="4"/>
        <v>Sangat Baik</v>
      </c>
      <c r="AE77" s="102" t="str">
        <f t="shared" si="5"/>
        <v>Fotografer</v>
      </c>
      <c r="AF77" s="102">
        <f t="shared" si="6"/>
        <v>1</v>
      </c>
      <c r="AG77" s="102" t="str">
        <f t="shared" si="7"/>
        <v>SAKA</v>
      </c>
    </row>
    <row r="78" ht="15.75" customHeight="1">
      <c r="A78" s="1"/>
      <c r="B78" s="1"/>
      <c r="C78" s="3"/>
      <c r="D78" s="117">
        <f>SUM(D67:D77)</f>
        <v>4620000</v>
      </c>
      <c r="E78" s="1"/>
      <c r="F78" s="1"/>
      <c r="G78" s="1"/>
      <c r="H78" s="1"/>
      <c r="I78" s="1"/>
      <c r="J78" s="1"/>
      <c r="K78" s="104"/>
      <c r="L78" s="118"/>
      <c r="M78" s="118"/>
      <c r="N78" s="118"/>
      <c r="O78" s="118"/>
      <c r="P78" s="118"/>
      <c r="Q78" s="1"/>
      <c r="R78" s="1"/>
      <c r="AC78" s="102" t="str">
        <f t="shared" si="3"/>
        <v/>
      </c>
      <c r="AD78" s="102" t="str">
        <f t="shared" si="4"/>
        <v/>
      </c>
      <c r="AE78" s="102" t="str">
        <f t="shared" si="5"/>
        <v/>
      </c>
      <c r="AF78" s="102" t="str">
        <f t="shared" si="6"/>
        <v/>
      </c>
      <c r="AG78" s="102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4"/>
      <c r="L79" s="118"/>
      <c r="M79" s="118"/>
      <c r="N79" s="118"/>
      <c r="O79" s="118"/>
      <c r="P79" s="118"/>
      <c r="Q79" s="1"/>
      <c r="R79" s="1"/>
      <c r="AC79" s="102" t="str">
        <f t="shared" si="3"/>
        <v/>
      </c>
      <c r="AD79" s="102" t="str">
        <f t="shared" si="4"/>
        <v/>
      </c>
      <c r="AE79" s="102" t="str">
        <f t="shared" si="5"/>
        <v/>
      </c>
      <c r="AF79" s="102" t="str">
        <f t="shared" si="6"/>
        <v/>
      </c>
      <c r="AG79" s="102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20" t="s">
        <v>195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21" t="s">
        <v>198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3" t="s">
        <v>8</v>
      </c>
      <c r="L83" s="123" t="s">
        <v>200</v>
      </c>
      <c r="M83" s="123" t="s">
        <v>201</v>
      </c>
    </row>
    <row r="84" ht="15.75" customHeight="1">
      <c r="C84" s="146"/>
      <c r="D84" s="146"/>
      <c r="I84" s="147"/>
      <c r="J84" s="147"/>
      <c r="K84" s="126" t="str">
        <f t="shared" ref="K84:K85" si="8">IF(O67="","",O67)</f>
        <v>INDAH</v>
      </c>
      <c r="L84" s="129"/>
      <c r="M84" s="129"/>
    </row>
    <row r="85" ht="15.75" customHeight="1">
      <c r="C85" s="146"/>
      <c r="D85" s="146"/>
      <c r="I85" s="147"/>
      <c r="J85" s="147"/>
      <c r="K85" s="126" t="str">
        <f t="shared" si="8"/>
        <v>AMEL</v>
      </c>
      <c r="L85" s="127">
        <v>3.0</v>
      </c>
      <c r="M85" s="129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32" t="s">
        <v>206</v>
      </c>
    </row>
    <row r="88" ht="19.5" customHeight="1">
      <c r="C88" s="146"/>
      <c r="D88" s="146"/>
      <c r="I88" s="147"/>
      <c r="J88" s="147"/>
      <c r="K88" s="148" t="s">
        <v>207</v>
      </c>
      <c r="M88" s="127">
        <v>40.0</v>
      </c>
    </row>
    <row r="89" ht="19.5" customHeight="1">
      <c r="C89" s="146"/>
      <c r="D89" s="146"/>
      <c r="I89" s="147"/>
      <c r="J89" s="147"/>
      <c r="K89" s="149" t="s">
        <v>208</v>
      </c>
      <c r="M89" s="150">
        <v>3.0</v>
      </c>
      <c r="O89" s="151" t="s">
        <v>215</v>
      </c>
    </row>
    <row r="90" ht="19.5" customHeight="1">
      <c r="C90" s="146"/>
      <c r="D90" s="146"/>
      <c r="I90" s="147"/>
      <c r="J90" s="147"/>
      <c r="K90" s="149" t="s">
        <v>210</v>
      </c>
      <c r="M90" s="138">
        <f>COUNTIFS($I$40:$I$65,"&lt;&gt;DP",$I$40:$I$65,"&lt;&gt;")</f>
        <v>10</v>
      </c>
      <c r="O90" s="151" t="s">
        <v>217</v>
      </c>
    </row>
    <row r="91" ht="19.5" customHeight="1">
      <c r="C91" s="146"/>
      <c r="D91" s="146"/>
      <c r="I91" s="147"/>
      <c r="J91" s="147"/>
      <c r="K91" s="152" t="s">
        <v>211</v>
      </c>
      <c r="M91" s="138">
        <f>M89+M90</f>
        <v>13</v>
      </c>
      <c r="O91" s="151" t="s">
        <v>219</v>
      </c>
    </row>
    <row r="92" ht="19.5" customHeight="1">
      <c r="C92" s="146"/>
      <c r="D92" s="146"/>
      <c r="I92" s="147"/>
      <c r="J92" s="147"/>
      <c r="K92" s="148" t="s">
        <v>212</v>
      </c>
      <c r="M92" s="141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/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21</v>
      </c>
      <c r="D4" s="20" t="s">
        <v>22</v>
      </c>
      <c r="E4" s="18"/>
      <c r="F4" s="25">
        <v>46298.0</v>
      </c>
      <c r="G4" s="27"/>
      <c r="H4" s="30">
        <v>350000.0</v>
      </c>
      <c r="I4" s="32" t="s">
        <v>25</v>
      </c>
      <c r="J4" s="32" t="s">
        <v>26</v>
      </c>
      <c r="K4" s="32" t="s">
        <v>27</v>
      </c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33</v>
      </c>
      <c r="D5" s="20" t="s">
        <v>35</v>
      </c>
      <c r="E5" s="18"/>
      <c r="F5" s="32" t="s">
        <v>37</v>
      </c>
      <c r="G5" s="27"/>
      <c r="H5" s="30">
        <v>50000.0</v>
      </c>
      <c r="I5" s="32" t="s">
        <v>25</v>
      </c>
      <c r="J5" s="32" t="s">
        <v>26</v>
      </c>
      <c r="K5" s="32" t="s">
        <v>26</v>
      </c>
      <c r="L5" s="32" t="s">
        <v>28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41</v>
      </c>
      <c r="D6" s="20" t="s">
        <v>43</v>
      </c>
      <c r="E6" s="18"/>
      <c r="F6" s="32" t="s">
        <v>45</v>
      </c>
      <c r="G6" s="39" t="s">
        <v>40</v>
      </c>
      <c r="H6" s="30" t="s">
        <v>40</v>
      </c>
      <c r="I6" s="32" t="s">
        <v>25</v>
      </c>
      <c r="J6" s="32" t="s">
        <v>26</v>
      </c>
      <c r="K6" s="32" t="s">
        <v>26</v>
      </c>
      <c r="L6" s="32" t="s">
        <v>28</v>
      </c>
      <c r="M6" s="32" t="s">
        <v>42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50</v>
      </c>
      <c r="D7" s="20" t="s">
        <v>34</v>
      </c>
      <c r="E7" s="18"/>
      <c r="F7" s="32" t="s">
        <v>51</v>
      </c>
      <c r="G7" s="27"/>
      <c r="H7" s="30">
        <v>100000.0</v>
      </c>
      <c r="I7" s="32" t="s">
        <v>24</v>
      </c>
      <c r="J7" s="18"/>
      <c r="K7" s="18"/>
      <c r="L7" s="32" t="s">
        <v>28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56</v>
      </c>
      <c r="D8" s="20" t="s">
        <v>57</v>
      </c>
      <c r="E8" s="18"/>
      <c r="F8" s="32" t="s">
        <v>58</v>
      </c>
      <c r="G8" s="27"/>
      <c r="H8" s="30">
        <v>470000.0</v>
      </c>
      <c r="I8" s="32" t="s">
        <v>25</v>
      </c>
      <c r="J8" s="32" t="s">
        <v>26</v>
      </c>
      <c r="K8" s="32" t="s">
        <v>27</v>
      </c>
      <c r="L8" s="32" t="s">
        <v>28</v>
      </c>
      <c r="M8" s="32" t="s">
        <v>59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61</v>
      </c>
      <c r="D9" s="20" t="s">
        <v>22</v>
      </c>
      <c r="E9" s="18"/>
      <c r="F9" s="32" t="s">
        <v>38</v>
      </c>
      <c r="G9" s="27"/>
      <c r="H9" s="30">
        <v>250000.0</v>
      </c>
      <c r="I9" s="32" t="s">
        <v>25</v>
      </c>
      <c r="J9" s="32" t="s">
        <v>26</v>
      </c>
      <c r="K9" s="32" t="s">
        <v>27</v>
      </c>
      <c r="L9" s="32" t="s">
        <v>28</v>
      </c>
      <c r="M9" s="32" t="s">
        <v>42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66</v>
      </c>
      <c r="D10" s="20" t="s">
        <v>22</v>
      </c>
      <c r="E10" s="18"/>
      <c r="F10" s="32" t="s">
        <v>38</v>
      </c>
      <c r="G10" s="27"/>
      <c r="H10" s="30">
        <v>270000.0</v>
      </c>
      <c r="I10" s="32" t="s">
        <v>25</v>
      </c>
      <c r="J10" s="32" t="s">
        <v>26</v>
      </c>
      <c r="K10" s="32" t="s">
        <v>27</v>
      </c>
      <c r="L10" s="32" t="s">
        <v>28</v>
      </c>
      <c r="M10" s="32" t="s">
        <v>59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69</v>
      </c>
      <c r="D11" s="20" t="s">
        <v>22</v>
      </c>
      <c r="E11" s="18"/>
      <c r="F11" s="32" t="s">
        <v>38</v>
      </c>
      <c r="G11" s="27"/>
      <c r="H11" s="30">
        <v>270000.0</v>
      </c>
      <c r="I11" s="32" t="s">
        <v>25</v>
      </c>
      <c r="J11" s="32" t="s">
        <v>26</v>
      </c>
      <c r="K11" s="32" t="s">
        <v>27</v>
      </c>
      <c r="L11" s="32" t="s">
        <v>28</v>
      </c>
      <c r="M11" s="32" t="s">
        <v>59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73</v>
      </c>
      <c r="D12" s="20" t="s">
        <v>22</v>
      </c>
      <c r="E12" s="18"/>
      <c r="F12" s="53">
        <v>46299.0</v>
      </c>
      <c r="G12" s="27"/>
      <c r="H12" s="30">
        <v>250000.0</v>
      </c>
      <c r="I12" s="32" t="s">
        <v>25</v>
      </c>
      <c r="J12" s="32" t="s">
        <v>26</v>
      </c>
      <c r="K12" s="32" t="s">
        <v>27</v>
      </c>
      <c r="L12" s="32" t="s">
        <v>28</v>
      </c>
      <c r="M12" s="32" t="s">
        <v>42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83</v>
      </c>
      <c r="D13" s="20" t="s">
        <v>22</v>
      </c>
      <c r="E13" s="18"/>
      <c r="F13" s="53">
        <v>46299.0</v>
      </c>
      <c r="G13" s="27"/>
      <c r="H13" s="30">
        <v>290000.0</v>
      </c>
      <c r="I13" s="32" t="s">
        <v>25</v>
      </c>
      <c r="J13" s="32" t="s">
        <v>26</v>
      </c>
      <c r="K13" s="18"/>
      <c r="L13" s="32" t="s">
        <v>28</v>
      </c>
      <c r="M13" s="32" t="s">
        <v>81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89</v>
      </c>
      <c r="D14" s="20" t="s">
        <v>22</v>
      </c>
      <c r="E14" s="18"/>
      <c r="F14" s="53">
        <v>46299.0</v>
      </c>
      <c r="G14" s="27"/>
      <c r="H14" s="30">
        <v>270000.0</v>
      </c>
      <c r="I14" s="32" t="s">
        <v>25</v>
      </c>
      <c r="J14" s="32" t="s">
        <v>26</v>
      </c>
      <c r="K14" s="18"/>
      <c r="L14" s="32" t="s">
        <v>28</v>
      </c>
      <c r="M14" s="32" t="s">
        <v>93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95</v>
      </c>
      <c r="D15" s="20" t="s">
        <v>22</v>
      </c>
      <c r="E15" s="18"/>
      <c r="F15" s="53">
        <v>46299.0</v>
      </c>
      <c r="G15" s="39">
        <v>450000.0</v>
      </c>
      <c r="H15" s="30">
        <v>180000.0</v>
      </c>
      <c r="I15" s="32" t="s">
        <v>25</v>
      </c>
      <c r="J15" s="32" t="s">
        <v>26</v>
      </c>
      <c r="K15" s="32" t="s">
        <v>27</v>
      </c>
      <c r="L15" s="32" t="s">
        <v>28</v>
      </c>
      <c r="M15" s="32" t="s">
        <v>93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58" t="s">
        <v>101</v>
      </c>
      <c r="D16" s="20" t="s">
        <v>22</v>
      </c>
      <c r="E16" s="18"/>
      <c r="F16" s="53">
        <v>46299.0</v>
      </c>
      <c r="G16" s="39">
        <v>250000.0</v>
      </c>
      <c r="H16" s="60"/>
      <c r="I16" s="32" t="s">
        <v>25</v>
      </c>
      <c r="J16" s="32" t="s">
        <v>26</v>
      </c>
      <c r="K16" s="18"/>
      <c r="L16" s="32" t="s">
        <v>28</v>
      </c>
      <c r="M16" s="32" t="s">
        <v>81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105</v>
      </c>
      <c r="D17" s="20" t="s">
        <v>22</v>
      </c>
      <c r="E17" s="18"/>
      <c r="F17" s="53">
        <v>46299.0</v>
      </c>
      <c r="G17" s="39">
        <v>370000.0</v>
      </c>
      <c r="H17" s="60"/>
      <c r="I17" s="32" t="s">
        <v>25</v>
      </c>
      <c r="J17" s="32" t="s">
        <v>26</v>
      </c>
      <c r="K17" s="18"/>
      <c r="L17" s="18"/>
      <c r="M17" s="32" t="s">
        <v>59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107</v>
      </c>
      <c r="D18" s="20" t="s">
        <v>22</v>
      </c>
      <c r="E18" s="18"/>
      <c r="F18" s="53">
        <v>46299.0</v>
      </c>
      <c r="G18" s="39">
        <v>290000.0</v>
      </c>
      <c r="H18" s="60"/>
      <c r="I18" s="32" t="s">
        <v>25</v>
      </c>
      <c r="J18" s="32" t="s">
        <v>26</v>
      </c>
      <c r="K18" s="18"/>
      <c r="L18" s="18"/>
      <c r="M18" s="32" t="s">
        <v>42</v>
      </c>
      <c r="N18" s="38"/>
      <c r="O18" s="38"/>
      <c r="P18" s="38"/>
      <c r="Q18" s="65"/>
      <c r="R18" s="1"/>
    </row>
    <row r="19" ht="15.75" customHeight="1">
      <c r="A19" s="1"/>
      <c r="B19" s="18">
        <v>16.0</v>
      </c>
      <c r="C19" s="66" t="s">
        <v>110</v>
      </c>
      <c r="D19" s="20" t="s">
        <v>22</v>
      </c>
      <c r="E19" s="18"/>
      <c r="F19" s="53">
        <v>46299.0</v>
      </c>
      <c r="G19" s="39">
        <v>460000.0</v>
      </c>
      <c r="H19" s="60"/>
      <c r="I19" s="32" t="s">
        <v>25</v>
      </c>
      <c r="J19" s="32" t="s">
        <v>26</v>
      </c>
      <c r="K19" s="18"/>
      <c r="L19" s="32" t="s">
        <v>28</v>
      </c>
      <c r="M19" s="32" t="s">
        <v>42</v>
      </c>
      <c r="N19" s="38"/>
      <c r="O19" s="38"/>
      <c r="P19" s="38"/>
      <c r="Q19" s="1"/>
      <c r="R19" s="1"/>
    </row>
    <row r="20" ht="15.75" customHeight="1">
      <c r="A20" s="1"/>
      <c r="B20" s="18">
        <v>17.0</v>
      </c>
      <c r="C20" s="20" t="s">
        <v>114</v>
      </c>
      <c r="D20" s="20" t="s">
        <v>44</v>
      </c>
      <c r="E20" s="18"/>
      <c r="F20" s="53">
        <v>46299.0</v>
      </c>
      <c r="G20" s="27"/>
      <c r="H20" s="30">
        <v>610000.0</v>
      </c>
      <c r="I20" s="32" t="s">
        <v>25</v>
      </c>
      <c r="J20" s="32" t="s">
        <v>26</v>
      </c>
      <c r="K20" s="18"/>
      <c r="L20" s="32" t="s">
        <v>28</v>
      </c>
      <c r="M20" s="32" t="s">
        <v>81</v>
      </c>
      <c r="N20" s="38"/>
      <c r="O20" s="38"/>
      <c r="P20" s="38"/>
      <c r="Q20" s="1"/>
      <c r="R20" s="1"/>
    </row>
    <row r="21" ht="15.75" customHeight="1">
      <c r="A21" s="1"/>
      <c r="B21" s="18">
        <v>18.0</v>
      </c>
      <c r="C21" s="20" t="s">
        <v>117</v>
      </c>
      <c r="D21" s="20" t="s">
        <v>22</v>
      </c>
      <c r="E21" s="18"/>
      <c r="F21" s="53">
        <v>46299.0</v>
      </c>
      <c r="G21" s="27"/>
      <c r="H21" s="30">
        <v>270000.0</v>
      </c>
      <c r="I21" s="32" t="s">
        <v>25</v>
      </c>
      <c r="J21" s="32" t="s">
        <v>26</v>
      </c>
      <c r="K21" s="18"/>
      <c r="L21" s="32" t="s">
        <v>28</v>
      </c>
      <c r="M21" s="32" t="s">
        <v>93</v>
      </c>
      <c r="N21" s="38"/>
      <c r="O21" s="38"/>
      <c r="P21" s="38"/>
      <c r="Q21" s="1"/>
      <c r="R21" s="1"/>
    </row>
    <row r="22" ht="15.75" customHeight="1">
      <c r="A22" s="1"/>
      <c r="B22" s="18">
        <v>19.0</v>
      </c>
      <c r="C22" s="74" t="s">
        <v>123</v>
      </c>
      <c r="D22" s="20" t="s">
        <v>22</v>
      </c>
      <c r="E22" s="18"/>
      <c r="F22" s="53">
        <v>46299.0</v>
      </c>
      <c r="G22" s="39">
        <v>270000.0</v>
      </c>
      <c r="H22" s="60"/>
      <c r="I22" s="32" t="s">
        <v>25</v>
      </c>
      <c r="J22" s="32" t="s">
        <v>26</v>
      </c>
      <c r="K22" s="32" t="s">
        <v>27</v>
      </c>
      <c r="L22" s="32" t="s">
        <v>28</v>
      </c>
      <c r="M22" s="32" t="s">
        <v>59</v>
      </c>
      <c r="N22" s="38"/>
      <c r="O22" s="38"/>
      <c r="P22" s="38"/>
      <c r="Q22" s="1"/>
      <c r="R22" s="1"/>
    </row>
    <row r="23" ht="15.75" customHeight="1">
      <c r="A23" s="1"/>
      <c r="B23" s="18">
        <v>20.0</v>
      </c>
      <c r="C23" s="20" t="s">
        <v>127</v>
      </c>
      <c r="D23" s="78"/>
      <c r="E23" s="18"/>
      <c r="F23" s="53">
        <v>46299.0</v>
      </c>
      <c r="G23" s="27"/>
      <c r="H23" s="30">
        <v>330000.0</v>
      </c>
      <c r="I23" s="32" t="s">
        <v>25</v>
      </c>
      <c r="J23" s="32" t="s">
        <v>26</v>
      </c>
      <c r="K23" s="32" t="s">
        <v>27</v>
      </c>
      <c r="L23" s="32" t="s">
        <v>28</v>
      </c>
      <c r="M23" s="32" t="s">
        <v>81</v>
      </c>
      <c r="N23" s="38"/>
      <c r="O23" s="38"/>
      <c r="P23" s="38"/>
      <c r="Q23" s="1"/>
      <c r="R23" s="1"/>
    </row>
    <row r="24" ht="15.75" customHeight="1">
      <c r="A24" s="1"/>
      <c r="B24" s="18">
        <v>21.0</v>
      </c>
      <c r="C24" s="20" t="s">
        <v>131</v>
      </c>
      <c r="D24" s="78"/>
      <c r="E24" s="18"/>
      <c r="F24" s="53">
        <v>46299.0</v>
      </c>
      <c r="G24" s="39">
        <v>250000.0</v>
      </c>
      <c r="H24" s="60"/>
      <c r="I24" s="32" t="s">
        <v>25</v>
      </c>
      <c r="J24" s="32" t="s">
        <v>26</v>
      </c>
      <c r="K24" s="18"/>
      <c r="L24" s="32" t="s">
        <v>28</v>
      </c>
      <c r="M24" s="32" t="s">
        <v>59</v>
      </c>
      <c r="N24" s="38"/>
      <c r="O24" s="38"/>
      <c r="P24" s="38"/>
      <c r="Q24" s="1"/>
      <c r="R24" s="1"/>
    </row>
    <row r="25" ht="15.75" customHeight="1">
      <c r="A25" s="1"/>
      <c r="B25" s="18">
        <v>22.0</v>
      </c>
      <c r="C25" s="20" t="s">
        <v>133</v>
      </c>
      <c r="D25" s="20" t="s">
        <v>22</v>
      </c>
      <c r="E25" s="18"/>
      <c r="F25" s="53">
        <v>46299.0</v>
      </c>
      <c r="G25" s="39">
        <v>290000.0</v>
      </c>
      <c r="H25" s="60"/>
      <c r="I25" s="32" t="s">
        <v>25</v>
      </c>
      <c r="J25" s="32" t="s">
        <v>26</v>
      </c>
      <c r="K25" s="18"/>
      <c r="L25" s="32" t="s">
        <v>28</v>
      </c>
      <c r="M25" s="32" t="s">
        <v>42</v>
      </c>
      <c r="N25" s="38"/>
      <c r="O25" s="38"/>
      <c r="P25" s="38"/>
      <c r="Q25" s="1"/>
      <c r="R25" s="1"/>
    </row>
    <row r="26" ht="15.75" customHeight="1">
      <c r="A26" s="1"/>
      <c r="B26" s="18">
        <v>23.0</v>
      </c>
      <c r="C26" s="20" t="s">
        <v>135</v>
      </c>
      <c r="D26" s="20" t="s">
        <v>22</v>
      </c>
      <c r="E26" s="18"/>
      <c r="F26" s="53">
        <v>46299.0</v>
      </c>
      <c r="G26" s="27"/>
      <c r="H26" s="30">
        <v>250000.0</v>
      </c>
      <c r="I26" s="32" t="s">
        <v>25</v>
      </c>
      <c r="J26" s="32" t="s">
        <v>26</v>
      </c>
      <c r="K26" s="32" t="s">
        <v>27</v>
      </c>
      <c r="L26" s="32" t="s">
        <v>28</v>
      </c>
      <c r="M26" s="32" t="s">
        <v>93</v>
      </c>
      <c r="N26" s="38"/>
      <c r="O26" s="38"/>
      <c r="P26" s="38"/>
      <c r="Q26" s="1"/>
      <c r="R26" s="1"/>
    </row>
    <row r="27" ht="15.75" customHeight="1">
      <c r="A27" s="1"/>
      <c r="B27" s="18">
        <v>24.0</v>
      </c>
      <c r="C27" s="58" t="s">
        <v>138</v>
      </c>
      <c r="D27" s="20" t="s">
        <v>22</v>
      </c>
      <c r="E27" s="18"/>
      <c r="F27" s="53">
        <v>46299.0</v>
      </c>
      <c r="G27" s="39">
        <v>430000.0</v>
      </c>
      <c r="H27" s="60"/>
      <c r="I27" s="32" t="s">
        <v>25</v>
      </c>
      <c r="J27" s="32" t="s">
        <v>26</v>
      </c>
      <c r="K27" s="18"/>
      <c r="L27" s="32" t="s">
        <v>28</v>
      </c>
      <c r="M27" s="32" t="s">
        <v>81</v>
      </c>
      <c r="N27" s="38"/>
      <c r="O27" s="38"/>
      <c r="P27" s="38"/>
      <c r="Q27" s="1"/>
      <c r="R27" s="1"/>
    </row>
    <row r="28" ht="15.75" customHeight="1">
      <c r="A28" s="1"/>
      <c r="B28" s="18">
        <v>25.0</v>
      </c>
      <c r="C28" s="58" t="s">
        <v>140</v>
      </c>
      <c r="D28" s="20" t="s">
        <v>22</v>
      </c>
      <c r="E28" s="18"/>
      <c r="F28" s="53">
        <v>46299.0</v>
      </c>
      <c r="G28" s="27"/>
      <c r="H28" s="30">
        <v>150000.0</v>
      </c>
      <c r="I28" s="32" t="s">
        <v>25</v>
      </c>
      <c r="J28" s="32" t="s">
        <v>26</v>
      </c>
      <c r="K28" s="18"/>
      <c r="L28" s="32" t="s">
        <v>28</v>
      </c>
      <c r="M28" s="32" t="s">
        <v>93</v>
      </c>
      <c r="N28" s="38"/>
      <c r="O28" s="38"/>
      <c r="P28" s="38"/>
      <c r="Q28" s="1"/>
      <c r="R28" s="1"/>
    </row>
    <row r="29" ht="15.75" customHeight="1">
      <c r="A29" s="1"/>
      <c r="B29" s="18">
        <v>26.0</v>
      </c>
      <c r="C29" s="20" t="s">
        <v>142</v>
      </c>
      <c r="D29" s="20" t="s">
        <v>22</v>
      </c>
      <c r="E29" s="18"/>
      <c r="F29" s="53">
        <v>46299.0</v>
      </c>
      <c r="G29" s="27"/>
      <c r="H29" s="30">
        <v>350000.0</v>
      </c>
      <c r="I29" s="32" t="s">
        <v>25</v>
      </c>
      <c r="J29" s="32" t="s">
        <v>26</v>
      </c>
      <c r="K29" s="18"/>
      <c r="L29" s="18"/>
      <c r="M29" s="32" t="s">
        <v>42</v>
      </c>
      <c r="N29" s="38"/>
      <c r="O29" s="38"/>
      <c r="P29" s="38"/>
      <c r="Q29" s="1"/>
      <c r="R29" s="1"/>
    </row>
    <row r="30" ht="15.75" customHeight="1">
      <c r="A30" s="1"/>
      <c r="B30" s="18">
        <v>27.0</v>
      </c>
      <c r="C30" s="58" t="s">
        <v>144</v>
      </c>
      <c r="D30" s="78"/>
      <c r="E30" s="18"/>
      <c r="F30" s="53">
        <v>46299.0</v>
      </c>
      <c r="G30" s="39">
        <v>250000.0</v>
      </c>
      <c r="H30" s="60"/>
      <c r="I30" s="32" t="s">
        <v>25</v>
      </c>
      <c r="J30" s="32" t="s">
        <v>26</v>
      </c>
      <c r="K30" s="18"/>
      <c r="L30" s="32" t="s">
        <v>28</v>
      </c>
      <c r="M30" s="32" t="s">
        <v>81</v>
      </c>
      <c r="N30" s="38"/>
      <c r="O30" s="38"/>
      <c r="P30" s="38"/>
      <c r="Q30" s="65"/>
      <c r="R30" s="1"/>
    </row>
    <row r="31" ht="15.75" customHeight="1">
      <c r="A31" s="1"/>
      <c r="B31" s="18">
        <v>28.0</v>
      </c>
      <c r="C31" s="20" t="s">
        <v>146</v>
      </c>
      <c r="D31" s="20" t="s">
        <v>22</v>
      </c>
      <c r="E31" s="18"/>
      <c r="F31" s="53">
        <v>46299.0</v>
      </c>
      <c r="G31" s="27"/>
      <c r="H31" s="30">
        <v>310000.0</v>
      </c>
      <c r="I31" s="32" t="s">
        <v>25</v>
      </c>
      <c r="J31" s="32" t="s">
        <v>26</v>
      </c>
      <c r="K31" s="18"/>
      <c r="L31" s="32" t="s">
        <v>28</v>
      </c>
      <c r="M31" s="32" t="s">
        <v>93</v>
      </c>
      <c r="N31" s="38"/>
      <c r="O31" s="38"/>
      <c r="P31" s="38"/>
      <c r="Q31" s="1"/>
      <c r="R31" s="1"/>
    </row>
    <row r="32" ht="15.75" customHeight="1">
      <c r="A32" s="1"/>
      <c r="B32" s="18">
        <v>29.0</v>
      </c>
      <c r="C32" s="58" t="s">
        <v>148</v>
      </c>
      <c r="D32" s="20" t="s">
        <v>22</v>
      </c>
      <c r="E32" s="18"/>
      <c r="F32" s="97"/>
      <c r="G32" s="27"/>
      <c r="H32" s="30">
        <v>330000.0</v>
      </c>
      <c r="I32" s="32" t="s">
        <v>25</v>
      </c>
      <c r="J32" s="32" t="s">
        <v>26</v>
      </c>
      <c r="K32" s="18"/>
      <c r="L32" s="32" t="s">
        <v>28</v>
      </c>
      <c r="M32" s="32" t="s">
        <v>42</v>
      </c>
      <c r="N32" s="38"/>
      <c r="O32" s="38"/>
      <c r="P32" s="38"/>
      <c r="Q32" s="1"/>
      <c r="R32" s="1"/>
    </row>
    <row r="33" ht="15.75" customHeight="1">
      <c r="A33" s="1"/>
      <c r="B33" s="18">
        <v>30.0</v>
      </c>
      <c r="C33" s="20" t="s">
        <v>149</v>
      </c>
      <c r="D33" s="20" t="s">
        <v>22</v>
      </c>
      <c r="E33" s="18"/>
      <c r="F33" s="53">
        <v>46299.0</v>
      </c>
      <c r="G33" s="39">
        <v>250000.0</v>
      </c>
      <c r="H33" s="60"/>
      <c r="I33" s="32" t="s">
        <v>25</v>
      </c>
      <c r="J33" s="32" t="s">
        <v>26</v>
      </c>
      <c r="K33" s="18"/>
      <c r="L33" s="32" t="s">
        <v>28</v>
      </c>
      <c r="M33" s="32" t="s">
        <v>81</v>
      </c>
      <c r="N33" s="38"/>
      <c r="O33" s="38"/>
      <c r="P33" s="38"/>
      <c r="Q33" s="1"/>
      <c r="R33" s="1"/>
    </row>
    <row r="34" ht="15.75" customHeight="1">
      <c r="A34" s="1"/>
      <c r="B34" s="18">
        <v>31.0</v>
      </c>
      <c r="C34" s="20" t="s">
        <v>154</v>
      </c>
      <c r="D34" s="20" t="s">
        <v>22</v>
      </c>
      <c r="E34" s="18"/>
      <c r="F34" s="53">
        <v>46299.0</v>
      </c>
      <c r="G34" s="39">
        <v>250000.0</v>
      </c>
      <c r="H34" s="60"/>
      <c r="I34" s="32" t="s">
        <v>25</v>
      </c>
      <c r="J34" s="32" t="s">
        <v>26</v>
      </c>
      <c r="K34" s="32" t="s">
        <v>27</v>
      </c>
      <c r="L34" s="32" t="s">
        <v>28</v>
      </c>
      <c r="M34" s="32" t="s">
        <v>93</v>
      </c>
      <c r="N34" s="38"/>
      <c r="O34" s="38"/>
      <c r="P34" s="38"/>
      <c r="Q34" s="1"/>
      <c r="R34" s="1"/>
    </row>
    <row r="35" ht="15.75" customHeight="1">
      <c r="A35" s="1"/>
      <c r="B35" s="18">
        <v>32.0</v>
      </c>
      <c r="C35" s="20" t="s">
        <v>165</v>
      </c>
      <c r="D35" s="20" t="s">
        <v>44</v>
      </c>
      <c r="E35" s="18"/>
      <c r="F35" s="53">
        <v>46299.0</v>
      </c>
      <c r="G35" s="39">
        <v>420000.0</v>
      </c>
      <c r="H35" s="60"/>
      <c r="I35" s="32" t="s">
        <v>25</v>
      </c>
      <c r="J35" s="32" t="s">
        <v>26</v>
      </c>
      <c r="K35" s="32" t="s">
        <v>27</v>
      </c>
      <c r="L35" s="32" t="s">
        <v>28</v>
      </c>
      <c r="M35" s="32" t="s">
        <v>59</v>
      </c>
      <c r="N35" s="38"/>
      <c r="O35" s="38"/>
      <c r="P35" s="38"/>
      <c r="Q35" s="1"/>
      <c r="R35" s="1"/>
    </row>
    <row r="36" ht="15.75" customHeight="1">
      <c r="A36" s="1"/>
      <c r="B36" s="18">
        <v>33.0</v>
      </c>
      <c r="C36" s="20" t="s">
        <v>167</v>
      </c>
      <c r="D36" s="20" t="s">
        <v>44</v>
      </c>
      <c r="E36" s="18"/>
      <c r="F36" s="53">
        <v>46299.0</v>
      </c>
      <c r="G36" s="39">
        <v>580000.0</v>
      </c>
      <c r="H36" s="60"/>
      <c r="I36" s="32" t="s">
        <v>25</v>
      </c>
      <c r="J36" s="32" t="s">
        <v>26</v>
      </c>
      <c r="K36" s="32" t="s">
        <v>27</v>
      </c>
      <c r="L36" s="32" t="s">
        <v>28</v>
      </c>
      <c r="M36" s="32" t="s">
        <v>42</v>
      </c>
      <c r="N36" s="38"/>
      <c r="O36" s="38"/>
      <c r="P36" s="38"/>
      <c r="Q36" s="1"/>
      <c r="R36" s="1"/>
    </row>
    <row r="37" ht="15.75" customHeight="1">
      <c r="A37" s="1"/>
      <c r="B37" s="18">
        <v>34.0</v>
      </c>
      <c r="C37" s="74" t="s">
        <v>170</v>
      </c>
      <c r="D37" s="20" t="s">
        <v>22</v>
      </c>
      <c r="E37" s="18"/>
      <c r="F37" s="53">
        <v>46299.0</v>
      </c>
      <c r="G37" s="39">
        <v>430000.0</v>
      </c>
      <c r="H37" s="60"/>
      <c r="I37" s="32" t="s">
        <v>25</v>
      </c>
      <c r="J37" s="32" t="s">
        <v>26</v>
      </c>
      <c r="K37" s="18"/>
      <c r="L37" s="32" t="s">
        <v>28</v>
      </c>
      <c r="M37" s="32" t="s">
        <v>81</v>
      </c>
      <c r="N37" s="38"/>
      <c r="O37" s="38"/>
      <c r="P37" s="38"/>
      <c r="Q37" s="1"/>
      <c r="R37" s="1"/>
    </row>
    <row r="38" ht="15.75" customHeight="1">
      <c r="A38" s="1"/>
      <c r="B38" s="18">
        <v>35.0</v>
      </c>
      <c r="C38" s="20" t="s">
        <v>171</v>
      </c>
      <c r="D38" s="20" t="s">
        <v>22</v>
      </c>
      <c r="E38" s="18"/>
      <c r="F38" s="53">
        <v>46299.0</v>
      </c>
      <c r="G38" s="39">
        <v>330000.0</v>
      </c>
      <c r="H38" s="60"/>
      <c r="I38" s="32" t="s">
        <v>25</v>
      </c>
      <c r="J38" s="32" t="s">
        <v>26</v>
      </c>
      <c r="K38" s="18"/>
      <c r="L38" s="18"/>
      <c r="M38" s="32" t="s">
        <v>81</v>
      </c>
      <c r="N38" s="38"/>
      <c r="O38" s="38"/>
      <c r="P38" s="38"/>
      <c r="Q38" s="1"/>
      <c r="R38" s="1"/>
    </row>
    <row r="39" ht="15.75" customHeight="1">
      <c r="A39" s="1"/>
      <c r="B39" s="18">
        <v>36.0</v>
      </c>
      <c r="C39" s="20" t="s">
        <v>172</v>
      </c>
      <c r="D39" s="20" t="s">
        <v>22</v>
      </c>
      <c r="E39" s="18"/>
      <c r="F39" s="53">
        <v>46299.0</v>
      </c>
      <c r="G39" s="27"/>
      <c r="H39" s="30">
        <v>270000.0</v>
      </c>
      <c r="I39" s="32" t="s">
        <v>25</v>
      </c>
      <c r="J39" s="32" t="s">
        <v>26</v>
      </c>
      <c r="K39" s="18"/>
      <c r="L39" s="32" t="s">
        <v>28</v>
      </c>
      <c r="M39" s="32" t="s">
        <v>93</v>
      </c>
      <c r="N39" s="38"/>
      <c r="O39" s="38"/>
      <c r="P39" s="38"/>
      <c r="Q39" s="1"/>
      <c r="R39" s="1"/>
    </row>
    <row r="40" ht="15.75" customHeight="1">
      <c r="A40" s="1"/>
      <c r="B40" s="32">
        <v>37.0</v>
      </c>
      <c r="C40" s="20" t="s">
        <v>174</v>
      </c>
      <c r="D40" s="20" t="s">
        <v>22</v>
      </c>
      <c r="E40" s="18"/>
      <c r="F40" s="53">
        <v>46299.0</v>
      </c>
      <c r="G40" s="39" t="s">
        <v>40</v>
      </c>
      <c r="H40" s="30" t="s">
        <v>40</v>
      </c>
      <c r="I40" s="32" t="s">
        <v>25</v>
      </c>
      <c r="J40" s="32" t="s">
        <v>26</v>
      </c>
      <c r="K40" s="32" t="s">
        <v>27</v>
      </c>
      <c r="L40" s="32" t="s">
        <v>28</v>
      </c>
      <c r="M40" s="32" t="s">
        <v>81</v>
      </c>
      <c r="N40" s="38"/>
      <c r="O40" s="38"/>
      <c r="P40" s="38"/>
      <c r="Q40" s="1"/>
      <c r="R40" s="1"/>
    </row>
    <row r="41" ht="15.75" customHeight="1">
      <c r="A41" s="1"/>
      <c r="B41" s="32">
        <v>38.0</v>
      </c>
      <c r="C41" s="111" t="s">
        <v>176</v>
      </c>
      <c r="D41" s="20" t="s">
        <v>22</v>
      </c>
      <c r="E41" s="18"/>
      <c r="F41" s="53"/>
      <c r="G41" s="27"/>
      <c r="H41" s="30">
        <v>290000.0</v>
      </c>
      <c r="I41" s="32" t="s">
        <v>25</v>
      </c>
      <c r="J41" s="32" t="s">
        <v>26</v>
      </c>
      <c r="K41" s="32" t="s">
        <v>27</v>
      </c>
      <c r="L41" s="32" t="s">
        <v>28</v>
      </c>
      <c r="M41" s="32" t="s">
        <v>93</v>
      </c>
      <c r="N41" s="38"/>
      <c r="O41" s="38"/>
      <c r="P41" s="38"/>
      <c r="Q41" s="1"/>
      <c r="R41" s="1"/>
    </row>
    <row r="42" ht="15.75" customHeight="1">
      <c r="A42" s="1"/>
      <c r="B42" s="18"/>
      <c r="C42" s="20" t="s">
        <v>178</v>
      </c>
      <c r="D42" s="20" t="s">
        <v>22</v>
      </c>
      <c r="E42" s="18"/>
      <c r="F42" s="53"/>
      <c r="G42" s="27"/>
      <c r="H42" s="30">
        <v>310000.0</v>
      </c>
      <c r="I42" s="32" t="s">
        <v>25</v>
      </c>
      <c r="J42" s="32" t="s">
        <v>26</v>
      </c>
      <c r="K42" s="32" t="s">
        <v>27</v>
      </c>
      <c r="L42" s="32" t="s">
        <v>28</v>
      </c>
      <c r="M42" s="32" t="s">
        <v>42</v>
      </c>
      <c r="N42" s="38"/>
      <c r="O42" s="38"/>
      <c r="P42" s="38"/>
      <c r="Q42" s="1"/>
      <c r="R42" s="1"/>
    </row>
    <row r="43" ht="15.75" customHeight="1">
      <c r="A43" s="1"/>
      <c r="B43" s="18"/>
      <c r="C43" s="20" t="s">
        <v>180</v>
      </c>
      <c r="D43" s="78"/>
      <c r="E43" s="18"/>
      <c r="F43" s="97"/>
      <c r="G43" s="27"/>
      <c r="H43" s="30">
        <v>350000.0</v>
      </c>
      <c r="I43" s="32" t="s">
        <v>25</v>
      </c>
      <c r="J43" s="32" t="s">
        <v>26</v>
      </c>
      <c r="K43" s="18"/>
      <c r="L43" s="32" t="s">
        <v>28</v>
      </c>
      <c r="M43" s="32" t="s">
        <v>42</v>
      </c>
      <c r="N43" s="38"/>
      <c r="O43" s="38"/>
      <c r="P43" s="38"/>
      <c r="Q43" s="1"/>
      <c r="R43" s="1"/>
    </row>
    <row r="44" ht="15.75" customHeight="1">
      <c r="A44" s="1"/>
      <c r="B44" s="18">
        <v>14.0</v>
      </c>
      <c r="C44" s="20" t="s">
        <v>183</v>
      </c>
      <c r="D44" s="20" t="s">
        <v>75</v>
      </c>
      <c r="E44" s="18"/>
      <c r="F44" s="32" t="s">
        <v>51</v>
      </c>
      <c r="G44" s="27"/>
      <c r="H44" s="30">
        <v>150000.0</v>
      </c>
      <c r="I44" s="32" t="s">
        <v>25</v>
      </c>
      <c r="J44" s="18"/>
      <c r="K44" s="18"/>
      <c r="L44" s="32" t="s">
        <v>28</v>
      </c>
      <c r="M44" s="32" t="s">
        <v>42</v>
      </c>
      <c r="N44" s="38"/>
      <c r="O44" s="38"/>
      <c r="P44" s="38"/>
      <c r="Q44" s="1"/>
      <c r="R44" s="1"/>
    </row>
    <row r="45" ht="15.75" customHeight="1">
      <c r="A45" s="1"/>
      <c r="B45" s="18">
        <v>15.0</v>
      </c>
      <c r="C45" s="20" t="s">
        <v>184</v>
      </c>
      <c r="D45" s="20" t="s">
        <v>22</v>
      </c>
      <c r="E45" s="18"/>
      <c r="F45" s="53">
        <v>46299.0</v>
      </c>
      <c r="G45" s="39">
        <v>370000.0</v>
      </c>
      <c r="H45" s="60"/>
      <c r="I45" s="32" t="s">
        <v>25</v>
      </c>
      <c r="J45" s="32" t="s">
        <v>26</v>
      </c>
      <c r="K45" s="32" t="s">
        <v>27</v>
      </c>
      <c r="L45" s="32" t="s">
        <v>29</v>
      </c>
      <c r="M45" s="32" t="s">
        <v>59</v>
      </c>
      <c r="N45" s="38"/>
      <c r="O45" s="38"/>
      <c r="P45" s="38"/>
      <c r="Q45" s="1"/>
      <c r="R45" s="1"/>
    </row>
    <row r="46" ht="15.75" customHeight="1">
      <c r="A46" s="1"/>
      <c r="B46" s="18">
        <v>16.0</v>
      </c>
      <c r="C46" s="20" t="s">
        <v>185</v>
      </c>
      <c r="D46" s="20" t="s">
        <v>22</v>
      </c>
      <c r="E46" s="18"/>
      <c r="F46" s="53">
        <v>46299.0</v>
      </c>
      <c r="G46" s="39">
        <v>0.0</v>
      </c>
      <c r="H46" s="30">
        <v>0.0</v>
      </c>
      <c r="I46" s="32" t="s">
        <v>25</v>
      </c>
      <c r="J46" s="32" t="s">
        <v>26</v>
      </c>
      <c r="K46" s="32" t="s">
        <v>27</v>
      </c>
      <c r="L46" s="32" t="s">
        <v>29</v>
      </c>
      <c r="M46" s="32" t="s">
        <v>42</v>
      </c>
      <c r="N46" s="38"/>
      <c r="O46" s="38"/>
      <c r="P46" s="38"/>
      <c r="Q46" s="1"/>
      <c r="R46" s="1"/>
    </row>
    <row r="47" ht="15.75" customHeight="1">
      <c r="A47" s="1"/>
      <c r="B47" s="18">
        <v>17.0</v>
      </c>
      <c r="C47" s="20" t="s">
        <v>186</v>
      </c>
      <c r="D47" s="20" t="s">
        <v>22</v>
      </c>
      <c r="E47" s="18"/>
      <c r="F47" s="53">
        <v>46299.0</v>
      </c>
      <c r="G47" s="39">
        <v>270000.0</v>
      </c>
      <c r="H47" s="60"/>
      <c r="I47" s="32" t="s">
        <v>25</v>
      </c>
      <c r="J47" s="32" t="s">
        <v>26</v>
      </c>
      <c r="K47" s="32" t="s">
        <v>27</v>
      </c>
      <c r="L47" s="32" t="s">
        <v>29</v>
      </c>
      <c r="M47" s="32" t="s">
        <v>59</v>
      </c>
      <c r="N47" s="38"/>
      <c r="O47" s="38"/>
      <c r="P47" s="38"/>
      <c r="Q47" s="1"/>
      <c r="R47" s="1"/>
    </row>
    <row r="48" ht="15.75" customHeight="1">
      <c r="A48" s="1"/>
      <c r="B48" s="18">
        <v>18.0</v>
      </c>
      <c r="C48" s="20" t="s">
        <v>187</v>
      </c>
      <c r="D48" s="20" t="s">
        <v>22</v>
      </c>
      <c r="E48" s="18"/>
      <c r="F48" s="53">
        <v>46299.0</v>
      </c>
      <c r="G48" s="39">
        <v>430000.0</v>
      </c>
      <c r="H48" s="60"/>
      <c r="I48" s="32" t="s">
        <v>25</v>
      </c>
      <c r="J48" s="32" t="s">
        <v>26</v>
      </c>
      <c r="K48" s="32" t="s">
        <v>27</v>
      </c>
      <c r="L48" s="32" t="s">
        <v>29</v>
      </c>
      <c r="M48" s="32" t="s">
        <v>93</v>
      </c>
      <c r="N48" s="38"/>
      <c r="O48" s="38"/>
      <c r="P48" s="38"/>
      <c r="Q48" s="2"/>
      <c r="R48" s="1"/>
    </row>
    <row r="49" ht="15.75" customHeight="1">
      <c r="A49" s="1"/>
      <c r="B49" s="18">
        <v>19.0</v>
      </c>
      <c r="C49" s="20" t="s">
        <v>188</v>
      </c>
      <c r="D49" s="20" t="s">
        <v>22</v>
      </c>
      <c r="E49" s="18"/>
      <c r="F49" s="53">
        <v>46299.0</v>
      </c>
      <c r="G49" s="39">
        <v>250000.0</v>
      </c>
      <c r="H49" s="60"/>
      <c r="I49" s="32" t="s">
        <v>25</v>
      </c>
      <c r="J49" s="32" t="s">
        <v>26</v>
      </c>
      <c r="K49" s="32" t="s">
        <v>27</v>
      </c>
      <c r="L49" s="32" t="s">
        <v>29</v>
      </c>
      <c r="M49" s="32" t="s">
        <v>93</v>
      </c>
      <c r="N49" s="38"/>
      <c r="O49" s="38"/>
      <c r="P49" s="38"/>
      <c r="Q49" s="1"/>
      <c r="R49" s="1"/>
    </row>
    <row r="50" ht="15.75" customHeight="1">
      <c r="A50" s="1"/>
      <c r="B50" s="18">
        <v>20.0</v>
      </c>
      <c r="C50" s="20" t="s">
        <v>189</v>
      </c>
      <c r="D50" s="20" t="s">
        <v>22</v>
      </c>
      <c r="E50" s="18"/>
      <c r="F50" s="53">
        <v>46299.0</v>
      </c>
      <c r="G50" s="27"/>
      <c r="H50" s="30">
        <v>530000.0</v>
      </c>
      <c r="I50" s="32" t="s">
        <v>25</v>
      </c>
      <c r="J50" s="32" t="s">
        <v>26</v>
      </c>
      <c r="K50" s="32" t="s">
        <v>27</v>
      </c>
      <c r="L50" s="32" t="s">
        <v>29</v>
      </c>
      <c r="M50" s="32" t="s">
        <v>81</v>
      </c>
      <c r="N50" s="38"/>
      <c r="O50" s="38"/>
      <c r="P50" s="38"/>
      <c r="Q50" s="1"/>
      <c r="R50" s="1"/>
    </row>
    <row r="51" ht="15.75" customHeight="1">
      <c r="A51" s="1"/>
      <c r="B51" s="18">
        <v>21.0</v>
      </c>
      <c r="C51" s="20" t="s">
        <v>190</v>
      </c>
      <c r="D51" s="20" t="s">
        <v>22</v>
      </c>
      <c r="E51" s="18"/>
      <c r="F51" s="53">
        <v>46299.0</v>
      </c>
      <c r="G51" s="39">
        <v>330000.0</v>
      </c>
      <c r="H51" s="60"/>
      <c r="I51" s="32" t="s">
        <v>25</v>
      </c>
      <c r="J51" s="32" t="s">
        <v>26</v>
      </c>
      <c r="K51" s="32" t="s">
        <v>27</v>
      </c>
      <c r="L51" s="32" t="s">
        <v>29</v>
      </c>
      <c r="M51" s="32" t="s">
        <v>59</v>
      </c>
      <c r="N51" s="38"/>
      <c r="O51" s="38"/>
      <c r="P51" s="38"/>
      <c r="Q51" s="2"/>
      <c r="R51" s="1"/>
    </row>
    <row r="52" ht="15.75" customHeight="1">
      <c r="A52" s="1"/>
      <c r="B52" s="18">
        <v>22.0</v>
      </c>
      <c r="C52" s="20" t="s">
        <v>191</v>
      </c>
      <c r="D52" s="20" t="s">
        <v>22</v>
      </c>
      <c r="E52" s="18"/>
      <c r="F52" s="53">
        <v>46299.0</v>
      </c>
      <c r="G52" s="39">
        <v>390000.0</v>
      </c>
      <c r="H52" s="60"/>
      <c r="I52" s="32" t="s">
        <v>25</v>
      </c>
      <c r="J52" s="32" t="s">
        <v>26</v>
      </c>
      <c r="K52" s="32" t="s">
        <v>27</v>
      </c>
      <c r="L52" s="32" t="s">
        <v>29</v>
      </c>
      <c r="M52" s="32" t="s">
        <v>59</v>
      </c>
      <c r="N52" s="38"/>
      <c r="O52" s="38"/>
      <c r="P52" s="38"/>
      <c r="Q52" s="1"/>
      <c r="R52" s="1"/>
    </row>
    <row r="53" ht="15.75" customHeight="1">
      <c r="A53" s="1"/>
      <c r="B53" s="18">
        <v>23.0</v>
      </c>
      <c r="C53" s="20" t="s">
        <v>192</v>
      </c>
      <c r="D53" s="20" t="s">
        <v>22</v>
      </c>
      <c r="E53" s="18"/>
      <c r="F53" s="53">
        <v>46299.0</v>
      </c>
      <c r="G53" s="39">
        <v>350000.0</v>
      </c>
      <c r="H53" s="60"/>
      <c r="I53" s="32" t="s">
        <v>25</v>
      </c>
      <c r="J53" s="32" t="s">
        <v>26</v>
      </c>
      <c r="K53" s="32" t="s">
        <v>27</v>
      </c>
      <c r="L53" s="32" t="s">
        <v>29</v>
      </c>
      <c r="M53" s="32" t="s">
        <v>59</v>
      </c>
      <c r="N53" s="38"/>
      <c r="O53" s="38"/>
      <c r="P53" s="38"/>
      <c r="Q53" s="2"/>
      <c r="R53" s="1"/>
    </row>
    <row r="54" ht="15.75" customHeight="1">
      <c r="A54" s="1"/>
      <c r="B54" s="18">
        <v>24.0</v>
      </c>
      <c r="C54" s="20" t="s">
        <v>193</v>
      </c>
      <c r="D54" s="20" t="s">
        <v>44</v>
      </c>
      <c r="E54" s="18"/>
      <c r="F54" s="53">
        <v>46299.0</v>
      </c>
      <c r="G54" s="39">
        <v>420000.0</v>
      </c>
      <c r="H54" s="60"/>
      <c r="I54" s="32" t="s">
        <v>25</v>
      </c>
      <c r="J54" s="32" t="s">
        <v>26</v>
      </c>
      <c r="K54" s="32" t="s">
        <v>27</v>
      </c>
      <c r="L54" s="32" t="s">
        <v>29</v>
      </c>
      <c r="M54" s="32" t="s">
        <v>59</v>
      </c>
      <c r="N54" s="38"/>
      <c r="O54" s="38"/>
      <c r="P54" s="38"/>
      <c r="Q54" s="1"/>
      <c r="R54" s="1"/>
    </row>
    <row r="55" ht="15.75" customHeight="1">
      <c r="A55" s="1"/>
      <c r="B55" s="18">
        <v>25.0</v>
      </c>
      <c r="C55" s="20" t="s">
        <v>194</v>
      </c>
      <c r="D55" s="20" t="s">
        <v>54</v>
      </c>
      <c r="E55" s="18"/>
      <c r="F55" s="53">
        <v>46299.0</v>
      </c>
      <c r="G55" s="27"/>
      <c r="H55" s="30">
        <v>100000.0</v>
      </c>
      <c r="I55" s="32" t="s">
        <v>24</v>
      </c>
      <c r="J55" s="18"/>
      <c r="K55" s="18"/>
      <c r="L55" s="32" t="s">
        <v>29</v>
      </c>
      <c r="M55" s="18"/>
      <c r="N55" s="38"/>
      <c r="O55" s="38"/>
      <c r="P55" s="38"/>
      <c r="Q55" s="1"/>
      <c r="R55" s="1"/>
    </row>
    <row r="56" ht="15.75" customHeight="1">
      <c r="A56" s="1"/>
      <c r="B56" s="18">
        <v>26.0</v>
      </c>
      <c r="C56" s="20" t="s">
        <v>196</v>
      </c>
      <c r="D56" s="20" t="s">
        <v>22</v>
      </c>
      <c r="E56" s="32" t="s">
        <v>197</v>
      </c>
      <c r="F56" s="53">
        <v>46299.0</v>
      </c>
      <c r="G56" s="27"/>
      <c r="H56" s="30">
        <v>410000.0</v>
      </c>
      <c r="I56" s="32" t="s">
        <v>25</v>
      </c>
      <c r="J56" s="32" t="s">
        <v>26</v>
      </c>
      <c r="K56" s="32" t="s">
        <v>27</v>
      </c>
      <c r="L56" s="32" t="s">
        <v>29</v>
      </c>
      <c r="M56" s="32" t="s">
        <v>59</v>
      </c>
      <c r="N56" s="38"/>
      <c r="O56" s="38"/>
      <c r="P56" s="38"/>
      <c r="Q56" s="1"/>
      <c r="R56" s="1"/>
    </row>
    <row r="57" ht="15.75" customHeight="1">
      <c r="A57" s="1"/>
      <c r="B57" s="18">
        <v>27.0</v>
      </c>
      <c r="C57" s="20" t="s">
        <v>199</v>
      </c>
      <c r="D57" s="20" t="s">
        <v>22</v>
      </c>
      <c r="E57" s="18"/>
      <c r="F57" s="53">
        <v>46301.0</v>
      </c>
      <c r="G57" s="27"/>
      <c r="H57" s="30">
        <v>100000.0</v>
      </c>
      <c r="I57" s="32" t="s">
        <v>24</v>
      </c>
      <c r="J57" s="18"/>
      <c r="K57" s="18"/>
      <c r="L57" s="32" t="s">
        <v>29</v>
      </c>
      <c r="M57" s="18"/>
      <c r="N57" s="38"/>
      <c r="O57" s="38"/>
      <c r="P57" s="38"/>
      <c r="Q57" s="1"/>
      <c r="R57" s="1"/>
    </row>
    <row r="58" ht="15.75" customHeight="1">
      <c r="A58" s="1"/>
      <c r="B58" s="18">
        <v>28.0</v>
      </c>
      <c r="C58" s="20" t="s">
        <v>203</v>
      </c>
      <c r="D58" s="20" t="s">
        <v>22</v>
      </c>
      <c r="E58" s="18"/>
      <c r="F58" s="32" t="s">
        <v>23</v>
      </c>
      <c r="G58" s="27"/>
      <c r="H58" s="30">
        <v>410000.0</v>
      </c>
      <c r="I58" s="32" t="s">
        <v>25</v>
      </c>
      <c r="J58" s="32" t="s">
        <v>26</v>
      </c>
      <c r="K58" s="32" t="s">
        <v>27</v>
      </c>
      <c r="L58" s="32" t="s">
        <v>28</v>
      </c>
      <c r="M58" s="32" t="s">
        <v>42</v>
      </c>
      <c r="N58" s="38"/>
      <c r="O58" s="38"/>
      <c r="P58" s="38"/>
      <c r="Q58" s="1"/>
      <c r="R58" s="1"/>
    </row>
    <row r="59" ht="15.75" customHeight="1">
      <c r="A59" s="1"/>
      <c r="B59" s="18">
        <v>29.0</v>
      </c>
      <c r="C59" s="20" t="s">
        <v>152</v>
      </c>
      <c r="D59" s="20" t="s">
        <v>44</v>
      </c>
      <c r="E59" s="18"/>
      <c r="F59" s="32" t="s">
        <v>37</v>
      </c>
      <c r="G59" s="27"/>
      <c r="H59" s="30">
        <v>150000.0</v>
      </c>
      <c r="I59" s="32" t="s">
        <v>25</v>
      </c>
      <c r="J59" s="32" t="s">
        <v>26</v>
      </c>
      <c r="K59" s="32" t="s">
        <v>27</v>
      </c>
      <c r="L59" s="32" t="s">
        <v>28</v>
      </c>
      <c r="M59" s="18"/>
      <c r="N59" s="38"/>
      <c r="O59" s="38"/>
      <c r="P59" s="38"/>
      <c r="Q59" s="1"/>
      <c r="R59" s="1"/>
    </row>
    <row r="60" ht="15.75" customHeight="1">
      <c r="A60" s="1"/>
      <c r="B60" s="18">
        <v>30.0</v>
      </c>
      <c r="C60" s="78"/>
      <c r="D60" s="78"/>
      <c r="E60" s="18"/>
      <c r="F60" s="97"/>
      <c r="G60" s="27"/>
      <c r="H60" s="60"/>
      <c r="I60" s="18"/>
      <c r="J60" s="18"/>
      <c r="K60" s="18"/>
      <c r="L60" s="18"/>
      <c r="M60" s="18"/>
      <c r="N60" s="38"/>
      <c r="O60" s="38"/>
      <c r="P60" s="38"/>
      <c r="Q60" s="1"/>
      <c r="R60" s="1"/>
    </row>
    <row r="61" ht="15.75" customHeight="1">
      <c r="A61" s="1"/>
      <c r="B61" s="18">
        <v>31.0</v>
      </c>
      <c r="C61" s="78"/>
      <c r="D61" s="78"/>
      <c r="E61" s="18"/>
      <c r="F61" s="97"/>
      <c r="G61" s="27"/>
      <c r="H61" s="60"/>
      <c r="I61" s="18"/>
      <c r="J61" s="18"/>
      <c r="K61" s="18"/>
      <c r="L61" s="18"/>
      <c r="M61" s="18"/>
      <c r="N61" s="38"/>
      <c r="O61" s="38"/>
      <c r="P61" s="38"/>
      <c r="Q61" s="1"/>
      <c r="R61" s="1"/>
    </row>
    <row r="62" ht="15.75" customHeight="1">
      <c r="A62" s="1"/>
      <c r="B62" s="18">
        <v>32.0</v>
      </c>
      <c r="C62" s="78"/>
      <c r="D62" s="78"/>
      <c r="E62" s="18"/>
      <c r="F62" s="97"/>
      <c r="G62" s="27"/>
      <c r="H62" s="60"/>
      <c r="I62" s="18"/>
      <c r="J62" s="18"/>
      <c r="K62" s="18"/>
      <c r="L62" s="18"/>
      <c r="M62" s="18"/>
      <c r="N62" s="38"/>
      <c r="O62" s="38"/>
      <c r="P62" s="38"/>
      <c r="Q62" s="1"/>
      <c r="R62" s="1"/>
    </row>
    <row r="63" ht="15.75" customHeight="1">
      <c r="A63" s="1"/>
      <c r="B63" s="18">
        <v>33.0</v>
      </c>
      <c r="C63" s="78"/>
      <c r="D63" s="78"/>
      <c r="E63" s="18"/>
      <c r="F63" s="97"/>
      <c r="G63" s="27"/>
      <c r="H63" s="60"/>
      <c r="I63" s="18"/>
      <c r="J63" s="18"/>
      <c r="K63" s="18"/>
      <c r="L63" s="18"/>
      <c r="M63" s="18"/>
      <c r="N63" s="38"/>
      <c r="O63" s="38"/>
      <c r="P63" s="38"/>
      <c r="Q63" s="1"/>
      <c r="R63" s="1"/>
    </row>
    <row r="64" ht="15.75" customHeight="1">
      <c r="A64" s="1"/>
      <c r="B64" s="18">
        <v>34.0</v>
      </c>
      <c r="C64" s="78"/>
      <c r="D64" s="78"/>
      <c r="E64" s="18"/>
      <c r="F64" s="97"/>
      <c r="G64" s="27"/>
      <c r="H64" s="60"/>
      <c r="I64" s="18"/>
      <c r="J64" s="18"/>
      <c r="K64" s="18"/>
      <c r="L64" s="18"/>
      <c r="M64" s="18"/>
      <c r="N64" s="38"/>
      <c r="O64" s="38"/>
      <c r="P64" s="38"/>
      <c r="Q64" s="1"/>
      <c r="R64" s="1"/>
    </row>
    <row r="65" ht="15.75" customHeight="1">
      <c r="A65" s="1"/>
      <c r="B65" s="18">
        <v>35.0</v>
      </c>
      <c r="C65" s="78"/>
      <c r="D65" s="78"/>
      <c r="E65" s="18"/>
      <c r="F65" s="97"/>
      <c r="G65" s="27"/>
      <c r="H65" s="60"/>
      <c r="I65" s="18"/>
      <c r="J65" s="18"/>
      <c r="K65" s="18"/>
      <c r="L65" s="18"/>
      <c r="M65" s="18"/>
      <c r="N65" s="38"/>
      <c r="O65" s="38"/>
      <c r="P65" s="38"/>
      <c r="Q65" s="1"/>
      <c r="R65" s="1"/>
    </row>
    <row r="66" ht="15.75" customHeight="1">
      <c r="A66" s="1"/>
      <c r="B66" s="18">
        <v>36.0</v>
      </c>
      <c r="C66" s="78"/>
      <c r="D66" s="78"/>
      <c r="E66" s="18"/>
      <c r="F66" s="97"/>
      <c r="G66" s="27"/>
      <c r="H66" s="60"/>
      <c r="I66" s="18"/>
      <c r="J66" s="18"/>
      <c r="K66" s="18"/>
      <c r="L66" s="18"/>
      <c r="M66" s="18"/>
      <c r="N66" s="38"/>
      <c r="O66" s="38"/>
      <c r="P66" s="38"/>
      <c r="Q66" s="1"/>
      <c r="R66" s="1"/>
    </row>
    <row r="67" ht="15.75" customHeight="1">
      <c r="A67" s="1"/>
      <c r="B67" s="18">
        <v>37.0</v>
      </c>
      <c r="C67" s="78"/>
      <c r="D67" s="78"/>
      <c r="E67" s="18"/>
      <c r="F67" s="97"/>
      <c r="G67" s="27"/>
      <c r="H67" s="60"/>
      <c r="I67" s="18"/>
      <c r="J67" s="18"/>
      <c r="K67" s="18"/>
      <c r="L67" s="18"/>
      <c r="M67" s="18"/>
      <c r="N67" s="38"/>
      <c r="O67" s="38"/>
      <c r="P67" s="38"/>
      <c r="Q67" s="1"/>
      <c r="R67" s="1"/>
    </row>
    <row r="68" ht="15.75" customHeight="1">
      <c r="A68" s="1"/>
      <c r="B68" s="18">
        <v>38.0</v>
      </c>
      <c r="C68" s="78"/>
      <c r="D68" s="78"/>
      <c r="E68" s="18"/>
      <c r="F68" s="97"/>
      <c r="G68" s="27"/>
      <c r="H68" s="60"/>
      <c r="I68" s="18"/>
      <c r="J68" s="18"/>
      <c r="K68" s="18"/>
      <c r="L68" s="18"/>
      <c r="M68" s="18"/>
      <c r="N68" s="38"/>
      <c r="O68" s="38"/>
      <c r="P68" s="38"/>
      <c r="Q68" s="1"/>
      <c r="R68" s="1"/>
    </row>
    <row r="69" ht="15.75" customHeight="1">
      <c r="A69" s="1"/>
      <c r="B69" s="18">
        <v>39.0</v>
      </c>
      <c r="C69" s="78"/>
      <c r="D69" s="78"/>
      <c r="E69" s="18"/>
      <c r="F69" s="97"/>
      <c r="G69" s="27"/>
      <c r="H69" s="60"/>
      <c r="I69" s="18"/>
      <c r="J69" s="18"/>
      <c r="K69" s="18"/>
      <c r="L69" s="18"/>
      <c r="M69" s="18"/>
      <c r="N69" s="38"/>
      <c r="O69" s="38"/>
      <c r="P69" s="38"/>
      <c r="Q69" s="1"/>
      <c r="R69" s="1"/>
    </row>
    <row r="70" ht="15.75" customHeight="1">
      <c r="A70" s="1"/>
      <c r="B70" s="18">
        <v>40.0</v>
      </c>
      <c r="C70" s="78"/>
      <c r="D70" s="78"/>
      <c r="E70" s="18"/>
      <c r="F70" s="97"/>
      <c r="G70" s="27"/>
      <c r="H70" s="60"/>
      <c r="I70" s="18"/>
      <c r="J70" s="18"/>
      <c r="K70" s="18"/>
      <c r="L70" s="18"/>
      <c r="M70" s="18"/>
      <c r="N70" s="38"/>
      <c r="O70" s="38"/>
      <c r="P70" s="38"/>
      <c r="Q70" s="1"/>
      <c r="R70" s="1"/>
    </row>
    <row r="71" ht="15.75" customHeight="1">
      <c r="A71" s="1"/>
      <c r="B71" s="18">
        <v>41.0</v>
      </c>
      <c r="C71" s="78"/>
      <c r="D71" s="78"/>
      <c r="E71" s="18"/>
      <c r="F71" s="97"/>
      <c r="G71" s="27"/>
      <c r="H71" s="60"/>
      <c r="I71" s="18"/>
      <c r="J71" s="18"/>
      <c r="K71" s="18"/>
      <c r="L71" s="18"/>
      <c r="M71" s="18"/>
      <c r="N71" s="38"/>
      <c r="O71" s="38"/>
      <c r="P71" s="38"/>
      <c r="Q71" s="1"/>
      <c r="R71" s="1"/>
    </row>
    <row r="72" ht="15.75" customHeight="1">
      <c r="A72" s="1"/>
      <c r="B72" s="18">
        <v>42.0</v>
      </c>
      <c r="C72" s="78"/>
      <c r="D72" s="78"/>
      <c r="E72" s="18"/>
      <c r="F72" s="97"/>
      <c r="G72" s="27"/>
      <c r="H72" s="60"/>
      <c r="I72" s="18"/>
      <c r="J72" s="18"/>
      <c r="K72" s="18"/>
      <c r="L72" s="18"/>
      <c r="M72" s="18"/>
      <c r="N72" s="38"/>
      <c r="O72" s="38"/>
      <c r="P72" s="38"/>
      <c r="Q72" s="1"/>
      <c r="R72" s="1"/>
    </row>
    <row r="73" ht="15.75" customHeight="1">
      <c r="A73" s="1"/>
      <c r="B73" s="18">
        <v>43.0</v>
      </c>
      <c r="C73" s="78"/>
      <c r="D73" s="78"/>
      <c r="E73" s="18"/>
      <c r="F73" s="97"/>
      <c r="G73" s="27"/>
      <c r="H73" s="60"/>
      <c r="I73" s="18"/>
      <c r="J73" s="18"/>
      <c r="K73" s="18"/>
      <c r="L73" s="18"/>
      <c r="M73" s="18"/>
      <c r="N73" s="38"/>
      <c r="O73" s="38"/>
      <c r="P73" s="38"/>
      <c r="Q73" s="1"/>
      <c r="R73" s="1"/>
    </row>
    <row r="74" ht="15.75" customHeight="1">
      <c r="A74" s="1"/>
      <c r="B74" s="18">
        <v>44.0</v>
      </c>
      <c r="C74" s="78"/>
      <c r="D74" s="78"/>
      <c r="E74" s="18"/>
      <c r="F74" s="97"/>
      <c r="G74" s="27"/>
      <c r="H74" s="60"/>
      <c r="I74" s="18"/>
      <c r="J74" s="18"/>
      <c r="K74" s="18"/>
      <c r="L74" s="18"/>
      <c r="M74" s="18"/>
      <c r="N74" s="38"/>
      <c r="O74" s="38"/>
      <c r="P74" s="38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19">
        <f t="shared" ref="G75:H75" si="1">SUM(G4:G74)</f>
        <v>8380000</v>
      </c>
      <c r="H75" s="70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71" t="s">
        <v>1</v>
      </c>
      <c r="C78" s="78" t="s">
        <v>7</v>
      </c>
      <c r="D78" s="72" t="s">
        <v>120</v>
      </c>
      <c r="E78" s="1"/>
      <c r="F78" s="1"/>
      <c r="G78" s="1"/>
      <c r="H78" s="1"/>
      <c r="I78" s="1"/>
      <c r="J78" s="1"/>
      <c r="K78" s="1"/>
      <c r="L78" s="1"/>
      <c r="M78" s="1"/>
      <c r="N78" s="72" t="s">
        <v>121</v>
      </c>
      <c r="O78" s="72" t="s">
        <v>2</v>
      </c>
      <c r="P78" s="1"/>
      <c r="Q78" s="1"/>
      <c r="R78" s="1"/>
    </row>
    <row r="79" ht="15.75" customHeight="1">
      <c r="A79" s="1"/>
      <c r="B79" s="73">
        <v>1.0</v>
      </c>
      <c r="C79" s="75" t="s">
        <v>124</v>
      </c>
      <c r="D79" s="76">
        <f>SUM(G75)</f>
        <v>8380000</v>
      </c>
      <c r="E79" s="77"/>
      <c r="F79" s="1"/>
      <c r="G79" s="1"/>
      <c r="H79" s="1"/>
      <c r="I79" s="1"/>
      <c r="J79" s="1"/>
      <c r="K79" s="1"/>
      <c r="L79" s="1"/>
      <c r="M79" s="1"/>
      <c r="N79" s="79" t="s">
        <v>128</v>
      </c>
      <c r="O79" s="80" t="s">
        <v>29</v>
      </c>
      <c r="P79" s="1"/>
      <c r="Q79" s="1"/>
      <c r="R79" s="1"/>
    </row>
    <row r="80" ht="15.75" customHeight="1">
      <c r="A80" s="1"/>
      <c r="B80" s="82">
        <v>2.0</v>
      </c>
      <c r="C80" s="142" t="s">
        <v>213</v>
      </c>
      <c r="D80" s="143">
        <v>-110000.0</v>
      </c>
      <c r="E80" s="77"/>
      <c r="F80" s="1"/>
      <c r="G80" s="1"/>
      <c r="H80" s="1"/>
      <c r="I80" s="1"/>
      <c r="J80" s="1"/>
      <c r="K80" s="1"/>
      <c r="L80" s="1"/>
      <c r="M80" s="1"/>
      <c r="N80" s="85" t="s">
        <v>132</v>
      </c>
      <c r="O80" s="86" t="s">
        <v>28</v>
      </c>
      <c r="P80" s="1"/>
      <c r="Q80" s="1"/>
      <c r="R80" s="1"/>
    </row>
    <row r="81" ht="15.75" customHeight="1">
      <c r="A81" s="1"/>
      <c r="B81" s="73">
        <v>3.0</v>
      </c>
      <c r="C81" s="75"/>
      <c r="D81" s="76"/>
      <c r="E81" s="77"/>
      <c r="F81" s="1"/>
      <c r="G81" s="1"/>
      <c r="H81" s="1"/>
      <c r="I81" s="1"/>
      <c r="J81" s="1"/>
      <c r="K81" s="1"/>
      <c r="L81" s="1"/>
      <c r="M81" s="1"/>
      <c r="N81" s="88" t="s">
        <v>136</v>
      </c>
      <c r="O81" s="89" t="s">
        <v>42</v>
      </c>
      <c r="P81" s="1"/>
      <c r="Q81" s="1"/>
      <c r="R81" s="1"/>
    </row>
    <row r="82" ht="15.75" customHeight="1">
      <c r="A82" s="1"/>
      <c r="B82" s="82">
        <v>4.0</v>
      </c>
      <c r="C82" s="75"/>
      <c r="D82" s="93"/>
      <c r="E82" s="77"/>
      <c r="F82" s="1"/>
      <c r="G82" s="1"/>
      <c r="H82" s="1"/>
      <c r="I82" s="1"/>
      <c r="J82" s="1"/>
      <c r="K82" s="1"/>
      <c r="L82" s="1"/>
      <c r="M82" s="1"/>
      <c r="N82" s="95" t="s">
        <v>147</v>
      </c>
      <c r="O82" s="86" t="s">
        <v>59</v>
      </c>
      <c r="P82" s="1"/>
      <c r="Q82" s="1"/>
      <c r="R82" s="1"/>
    </row>
    <row r="83" ht="15.75" customHeight="1">
      <c r="A83" s="1"/>
      <c r="B83" s="73">
        <v>5.0</v>
      </c>
      <c r="C83" s="75"/>
      <c r="D83" s="76"/>
      <c r="E83" s="77"/>
      <c r="F83" s="1"/>
      <c r="G83" s="1"/>
      <c r="H83" s="1"/>
      <c r="I83" s="1"/>
      <c r="J83" s="1"/>
      <c r="K83" s="1"/>
      <c r="L83" s="1"/>
      <c r="M83" s="1"/>
      <c r="N83" s="98"/>
      <c r="O83" s="1"/>
      <c r="P83" s="1"/>
      <c r="Q83" s="1"/>
      <c r="R83" s="1"/>
    </row>
    <row r="84" ht="15.75" customHeight="1">
      <c r="A84" s="1"/>
      <c r="B84" s="82">
        <v>6.0</v>
      </c>
      <c r="C84" s="75"/>
      <c r="D84" s="93"/>
      <c r="E84" s="77"/>
      <c r="F84" s="1"/>
      <c r="G84" s="1"/>
      <c r="H84" s="1"/>
      <c r="I84" s="1"/>
      <c r="J84" s="1"/>
      <c r="K84" s="100" t="s">
        <v>150</v>
      </c>
      <c r="Q84" s="1"/>
      <c r="R84" s="1"/>
    </row>
    <row r="85" ht="15.75" customHeight="1">
      <c r="A85" s="1"/>
      <c r="B85" s="73">
        <v>7.0</v>
      </c>
      <c r="C85" s="75"/>
      <c r="D85" s="76"/>
      <c r="E85" s="77"/>
      <c r="F85" s="1"/>
      <c r="G85" s="1"/>
      <c r="H85" s="1"/>
      <c r="I85" s="1"/>
      <c r="J85" s="1"/>
      <c r="K85" s="101" t="s">
        <v>2</v>
      </c>
      <c r="L85" s="101" t="s">
        <v>153</v>
      </c>
      <c r="M85" s="101" t="s">
        <v>155</v>
      </c>
      <c r="N85" s="101" t="s">
        <v>156</v>
      </c>
      <c r="O85" s="101" t="s">
        <v>157</v>
      </c>
      <c r="P85" s="101" t="s">
        <v>158</v>
      </c>
      <c r="Q85" s="1"/>
      <c r="R85" s="1"/>
      <c r="AC85" s="102" t="s">
        <v>159</v>
      </c>
      <c r="AD85" s="102" t="s">
        <v>160</v>
      </c>
      <c r="AE85" s="102" t="s">
        <v>161</v>
      </c>
      <c r="AF85" s="102" t="s">
        <v>163</v>
      </c>
      <c r="AG85" s="102" t="s">
        <v>164</v>
      </c>
    </row>
    <row r="86" ht="15.75" customHeight="1">
      <c r="A86" s="1"/>
      <c r="B86" s="82">
        <v>8.0</v>
      </c>
      <c r="C86" s="75"/>
      <c r="D86" s="93"/>
      <c r="E86" s="77"/>
      <c r="F86" s="1"/>
      <c r="G86" s="1"/>
      <c r="H86" s="1"/>
      <c r="I86" s="1"/>
      <c r="J86" s="1"/>
      <c r="K86" s="104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2" t="s">
        <v>214</v>
      </c>
      <c r="R86" s="1"/>
      <c r="AC86" s="102">
        <f t="shared" ref="AC86:AC91" si="3">IF(AG86="","",IF(COUNT(L86:P86)&lt;5,"",L86/5*20+M86/5*25+N86/5*25+O86/5*15+P86/5*15))</f>
        <v>100</v>
      </c>
      <c r="AD86" s="102" t="str">
        <f t="shared" ref="AD86:AD91" si="4">IF(AC86="","",IF(AC86&gt;=90,"Sangat Baik",IF(AC86&gt;=80,"Baik",IF(AC86&gt;=70,"Coaching","Underperform"))))</f>
        <v>Sangat Baik</v>
      </c>
      <c r="AE86" s="102" t="str">
        <f t="shared" ref="AE86:AE91" si="5">IF(AG86="","",IF(OR(AG86="INDAH",AG86="ADDEL",AG86="AMEL",AG86="PENTIL",AG86="JIJANG"),"Admin/CS","Fotografer"))</f>
        <v>Admin/CS</v>
      </c>
      <c r="AF86" s="102">
        <f t="shared" ref="AF86:AF91" si="6">IF(OR(AG86="",COUNT(L86:P86)&lt;5),"",1)</f>
        <v>1</v>
      </c>
      <c r="AG86" s="102" t="str">
        <f t="shared" ref="AG86:AG91" si="7">IFERROR(K86,"")</f>
        <v>INDAH</v>
      </c>
    </row>
    <row r="87" ht="15.75" customHeight="1">
      <c r="A87" s="1"/>
      <c r="B87" s="73">
        <v>9.0</v>
      </c>
      <c r="C87" s="75"/>
      <c r="D87" s="76"/>
      <c r="E87" s="77"/>
      <c r="F87" s="1"/>
      <c r="G87" s="1"/>
      <c r="H87" s="1"/>
      <c r="I87" s="1"/>
      <c r="J87" s="1"/>
      <c r="K87" s="104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2" t="s">
        <v>216</v>
      </c>
      <c r="R87" s="1"/>
      <c r="AC87" s="102">
        <f t="shared" si="3"/>
        <v>100</v>
      </c>
      <c r="AD87" s="102" t="str">
        <f t="shared" si="4"/>
        <v>Sangat Baik</v>
      </c>
      <c r="AE87" s="102" t="str">
        <f t="shared" si="5"/>
        <v>Admin/CS</v>
      </c>
      <c r="AF87" s="102">
        <f t="shared" si="6"/>
        <v>1</v>
      </c>
      <c r="AG87" s="102" t="str">
        <f t="shared" si="7"/>
        <v>AMEL</v>
      </c>
    </row>
    <row r="88" ht="15.75" customHeight="1">
      <c r="A88" s="1"/>
      <c r="B88" s="82">
        <v>10.0</v>
      </c>
      <c r="C88" s="75"/>
      <c r="D88" s="93"/>
      <c r="E88" s="77"/>
      <c r="F88" s="1"/>
      <c r="G88" s="1"/>
      <c r="H88" s="1"/>
      <c r="I88" s="1"/>
      <c r="J88" s="1"/>
      <c r="K88" s="104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2" t="s">
        <v>218</v>
      </c>
      <c r="R88" s="1"/>
      <c r="AC88" s="102">
        <f t="shared" si="3"/>
        <v>100</v>
      </c>
      <c r="AD88" s="102" t="str">
        <f t="shared" si="4"/>
        <v>Sangat Baik</v>
      </c>
      <c r="AE88" s="102" t="str">
        <f t="shared" si="5"/>
        <v>Fotografer</v>
      </c>
      <c r="AF88" s="102">
        <f t="shared" si="6"/>
        <v>1</v>
      </c>
      <c r="AG88" s="102" t="str">
        <f t="shared" si="7"/>
        <v>ADIF</v>
      </c>
    </row>
    <row r="89" ht="15.75" customHeight="1">
      <c r="A89" s="1"/>
      <c r="B89" s="114">
        <v>11.0</v>
      </c>
      <c r="C89" s="115"/>
      <c r="D89" s="116"/>
      <c r="E89" s="77"/>
      <c r="F89" s="1"/>
      <c r="G89" s="1"/>
      <c r="H89" s="1"/>
      <c r="I89" s="1"/>
      <c r="J89" s="1"/>
      <c r="K89" s="104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102">
        <f t="shared" si="3"/>
        <v>100</v>
      </c>
      <c r="AD89" s="102" t="str">
        <f t="shared" si="4"/>
        <v>Sangat Baik</v>
      </c>
      <c r="AE89" s="102" t="str">
        <f t="shared" si="5"/>
        <v>Fotografer</v>
      </c>
      <c r="AF89" s="102">
        <f t="shared" si="6"/>
        <v>1</v>
      </c>
      <c r="AG89" s="102" t="str">
        <f t="shared" si="7"/>
        <v>SAKA</v>
      </c>
    </row>
    <row r="90" ht="15.75" customHeight="1">
      <c r="A90" s="1"/>
      <c r="B90" s="1"/>
      <c r="C90" s="3"/>
      <c r="D90" s="117">
        <f>SUM(D79:D89)</f>
        <v>8270000</v>
      </c>
      <c r="E90" s="1"/>
      <c r="F90" s="1"/>
      <c r="G90" s="1"/>
      <c r="H90" s="1"/>
      <c r="I90" s="1"/>
      <c r="J90" s="1"/>
      <c r="K90" s="104"/>
      <c r="L90" s="118"/>
      <c r="M90" s="118"/>
      <c r="N90" s="118"/>
      <c r="O90" s="118"/>
      <c r="P90" s="118"/>
      <c r="Q90" s="1"/>
      <c r="R90" s="1"/>
      <c r="AC90" s="102" t="str">
        <f t="shared" si="3"/>
        <v/>
      </c>
      <c r="AD90" s="102" t="str">
        <f t="shared" si="4"/>
        <v/>
      </c>
      <c r="AE90" s="102" t="str">
        <f t="shared" si="5"/>
        <v/>
      </c>
      <c r="AF90" s="102" t="str">
        <f t="shared" si="6"/>
        <v/>
      </c>
      <c r="AG90" s="102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4"/>
      <c r="L91" s="118"/>
      <c r="M91" s="118"/>
      <c r="N91" s="118"/>
      <c r="O91" s="118"/>
      <c r="P91" s="118"/>
      <c r="Q91" s="1"/>
      <c r="R91" s="1"/>
      <c r="AC91" s="102" t="str">
        <f t="shared" si="3"/>
        <v/>
      </c>
      <c r="AD91" s="102" t="str">
        <f t="shared" si="4"/>
        <v/>
      </c>
      <c r="AE91" s="102" t="str">
        <f t="shared" si="5"/>
        <v/>
      </c>
      <c r="AF91" s="102" t="str">
        <f t="shared" si="6"/>
        <v/>
      </c>
      <c r="AG91" s="102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20" t="s">
        <v>195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21" t="s">
        <v>198</v>
      </c>
      <c r="N94" s="1"/>
      <c r="O94" s="1"/>
      <c r="P94" s="1"/>
      <c r="Q94" s="1"/>
      <c r="R94" s="1"/>
    </row>
    <row r="95" ht="15.75" customHeight="1">
      <c r="K95" s="123" t="s">
        <v>8</v>
      </c>
      <c r="L95" s="123" t="s">
        <v>200</v>
      </c>
      <c r="M95" s="123" t="s">
        <v>201</v>
      </c>
    </row>
    <row r="96" ht="15.75" customHeight="1">
      <c r="K96" s="126" t="str">
        <f t="shared" ref="K96:K97" si="8">IF(O79="","",O79)</f>
        <v>INDAH</v>
      </c>
      <c r="L96" s="127">
        <v>3.0</v>
      </c>
      <c r="M96" s="129"/>
    </row>
    <row r="97" ht="15.75" customHeight="1">
      <c r="K97" s="126" t="str">
        <f t="shared" si="8"/>
        <v>AMEL</v>
      </c>
      <c r="L97" s="129"/>
      <c r="M97" s="129"/>
    </row>
    <row r="98" ht="15.75" customHeight="1"/>
    <row r="99" ht="19.5" customHeight="1">
      <c r="K99" s="132" t="s">
        <v>206</v>
      </c>
    </row>
    <row r="100" ht="19.5" customHeight="1">
      <c r="K100" s="134" t="s">
        <v>207</v>
      </c>
      <c r="M100" s="127">
        <v>24.0</v>
      </c>
    </row>
    <row r="101" ht="19.5" customHeight="1">
      <c r="K101" s="135" t="s">
        <v>208</v>
      </c>
      <c r="M101" s="138">
        <f>COUNTIF($I$4:$I$77,"DP")</f>
        <v>3</v>
      </c>
    </row>
    <row r="102" ht="19.5" customHeight="1">
      <c r="K102" s="135" t="s">
        <v>210</v>
      </c>
      <c r="M102" s="138">
        <f>COUNTIFS($I$4:$I$77,"&lt;&gt;DP",$I$4:$I$77,"&lt;&gt;")</f>
        <v>53</v>
      </c>
    </row>
    <row r="103" ht="19.5" customHeight="1">
      <c r="K103" s="139" t="s">
        <v>211</v>
      </c>
      <c r="M103" s="138">
        <f>M101+M102</f>
        <v>56</v>
      </c>
    </row>
    <row r="104" ht="19.5" customHeight="1">
      <c r="K104" s="134" t="s">
        <v>212</v>
      </c>
      <c r="M104" s="141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53"/>
      <c r="T1" s="153"/>
      <c r="U1" s="153"/>
      <c r="V1" s="153"/>
      <c r="W1" s="153"/>
      <c r="X1" s="153"/>
      <c r="Y1" s="153"/>
      <c r="Z1" s="153"/>
      <c r="AA1" s="153"/>
      <c r="AB1" s="153"/>
      <c r="AC1" s="153"/>
      <c r="AD1" s="153"/>
      <c r="AE1" s="153"/>
      <c r="AF1" s="153"/>
      <c r="AG1" s="153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  <c r="S2" s="153"/>
      <c r="T2" s="153"/>
      <c r="U2" s="153"/>
      <c r="V2" s="153"/>
      <c r="W2" s="153"/>
      <c r="X2" s="153"/>
      <c r="Y2" s="153"/>
      <c r="Z2" s="153"/>
      <c r="AA2" s="153"/>
      <c r="AB2" s="153"/>
      <c r="AC2" s="153"/>
      <c r="AD2" s="153"/>
      <c r="AE2" s="153"/>
      <c r="AF2" s="153"/>
      <c r="AG2" s="153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53"/>
      <c r="T3" s="153"/>
      <c r="U3" s="153"/>
      <c r="V3" s="153"/>
      <c r="W3" s="153"/>
      <c r="X3" s="153"/>
      <c r="Y3" s="153"/>
      <c r="Z3" s="153"/>
      <c r="AA3" s="153"/>
      <c r="AB3" s="153"/>
      <c r="AC3" s="153"/>
      <c r="AD3" s="153"/>
      <c r="AE3" s="153"/>
      <c r="AF3" s="153"/>
      <c r="AG3" s="153"/>
    </row>
    <row r="4" ht="15.75" customHeight="1">
      <c r="A4" s="1"/>
      <c r="B4" s="18">
        <v>1.0</v>
      </c>
      <c r="C4" s="20" t="s">
        <v>220</v>
      </c>
      <c r="D4" s="20" t="s">
        <v>54</v>
      </c>
      <c r="E4" s="154"/>
      <c r="F4" s="32" t="s">
        <v>221</v>
      </c>
      <c r="G4" s="155"/>
      <c r="H4" s="30">
        <v>100000.0</v>
      </c>
      <c r="I4" s="32" t="s">
        <v>24</v>
      </c>
      <c r="J4" s="18"/>
      <c r="K4" s="18"/>
      <c r="L4" s="32" t="s">
        <v>28</v>
      </c>
      <c r="M4" s="18"/>
      <c r="N4" s="33"/>
      <c r="O4" s="33"/>
      <c r="P4" s="34"/>
      <c r="Q4" s="1"/>
      <c r="R4" s="1"/>
      <c r="S4" s="153"/>
      <c r="T4" s="153"/>
      <c r="U4" s="153"/>
      <c r="V4" s="153"/>
      <c r="W4" s="153"/>
      <c r="X4" s="153"/>
      <c r="Y4" s="153"/>
      <c r="Z4" s="153"/>
      <c r="AA4" s="153"/>
      <c r="AB4" s="153"/>
      <c r="AC4" s="153"/>
      <c r="AD4" s="153"/>
      <c r="AE4" s="153"/>
      <c r="AF4" s="153"/>
      <c r="AG4" s="153"/>
    </row>
    <row r="5" ht="15.75" customHeight="1">
      <c r="A5" s="1"/>
      <c r="B5" s="18">
        <v>2.0</v>
      </c>
      <c r="C5" s="20" t="s">
        <v>222</v>
      </c>
      <c r="D5" s="20" t="s">
        <v>22</v>
      </c>
      <c r="E5" s="154"/>
      <c r="F5" s="32" t="s">
        <v>223</v>
      </c>
      <c r="G5" s="155"/>
      <c r="H5" s="30">
        <v>250000.0</v>
      </c>
      <c r="I5" s="32" t="s">
        <v>25</v>
      </c>
      <c r="J5" s="32" t="s">
        <v>26</v>
      </c>
      <c r="K5" s="32" t="s">
        <v>27</v>
      </c>
      <c r="L5" s="32" t="s">
        <v>28</v>
      </c>
      <c r="M5" s="32" t="s">
        <v>42</v>
      </c>
      <c r="N5" s="38"/>
      <c r="O5" s="38"/>
      <c r="P5" s="38"/>
      <c r="Q5" s="1"/>
      <c r="R5" s="1"/>
      <c r="S5" s="153"/>
      <c r="T5" s="153"/>
      <c r="U5" s="153"/>
      <c r="V5" s="153"/>
      <c r="W5" s="153"/>
      <c r="X5" s="153"/>
      <c r="Y5" s="153"/>
      <c r="Z5" s="153"/>
      <c r="AA5" s="153"/>
      <c r="AB5" s="153"/>
      <c r="AC5" s="153"/>
      <c r="AD5" s="153"/>
      <c r="AE5" s="153"/>
      <c r="AF5" s="153"/>
      <c r="AG5" s="153"/>
    </row>
    <row r="6" ht="15.75" customHeight="1">
      <c r="A6" s="1"/>
      <c r="B6" s="18">
        <v>3.0</v>
      </c>
      <c r="C6" s="20" t="s">
        <v>105</v>
      </c>
      <c r="D6" s="20" t="s">
        <v>86</v>
      </c>
      <c r="E6" s="154"/>
      <c r="F6" s="32" t="s">
        <v>38</v>
      </c>
      <c r="G6" s="155"/>
      <c r="H6" s="30">
        <v>20000.0</v>
      </c>
      <c r="I6" s="32" t="s">
        <v>25</v>
      </c>
      <c r="J6" s="32" t="s">
        <v>26</v>
      </c>
      <c r="K6" s="32" t="s">
        <v>26</v>
      </c>
      <c r="L6" s="32" t="s">
        <v>28</v>
      </c>
      <c r="M6" s="18"/>
      <c r="N6" s="38"/>
      <c r="O6" s="38"/>
      <c r="P6" s="38"/>
      <c r="Q6" s="1"/>
      <c r="R6" s="1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</row>
    <row r="7" ht="15.75" customHeight="1">
      <c r="A7" s="1"/>
      <c r="B7" s="18">
        <v>4.0</v>
      </c>
      <c r="C7" s="20" t="s">
        <v>224</v>
      </c>
      <c r="D7" s="20" t="s">
        <v>86</v>
      </c>
      <c r="E7" s="154"/>
      <c r="F7" s="32" t="s">
        <v>37</v>
      </c>
      <c r="G7" s="155"/>
      <c r="H7" s="30">
        <v>125000.0</v>
      </c>
      <c r="I7" s="32" t="s">
        <v>25</v>
      </c>
      <c r="J7" s="32" t="s">
        <v>26</v>
      </c>
      <c r="K7" s="32" t="s">
        <v>26</v>
      </c>
      <c r="L7" s="32" t="s">
        <v>28</v>
      </c>
      <c r="M7" s="18"/>
      <c r="N7" s="38"/>
      <c r="O7" s="38"/>
      <c r="P7" s="38"/>
      <c r="Q7" s="1"/>
      <c r="R7" s="1"/>
      <c r="S7" s="153"/>
      <c r="T7" s="153"/>
      <c r="U7" s="153"/>
      <c r="V7" s="153"/>
      <c r="W7" s="153"/>
      <c r="X7" s="153"/>
      <c r="Y7" s="153"/>
      <c r="Z7" s="153"/>
      <c r="AA7" s="153"/>
      <c r="AB7" s="153"/>
      <c r="AC7" s="153"/>
      <c r="AD7" s="153"/>
      <c r="AE7" s="153"/>
      <c r="AF7" s="153"/>
      <c r="AG7" s="153"/>
    </row>
    <row r="8" ht="15.75" customHeight="1">
      <c r="A8" s="1"/>
      <c r="B8" s="18">
        <v>5.0</v>
      </c>
      <c r="C8" s="62" t="s">
        <v>225</v>
      </c>
      <c r="D8" s="20" t="s">
        <v>22</v>
      </c>
      <c r="E8" s="156"/>
      <c r="F8" s="32" t="s">
        <v>223</v>
      </c>
      <c r="G8" s="155"/>
      <c r="H8" s="30">
        <v>150000.0</v>
      </c>
      <c r="I8" s="32" t="s">
        <v>25</v>
      </c>
      <c r="J8" s="32" t="s">
        <v>26</v>
      </c>
      <c r="K8" s="32" t="s">
        <v>27</v>
      </c>
      <c r="L8" s="32" t="s">
        <v>28</v>
      </c>
      <c r="M8" s="32" t="s">
        <v>42</v>
      </c>
      <c r="N8" s="38"/>
      <c r="O8" s="38"/>
      <c r="P8" s="38"/>
      <c r="Q8" s="1"/>
      <c r="R8" s="1"/>
      <c r="S8" s="153"/>
      <c r="T8" s="153"/>
      <c r="U8" s="153"/>
      <c r="V8" s="153"/>
      <c r="W8" s="153"/>
      <c r="X8" s="153"/>
      <c r="Y8" s="153"/>
      <c r="Z8" s="153"/>
      <c r="AA8" s="153"/>
      <c r="AB8" s="153"/>
      <c r="AC8" s="153"/>
      <c r="AD8" s="153"/>
      <c r="AE8" s="153"/>
      <c r="AF8" s="153"/>
      <c r="AG8" s="153"/>
    </row>
    <row r="9" ht="15.75" customHeight="1">
      <c r="A9" s="1"/>
      <c r="B9" s="18">
        <v>6.0</v>
      </c>
      <c r="C9" s="20" t="s">
        <v>226</v>
      </c>
      <c r="D9" s="20" t="s">
        <v>44</v>
      </c>
      <c r="E9" s="154"/>
      <c r="F9" s="32" t="s">
        <v>37</v>
      </c>
      <c r="G9" s="155"/>
      <c r="H9" s="30">
        <v>150000.0</v>
      </c>
      <c r="I9" s="32" t="s">
        <v>25</v>
      </c>
      <c r="J9" s="32" t="s">
        <v>26</v>
      </c>
      <c r="K9" s="32" t="s">
        <v>26</v>
      </c>
      <c r="L9" s="32" t="s">
        <v>28</v>
      </c>
      <c r="M9" s="18"/>
      <c r="N9" s="38"/>
      <c r="O9" s="38"/>
      <c r="P9" s="38"/>
      <c r="Q9" s="1"/>
      <c r="R9" s="1"/>
      <c r="S9" s="153"/>
      <c r="T9" s="153"/>
      <c r="U9" s="153"/>
      <c r="V9" s="153"/>
      <c r="W9" s="153"/>
      <c r="X9" s="153"/>
      <c r="Y9" s="153"/>
      <c r="Z9" s="153"/>
      <c r="AA9" s="153"/>
      <c r="AB9" s="153"/>
      <c r="AC9" s="153"/>
      <c r="AD9" s="153"/>
      <c r="AE9" s="153"/>
      <c r="AF9" s="153"/>
      <c r="AG9" s="153"/>
    </row>
    <row r="10" ht="15.75" customHeight="1">
      <c r="A10" s="1"/>
      <c r="B10" s="18">
        <v>7.0</v>
      </c>
      <c r="C10" s="20" t="s">
        <v>227</v>
      </c>
      <c r="D10" s="20" t="s">
        <v>75</v>
      </c>
      <c r="E10" s="154"/>
      <c r="F10" s="157">
        <v>46300.0</v>
      </c>
      <c r="G10" s="155"/>
      <c r="H10" s="30">
        <v>50000.0</v>
      </c>
      <c r="I10" s="32" t="s">
        <v>25</v>
      </c>
      <c r="J10" s="32" t="s">
        <v>26</v>
      </c>
      <c r="K10" s="32" t="s">
        <v>27</v>
      </c>
      <c r="L10" s="32" t="s">
        <v>29</v>
      </c>
      <c r="M10" s="32" t="s">
        <v>59</v>
      </c>
      <c r="N10" s="38"/>
      <c r="O10" s="38"/>
      <c r="P10" s="38"/>
      <c r="Q10" s="1"/>
      <c r="R10" s="1"/>
      <c r="S10" s="153"/>
      <c r="T10" s="153"/>
      <c r="U10" s="153"/>
      <c r="V10" s="153"/>
      <c r="W10" s="153"/>
      <c r="X10" s="153"/>
      <c r="Y10" s="153"/>
      <c r="Z10" s="153"/>
      <c r="AA10" s="153"/>
      <c r="AB10" s="153"/>
      <c r="AC10" s="153"/>
      <c r="AD10" s="153"/>
      <c r="AE10" s="153"/>
      <c r="AF10" s="153"/>
      <c r="AG10" s="153"/>
    </row>
    <row r="11" ht="15.75" customHeight="1">
      <c r="A11" s="1"/>
      <c r="B11" s="18">
        <v>8.0</v>
      </c>
      <c r="C11" s="66" t="s">
        <v>228</v>
      </c>
      <c r="D11" s="20" t="s">
        <v>77</v>
      </c>
      <c r="E11" s="156"/>
      <c r="F11" s="158">
        <v>46299.0</v>
      </c>
      <c r="G11" s="155"/>
      <c r="H11" s="30">
        <v>30000.0</v>
      </c>
      <c r="I11" s="32" t="s">
        <v>25</v>
      </c>
      <c r="J11" s="18"/>
      <c r="K11" s="18"/>
      <c r="L11" s="32" t="s">
        <v>29</v>
      </c>
      <c r="M11" s="18"/>
      <c r="N11" s="38"/>
      <c r="O11" s="38"/>
      <c r="P11" s="38"/>
      <c r="Q11" s="1"/>
      <c r="R11" s="1"/>
      <c r="S11" s="153"/>
      <c r="T11" s="153"/>
      <c r="U11" s="153"/>
      <c r="V11" s="153"/>
      <c r="W11" s="153"/>
      <c r="X11" s="153"/>
      <c r="Y11" s="153"/>
      <c r="Z11" s="153"/>
      <c r="AA11" s="153"/>
      <c r="AB11" s="153"/>
      <c r="AC11" s="153"/>
      <c r="AD11" s="153"/>
      <c r="AE11" s="153"/>
      <c r="AF11" s="153"/>
      <c r="AG11" s="153"/>
    </row>
    <row r="12" ht="15.75" customHeight="1">
      <c r="A12" s="1"/>
      <c r="B12" s="18">
        <v>9.0</v>
      </c>
      <c r="C12" s="20" t="s">
        <v>229</v>
      </c>
      <c r="D12" s="20" t="s">
        <v>22</v>
      </c>
      <c r="E12" s="156"/>
      <c r="F12" s="157">
        <v>46301.0</v>
      </c>
      <c r="G12" s="155"/>
      <c r="H12" s="30">
        <v>100000.0</v>
      </c>
      <c r="I12" s="32" t="s">
        <v>24</v>
      </c>
      <c r="J12" s="18"/>
      <c r="K12" s="18"/>
      <c r="L12" s="32" t="s">
        <v>29</v>
      </c>
      <c r="M12" s="18"/>
      <c r="N12" s="38"/>
      <c r="O12" s="38"/>
      <c r="P12" s="38"/>
      <c r="Q12" s="1"/>
      <c r="R12" s="1"/>
      <c r="S12" s="153"/>
      <c r="T12" s="153"/>
      <c r="U12" s="153"/>
      <c r="V12" s="153"/>
      <c r="W12" s="153"/>
      <c r="X12" s="153"/>
      <c r="Y12" s="153"/>
      <c r="Z12" s="153"/>
      <c r="AA12" s="153"/>
      <c r="AB12" s="153"/>
      <c r="AC12" s="153"/>
      <c r="AD12" s="153"/>
      <c r="AE12" s="153"/>
      <c r="AF12" s="153"/>
      <c r="AG12" s="153"/>
    </row>
    <row r="13" ht="15.75" customHeight="1">
      <c r="A13" s="1"/>
      <c r="B13" s="18"/>
      <c r="C13" s="20" t="s">
        <v>230</v>
      </c>
      <c r="D13" s="20" t="s">
        <v>231</v>
      </c>
      <c r="E13" s="18"/>
      <c r="F13" s="157">
        <v>46267.0</v>
      </c>
      <c r="G13" s="159"/>
      <c r="H13" s="30">
        <v>20000.0</v>
      </c>
      <c r="I13" s="32" t="s">
        <v>25</v>
      </c>
      <c r="J13" s="18"/>
      <c r="K13" s="18"/>
      <c r="L13" s="32" t="s">
        <v>29</v>
      </c>
      <c r="M13" s="18"/>
      <c r="N13" s="38"/>
      <c r="O13" s="38"/>
      <c r="P13" s="38"/>
      <c r="Q13" s="1"/>
      <c r="R13" s="1"/>
      <c r="S13" s="153"/>
      <c r="T13" s="153"/>
      <c r="U13" s="153"/>
      <c r="V13" s="153"/>
      <c r="W13" s="153"/>
      <c r="X13" s="153"/>
      <c r="Y13" s="153"/>
      <c r="Z13" s="153"/>
      <c r="AA13" s="153"/>
      <c r="AB13" s="153"/>
      <c r="AC13" s="153"/>
      <c r="AD13" s="153"/>
      <c r="AE13" s="153"/>
      <c r="AF13" s="153"/>
      <c r="AG13" s="153"/>
    </row>
    <row r="14" ht="15.75" customHeight="1">
      <c r="A14" s="1"/>
      <c r="B14" s="18"/>
      <c r="C14" s="20" t="s">
        <v>194</v>
      </c>
      <c r="D14" s="20" t="s">
        <v>54</v>
      </c>
      <c r="E14" s="160">
        <v>0.2</v>
      </c>
      <c r="F14" s="157">
        <v>46270.0</v>
      </c>
      <c r="G14" s="159"/>
      <c r="H14" s="30">
        <v>80000.0</v>
      </c>
      <c r="I14" s="32" t="s">
        <v>25</v>
      </c>
      <c r="J14" s="32" t="s">
        <v>26</v>
      </c>
      <c r="K14" s="32" t="s">
        <v>27</v>
      </c>
      <c r="L14" s="32" t="s">
        <v>29</v>
      </c>
      <c r="M14" s="32" t="s">
        <v>59</v>
      </c>
      <c r="N14" s="38"/>
      <c r="O14" s="38"/>
      <c r="P14" s="38"/>
      <c r="Q14" s="1"/>
      <c r="R14" s="1"/>
      <c r="S14" s="153"/>
      <c r="T14" s="153"/>
      <c r="U14" s="153"/>
      <c r="V14" s="153"/>
      <c r="W14" s="153"/>
      <c r="X14" s="153"/>
      <c r="Y14" s="153"/>
      <c r="Z14" s="153"/>
      <c r="AA14" s="153"/>
      <c r="AB14" s="153"/>
      <c r="AC14" s="153"/>
      <c r="AD14" s="153"/>
      <c r="AE14" s="153"/>
      <c r="AF14" s="153"/>
      <c r="AG14" s="153"/>
    </row>
    <row r="15" ht="15.75" customHeight="1">
      <c r="A15" s="1"/>
      <c r="B15" s="18"/>
      <c r="C15" s="78"/>
      <c r="D15" s="78"/>
      <c r="E15" s="18"/>
      <c r="F15" s="18"/>
      <c r="G15" s="159"/>
      <c r="H15" s="60"/>
      <c r="I15" s="18"/>
      <c r="J15" s="18"/>
      <c r="K15" s="18"/>
      <c r="L15" s="18"/>
      <c r="M15" s="18"/>
      <c r="N15" s="38"/>
      <c r="O15" s="38"/>
      <c r="P15" s="38"/>
      <c r="Q15" s="1"/>
      <c r="R15" s="1"/>
      <c r="S15" s="153"/>
      <c r="T15" s="153"/>
      <c r="U15" s="153"/>
      <c r="V15" s="153"/>
      <c r="W15" s="153"/>
      <c r="X15" s="153"/>
      <c r="Y15" s="153"/>
      <c r="Z15" s="153"/>
      <c r="AA15" s="153"/>
      <c r="AB15" s="153"/>
      <c r="AC15" s="153"/>
      <c r="AD15" s="153"/>
      <c r="AE15" s="153"/>
      <c r="AF15" s="153"/>
      <c r="AG15" s="153"/>
    </row>
    <row r="16" ht="18.75" customHeight="1">
      <c r="A16" s="1"/>
      <c r="B16" s="1"/>
      <c r="C16" s="3"/>
      <c r="D16" s="3"/>
      <c r="E16" s="1"/>
      <c r="F16" s="1"/>
      <c r="G16" s="119">
        <f t="shared" ref="G16:H16" si="1">SUM(G4:G15)</f>
        <v>0</v>
      </c>
      <c r="H16" s="70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53"/>
      <c r="T16" s="153"/>
      <c r="U16" s="153"/>
      <c r="V16" s="153"/>
      <c r="W16" s="153"/>
      <c r="X16" s="153"/>
      <c r="Y16" s="153"/>
      <c r="Z16" s="153"/>
      <c r="AA16" s="153"/>
      <c r="AB16" s="153"/>
      <c r="AC16" s="153"/>
      <c r="AD16" s="153"/>
      <c r="AE16" s="153"/>
      <c r="AF16" s="153"/>
      <c r="AG16" s="153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53"/>
      <c r="T17" s="153"/>
      <c r="U17" s="153"/>
      <c r="V17" s="153"/>
      <c r="W17" s="153"/>
      <c r="X17" s="153"/>
      <c r="Y17" s="153"/>
      <c r="Z17" s="153"/>
      <c r="AA17" s="153"/>
      <c r="AB17" s="153"/>
      <c r="AC17" s="153"/>
      <c r="AD17" s="153"/>
      <c r="AE17" s="153"/>
      <c r="AF17" s="153"/>
      <c r="AG17" s="153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53"/>
      <c r="T18" s="153"/>
      <c r="U18" s="153"/>
      <c r="V18" s="153"/>
      <c r="W18" s="153"/>
      <c r="X18" s="153"/>
      <c r="Y18" s="153"/>
      <c r="Z18" s="153"/>
      <c r="AA18" s="153"/>
      <c r="AB18" s="153"/>
      <c r="AC18" s="153"/>
      <c r="AD18" s="153"/>
      <c r="AE18" s="153"/>
      <c r="AF18" s="153"/>
      <c r="AG18" s="153"/>
    </row>
    <row r="19" ht="15.75" customHeight="1">
      <c r="A19" s="1"/>
      <c r="B19" s="71" t="s">
        <v>1</v>
      </c>
      <c r="C19" s="72" t="s">
        <v>7</v>
      </c>
      <c r="D19" s="72" t="s">
        <v>120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121</v>
      </c>
      <c r="O19" s="72" t="s">
        <v>2</v>
      </c>
      <c r="P19" s="1"/>
      <c r="Q19" s="1"/>
      <c r="R19" s="1"/>
      <c r="S19" s="153"/>
      <c r="T19" s="153"/>
      <c r="U19" s="153"/>
      <c r="V19" s="153"/>
      <c r="W19" s="153"/>
      <c r="X19" s="153"/>
      <c r="Y19" s="153"/>
      <c r="Z19" s="153"/>
      <c r="AA19" s="153"/>
      <c r="AB19" s="153"/>
      <c r="AC19" s="153"/>
      <c r="AD19" s="153"/>
      <c r="AE19" s="153"/>
      <c r="AF19" s="153"/>
      <c r="AG19" s="153"/>
    </row>
    <row r="20" ht="15.75" customHeight="1">
      <c r="A20" s="1"/>
      <c r="B20" s="73">
        <v>1.0</v>
      </c>
      <c r="C20" s="75" t="s">
        <v>124</v>
      </c>
      <c r="D20" s="76">
        <f>SUM(G16)</f>
        <v>0</v>
      </c>
      <c r="E20" s="77"/>
      <c r="F20" s="1"/>
      <c r="G20" s="1"/>
      <c r="H20" s="1"/>
      <c r="I20" s="1"/>
      <c r="J20" s="1"/>
      <c r="K20" s="1"/>
      <c r="L20" s="1"/>
      <c r="M20" s="1"/>
      <c r="N20" s="79" t="s">
        <v>128</v>
      </c>
      <c r="O20" s="80" t="s">
        <v>28</v>
      </c>
      <c r="P20" s="1"/>
      <c r="Q20" s="1"/>
      <c r="R20" s="1"/>
      <c r="S20" s="153"/>
      <c r="T20" s="153"/>
      <c r="U20" s="153"/>
      <c r="V20" s="153"/>
      <c r="W20" s="153"/>
      <c r="X20" s="153"/>
      <c r="Y20" s="153"/>
      <c r="Z20" s="153"/>
      <c r="AA20" s="153"/>
      <c r="AB20" s="153"/>
      <c r="AC20" s="153"/>
      <c r="AD20" s="153"/>
      <c r="AE20" s="153"/>
      <c r="AF20" s="153"/>
      <c r="AG20" s="153"/>
    </row>
    <row r="21" ht="15.75" customHeight="1">
      <c r="A21" s="1"/>
      <c r="B21" s="82">
        <v>2.0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85" t="s">
        <v>132</v>
      </c>
      <c r="O21" s="86" t="s">
        <v>29</v>
      </c>
      <c r="P21" s="1"/>
      <c r="Q21" s="1"/>
      <c r="R21" s="1"/>
      <c r="S21" s="153"/>
      <c r="T21" s="153"/>
      <c r="U21" s="153"/>
      <c r="V21" s="153"/>
      <c r="W21" s="153"/>
      <c r="X21" s="153"/>
      <c r="Y21" s="153"/>
      <c r="Z21" s="153"/>
      <c r="AA21" s="153"/>
      <c r="AB21" s="153"/>
      <c r="AC21" s="153"/>
      <c r="AD21" s="153"/>
      <c r="AE21" s="153"/>
      <c r="AF21" s="153"/>
      <c r="AG21" s="153"/>
    </row>
    <row r="22" ht="15.75" customHeight="1">
      <c r="A22" s="1"/>
      <c r="B22" s="73">
        <v>3.0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88" t="s">
        <v>136</v>
      </c>
      <c r="O22" s="89" t="s">
        <v>42</v>
      </c>
      <c r="P22" s="1"/>
      <c r="Q22" s="1"/>
      <c r="R22" s="1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</row>
    <row r="23" ht="15.75" customHeight="1">
      <c r="A23" s="1"/>
      <c r="B23" s="82">
        <v>4.0</v>
      </c>
      <c r="C23" s="92"/>
      <c r="D23" s="93"/>
      <c r="E23" s="77"/>
      <c r="F23" s="1"/>
      <c r="G23" s="1"/>
      <c r="H23" s="1"/>
      <c r="I23" s="1"/>
      <c r="J23" s="1"/>
      <c r="K23" s="1"/>
      <c r="L23" s="1"/>
      <c r="M23" s="1"/>
      <c r="N23" s="95" t="s">
        <v>147</v>
      </c>
      <c r="O23" s="86" t="s">
        <v>59</v>
      </c>
      <c r="P23" s="1"/>
      <c r="Q23" s="1"/>
      <c r="R23" s="1"/>
      <c r="S23" s="153"/>
      <c r="T23" s="153"/>
      <c r="U23" s="153"/>
      <c r="V23" s="153"/>
      <c r="W23" s="153"/>
      <c r="X23" s="153"/>
      <c r="Y23" s="153"/>
      <c r="Z23" s="153"/>
      <c r="AA23" s="153"/>
      <c r="AB23" s="153"/>
      <c r="AC23" s="153"/>
      <c r="AD23" s="153"/>
      <c r="AE23" s="153"/>
      <c r="AF23" s="153"/>
      <c r="AG23" s="153"/>
    </row>
    <row r="24" ht="15.75" customHeight="1">
      <c r="A24" s="1"/>
      <c r="B24" s="73">
        <v>5.0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  <c r="S24" s="153"/>
      <c r="T24" s="153"/>
      <c r="U24" s="153"/>
      <c r="V24" s="153"/>
      <c r="W24" s="153"/>
      <c r="X24" s="153"/>
      <c r="Y24" s="153"/>
      <c r="Z24" s="153"/>
      <c r="AA24" s="153"/>
      <c r="AB24" s="153"/>
      <c r="AC24" s="153"/>
      <c r="AD24" s="153"/>
      <c r="AE24" s="153"/>
      <c r="AF24" s="153"/>
      <c r="AG24" s="153"/>
    </row>
    <row r="25" ht="15.75" customHeight="1">
      <c r="A25" s="1"/>
      <c r="B25" s="82">
        <v>6.0</v>
      </c>
      <c r="C25" s="92"/>
      <c r="D25" s="93"/>
      <c r="E25" s="77"/>
      <c r="F25" s="1"/>
      <c r="G25" s="1"/>
      <c r="H25" s="1"/>
      <c r="I25" s="1"/>
      <c r="J25" s="1"/>
      <c r="K25" s="100" t="s">
        <v>150</v>
      </c>
      <c r="Q25" s="1"/>
      <c r="R25" s="1"/>
      <c r="S25" s="153"/>
      <c r="T25" s="153"/>
      <c r="U25" s="153"/>
      <c r="V25" s="153"/>
      <c r="W25" s="153"/>
      <c r="X25" s="153"/>
      <c r="Y25" s="153"/>
      <c r="Z25" s="153"/>
      <c r="AA25" s="153"/>
      <c r="AB25" s="153"/>
      <c r="AC25" s="153"/>
      <c r="AD25" s="153"/>
      <c r="AE25" s="153"/>
      <c r="AF25" s="153"/>
      <c r="AG25" s="153"/>
    </row>
    <row r="26" ht="15.75" customHeight="1">
      <c r="A26" s="1"/>
      <c r="B26" s="73">
        <v>7.0</v>
      </c>
      <c r="C26" s="75"/>
      <c r="D26" s="76"/>
      <c r="E26" s="77"/>
      <c r="F26" s="1"/>
      <c r="G26" s="1"/>
      <c r="H26" s="1"/>
      <c r="I26" s="1"/>
      <c r="J26" s="1"/>
      <c r="K26" s="101" t="s">
        <v>2</v>
      </c>
      <c r="L26" s="101" t="s">
        <v>153</v>
      </c>
      <c r="M26" s="101" t="s">
        <v>155</v>
      </c>
      <c r="N26" s="101" t="s">
        <v>156</v>
      </c>
      <c r="O26" s="101" t="s">
        <v>157</v>
      </c>
      <c r="P26" s="101" t="s">
        <v>158</v>
      </c>
      <c r="Q26" s="1"/>
      <c r="R26" s="1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 t="s">
        <v>159</v>
      </c>
      <c r="AD26" s="153" t="s">
        <v>160</v>
      </c>
      <c r="AE26" s="153" t="s">
        <v>161</v>
      </c>
      <c r="AF26" s="153" t="s">
        <v>163</v>
      </c>
      <c r="AG26" s="153" t="s">
        <v>164</v>
      </c>
    </row>
    <row r="27" ht="15.75" customHeight="1">
      <c r="A27" s="1"/>
      <c r="B27" s="82">
        <v>8.0</v>
      </c>
      <c r="C27" s="92"/>
      <c r="D27" s="93"/>
      <c r="E27" s="77"/>
      <c r="F27" s="1"/>
      <c r="G27" s="1"/>
      <c r="H27" s="1"/>
      <c r="I27" s="1"/>
      <c r="J27" s="1"/>
      <c r="K27" s="104" t="str">
        <f t="shared" ref="K27:K30" si="2">IF(O20="","",O20)</f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S27" s="153"/>
      <c r="T27" s="153"/>
      <c r="U27" s="153"/>
      <c r="V27" s="153"/>
      <c r="W27" s="153"/>
      <c r="X27" s="153"/>
      <c r="Y27" s="153"/>
      <c r="Z27" s="153"/>
      <c r="AA27" s="153"/>
      <c r="AB27" s="153"/>
      <c r="AC27" s="153">
        <f t="shared" ref="AC27:AC32" si="3">IF(AG27="","",IF(COUNT(L27:P27)&lt;5,"",L27/5*20+M27/5*25+N27/5*25+O27/5*15+P27/5*15))</f>
        <v>100</v>
      </c>
      <c r="AD27" s="153" t="str">
        <f t="shared" ref="AD27:AD32" si="4">IF(AC27="","",IF(AC27&gt;=90,"Sangat Baik",IF(AC27&gt;=80,"Baik",IF(AC27&gt;=70,"Coaching","Underperform"))))</f>
        <v>Sangat Baik</v>
      </c>
      <c r="AE27" s="153" t="str">
        <f t="shared" ref="AE27:AE32" si="5">IF(AG27="","",IF(OR(AG27="INDAH",AG27="ADDEL",AG27="AMEL",AG27="PENTIL",AG27="JIJANG"),"Admin/CS","Fotografer"))</f>
        <v>Admin/CS</v>
      </c>
      <c r="AF27" s="153">
        <f t="shared" ref="AF27:AF32" si="6">IF(OR(AG27="",COUNT(L27:P27)&lt;5),"",1)</f>
        <v>1</v>
      </c>
      <c r="AG27" s="153" t="str">
        <f t="shared" ref="AG27:AG32" si="7">IFERROR(K27,"")</f>
        <v>AMEL</v>
      </c>
    </row>
    <row r="28" ht="15.75" customHeight="1">
      <c r="A28" s="1"/>
      <c r="B28" s="73">
        <v>9.0</v>
      </c>
      <c r="C28" s="75"/>
      <c r="D28" s="76"/>
      <c r="E28" s="77"/>
      <c r="F28" s="1"/>
      <c r="G28" s="1"/>
      <c r="H28" s="1"/>
      <c r="I28" s="1"/>
      <c r="J28" s="1"/>
      <c r="K28" s="104" t="str">
        <f t="shared" si="2"/>
        <v>INDAH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S28" s="153"/>
      <c r="T28" s="153"/>
      <c r="U28" s="153"/>
      <c r="V28" s="153"/>
      <c r="W28" s="153"/>
      <c r="X28" s="153"/>
      <c r="Y28" s="153"/>
      <c r="Z28" s="153"/>
      <c r="AA28" s="153"/>
      <c r="AB28" s="153"/>
      <c r="AC28" s="153">
        <f t="shared" si="3"/>
        <v>100</v>
      </c>
      <c r="AD28" s="153" t="str">
        <f t="shared" si="4"/>
        <v>Sangat Baik</v>
      </c>
      <c r="AE28" s="153" t="str">
        <f t="shared" si="5"/>
        <v>Admin/CS</v>
      </c>
      <c r="AF28" s="153">
        <f t="shared" si="6"/>
        <v>1</v>
      </c>
      <c r="AG28" s="153" t="str">
        <f t="shared" si="7"/>
        <v>INDAH</v>
      </c>
    </row>
    <row r="29" ht="15.75" customHeight="1">
      <c r="A29" s="1"/>
      <c r="B29" s="82">
        <v>10.0</v>
      </c>
      <c r="C29" s="92"/>
      <c r="D29" s="93"/>
      <c r="E29" s="77"/>
      <c r="F29" s="1"/>
      <c r="G29" s="1"/>
      <c r="H29" s="1"/>
      <c r="I29" s="1"/>
      <c r="J29" s="1"/>
      <c r="K29" s="104" t="str">
        <f t="shared" si="2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S29" s="153"/>
      <c r="T29" s="153"/>
      <c r="U29" s="153"/>
      <c r="V29" s="153"/>
      <c r="W29" s="153"/>
      <c r="X29" s="153"/>
      <c r="Y29" s="153"/>
      <c r="Z29" s="153"/>
      <c r="AA29" s="153"/>
      <c r="AB29" s="153"/>
      <c r="AC29" s="153">
        <f t="shared" si="3"/>
        <v>100</v>
      </c>
      <c r="AD29" s="153" t="str">
        <f t="shared" si="4"/>
        <v>Sangat Baik</v>
      </c>
      <c r="AE29" s="153" t="str">
        <f t="shared" si="5"/>
        <v>Fotografer</v>
      </c>
      <c r="AF29" s="153">
        <f t="shared" si="6"/>
        <v>1</v>
      </c>
      <c r="AG29" s="153" t="str">
        <f t="shared" si="7"/>
        <v>ADIF</v>
      </c>
    </row>
    <row r="30" ht="15.75" customHeight="1">
      <c r="A30" s="1"/>
      <c r="B30" s="114">
        <v>11.0</v>
      </c>
      <c r="C30" s="115"/>
      <c r="D30" s="116"/>
      <c r="E30" s="77"/>
      <c r="F30" s="1"/>
      <c r="G30" s="1"/>
      <c r="H30" s="1"/>
      <c r="I30" s="1"/>
      <c r="J30" s="1"/>
      <c r="K30" s="104" t="str">
        <f t="shared" si="2"/>
        <v>SAKA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S30" s="153"/>
      <c r="T30" s="153"/>
      <c r="U30" s="153"/>
      <c r="V30" s="153"/>
      <c r="W30" s="153"/>
      <c r="X30" s="153"/>
      <c r="Y30" s="153"/>
      <c r="Z30" s="153"/>
      <c r="AA30" s="153"/>
      <c r="AB30" s="153"/>
      <c r="AC30" s="153">
        <f t="shared" si="3"/>
        <v>100</v>
      </c>
      <c r="AD30" s="153" t="str">
        <f t="shared" si="4"/>
        <v>Sangat Baik</v>
      </c>
      <c r="AE30" s="153" t="str">
        <f t="shared" si="5"/>
        <v>Fotografer</v>
      </c>
      <c r="AF30" s="153">
        <f t="shared" si="6"/>
        <v>1</v>
      </c>
      <c r="AG30" s="153" t="str">
        <f t="shared" si="7"/>
        <v>SAKA</v>
      </c>
    </row>
    <row r="31" ht="15.75" customHeight="1">
      <c r="A31" s="1"/>
      <c r="B31" s="1"/>
      <c r="C31" s="3"/>
      <c r="D31" s="117">
        <f>SUM(D20:D30)</f>
        <v>0</v>
      </c>
      <c r="E31" s="1"/>
      <c r="F31" s="1"/>
      <c r="G31" s="1"/>
      <c r="H31" s="1"/>
      <c r="I31" s="1"/>
      <c r="J31" s="1"/>
      <c r="K31" s="104"/>
      <c r="L31" s="118"/>
      <c r="M31" s="118"/>
      <c r="N31" s="118"/>
      <c r="O31" s="118"/>
      <c r="P31" s="118"/>
      <c r="Q31" s="1"/>
      <c r="R31" s="1"/>
      <c r="S31" s="153"/>
      <c r="T31" s="153"/>
      <c r="U31" s="153"/>
      <c r="V31" s="153"/>
      <c r="W31" s="153"/>
      <c r="X31" s="153"/>
      <c r="Y31" s="153"/>
      <c r="Z31" s="153"/>
      <c r="AA31" s="153"/>
      <c r="AB31" s="153"/>
      <c r="AC31" s="153" t="str">
        <f t="shared" si="3"/>
        <v/>
      </c>
      <c r="AD31" s="153" t="str">
        <f t="shared" si="4"/>
        <v/>
      </c>
      <c r="AE31" s="153" t="str">
        <f t="shared" si="5"/>
        <v/>
      </c>
      <c r="AF31" s="153" t="str">
        <f t="shared" si="6"/>
        <v/>
      </c>
      <c r="AG31" s="153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8"/>
      <c r="M32" s="118"/>
      <c r="N32" s="118"/>
      <c r="O32" s="118"/>
      <c r="P32" s="118"/>
      <c r="Q32" s="1"/>
      <c r="R32" s="1"/>
      <c r="S32" s="153"/>
      <c r="T32" s="153"/>
      <c r="U32" s="153"/>
      <c r="V32" s="153"/>
      <c r="W32" s="153"/>
      <c r="X32" s="153"/>
      <c r="Y32" s="153"/>
      <c r="Z32" s="153"/>
      <c r="AA32" s="153"/>
      <c r="AB32" s="153"/>
      <c r="AC32" s="153" t="str">
        <f t="shared" si="3"/>
        <v/>
      </c>
      <c r="AD32" s="153" t="str">
        <f t="shared" si="4"/>
        <v/>
      </c>
      <c r="AE32" s="153" t="str">
        <f t="shared" si="5"/>
        <v/>
      </c>
      <c r="AF32" s="153" t="str">
        <f t="shared" si="6"/>
        <v/>
      </c>
      <c r="AG32" s="153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195</v>
      </c>
      <c r="Q33" s="1"/>
      <c r="R33" s="1"/>
      <c r="S33" s="153"/>
      <c r="T33" s="153"/>
      <c r="U33" s="153"/>
      <c r="V33" s="153"/>
      <c r="W33" s="153"/>
      <c r="X33" s="153"/>
      <c r="Y33" s="153"/>
      <c r="Z33" s="153"/>
      <c r="AA33" s="153"/>
      <c r="AB33" s="153"/>
      <c r="AC33" s="153"/>
      <c r="AD33" s="153"/>
      <c r="AE33" s="153"/>
      <c r="AF33" s="153"/>
      <c r="AG33" s="153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53"/>
      <c r="T34" s="153"/>
      <c r="U34" s="153"/>
      <c r="V34" s="153"/>
      <c r="W34" s="153"/>
      <c r="X34" s="153"/>
      <c r="Y34" s="153"/>
      <c r="Z34" s="153"/>
      <c r="AA34" s="153"/>
      <c r="AB34" s="153"/>
      <c r="AC34" s="153"/>
      <c r="AD34" s="153"/>
      <c r="AE34" s="153"/>
      <c r="AF34" s="153"/>
      <c r="AG34" s="153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1" t="s">
        <v>198</v>
      </c>
      <c r="N35" s="1"/>
      <c r="O35" s="1"/>
      <c r="P35" s="1"/>
      <c r="Q35" s="1"/>
      <c r="R35" s="1"/>
      <c r="S35" s="153"/>
      <c r="T35" s="153"/>
      <c r="U35" s="153"/>
      <c r="V35" s="153"/>
      <c r="W35" s="153"/>
      <c r="X35" s="153"/>
      <c r="Y35" s="153"/>
      <c r="Z35" s="153"/>
      <c r="AA35" s="153"/>
      <c r="AB35" s="153"/>
      <c r="AC35" s="153"/>
      <c r="AD35" s="153"/>
      <c r="AE35" s="153"/>
      <c r="AF35" s="153"/>
      <c r="AG35" s="153"/>
    </row>
    <row r="36" ht="15.75" customHeight="1">
      <c r="A36" s="153"/>
      <c r="B36" s="153"/>
      <c r="C36" s="153"/>
      <c r="D36" s="153"/>
      <c r="E36" s="153"/>
      <c r="F36" s="153"/>
      <c r="G36" s="153"/>
      <c r="H36" s="153"/>
      <c r="I36" s="153"/>
      <c r="J36" s="153"/>
      <c r="K36" s="123" t="s">
        <v>8</v>
      </c>
      <c r="L36" s="123" t="s">
        <v>200</v>
      </c>
      <c r="M36" s="123" t="s">
        <v>201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  <c r="AA36" s="153"/>
      <c r="AB36" s="153"/>
      <c r="AC36" s="153"/>
      <c r="AD36" s="153"/>
      <c r="AE36" s="153"/>
      <c r="AF36" s="153"/>
      <c r="AG36" s="153"/>
    </row>
    <row r="37" ht="15.75" customHeight="1">
      <c r="A37" s="153"/>
      <c r="B37" s="153"/>
      <c r="C37" s="153"/>
      <c r="D37" s="153"/>
      <c r="E37" s="153"/>
      <c r="F37" s="153"/>
      <c r="G37" s="153"/>
      <c r="H37" s="153"/>
      <c r="I37" s="153"/>
      <c r="J37" s="153"/>
      <c r="K37" s="126" t="str">
        <f t="shared" ref="K37:K38" si="8">IF(O20="","",O20)</f>
        <v>AMEL</v>
      </c>
      <c r="L37" s="129"/>
      <c r="M37" s="129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153"/>
      <c r="AF37" s="153"/>
      <c r="AG37" s="153"/>
    </row>
    <row r="38" ht="15.75" customHeight="1">
      <c r="A38" s="153"/>
      <c r="B38" s="153"/>
      <c r="C38" s="153"/>
      <c r="D38" s="153"/>
      <c r="E38" s="153"/>
      <c r="F38" s="153"/>
      <c r="G38" s="153"/>
      <c r="H38" s="153"/>
      <c r="I38" s="153"/>
      <c r="J38" s="153"/>
      <c r="K38" s="126" t="str">
        <f t="shared" si="8"/>
        <v>INDAH</v>
      </c>
      <c r="L38" s="129"/>
      <c r="M38" s="127" t="s">
        <v>204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  <c r="AA38" s="153"/>
      <c r="AB38" s="153"/>
      <c r="AC38" s="153"/>
      <c r="AD38" s="153"/>
      <c r="AE38" s="153"/>
      <c r="AF38" s="153"/>
      <c r="AG38" s="153"/>
    </row>
    <row r="39" ht="15.75" customHeight="1">
      <c r="A39" s="153"/>
      <c r="B39" s="153"/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</row>
    <row r="40" ht="19.5" customHeight="1">
      <c r="A40" s="153"/>
      <c r="B40" s="153"/>
      <c r="C40" s="153"/>
      <c r="D40" s="153"/>
      <c r="E40" s="153"/>
      <c r="F40" s="153"/>
      <c r="G40" s="153"/>
      <c r="H40" s="153"/>
      <c r="I40" s="153"/>
      <c r="J40" s="153"/>
      <c r="K40" s="132" t="s">
        <v>206</v>
      </c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  <c r="AA40" s="153"/>
      <c r="AB40" s="153"/>
      <c r="AC40" s="153"/>
      <c r="AD40" s="153"/>
      <c r="AE40" s="153"/>
      <c r="AF40" s="153"/>
      <c r="AG40" s="153"/>
    </row>
    <row r="41" ht="19.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34" t="s">
        <v>207</v>
      </c>
      <c r="M41" s="127">
        <v>6.0</v>
      </c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  <c r="AA41" s="153"/>
      <c r="AB41" s="153"/>
      <c r="AC41" s="153"/>
      <c r="AD41" s="153"/>
      <c r="AE41" s="153"/>
      <c r="AF41" s="153"/>
      <c r="AG41" s="153"/>
    </row>
    <row r="42" ht="19.5" customHeight="1">
      <c r="A42" s="153"/>
      <c r="B42" s="153"/>
      <c r="C42" s="153"/>
      <c r="D42" s="153"/>
      <c r="E42" s="153"/>
      <c r="F42" s="153"/>
      <c r="G42" s="153"/>
      <c r="H42" s="153"/>
      <c r="I42" s="153"/>
      <c r="J42" s="153"/>
      <c r="K42" s="135" t="s">
        <v>208</v>
      </c>
      <c r="M42" s="138">
        <f>COUNTIF($I$4:$I$18,"DP")</f>
        <v>2</v>
      </c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  <c r="AA42" s="153"/>
      <c r="AB42" s="153"/>
      <c r="AC42" s="153"/>
      <c r="AD42" s="153"/>
      <c r="AE42" s="153"/>
      <c r="AF42" s="153"/>
      <c r="AG42" s="153"/>
    </row>
    <row r="43" ht="19.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35" t="s">
        <v>210</v>
      </c>
      <c r="M43" s="138">
        <f>COUNTIFS($I$4:$I$18,"&lt;&gt;DP",$I$4:$I$18,"&lt;&gt;")</f>
        <v>9</v>
      </c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  <c r="AA43" s="153"/>
      <c r="AB43" s="153"/>
      <c r="AC43" s="153"/>
      <c r="AD43" s="153"/>
      <c r="AE43" s="153"/>
      <c r="AF43" s="153"/>
      <c r="AG43" s="153"/>
    </row>
    <row r="44" ht="19.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39" t="s">
        <v>211</v>
      </c>
      <c r="M44" s="138">
        <f>M42+M43</f>
        <v>11</v>
      </c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  <c r="AA44" s="153"/>
      <c r="AB44" s="153"/>
      <c r="AC44" s="153"/>
      <c r="AD44" s="153"/>
      <c r="AE44" s="153"/>
      <c r="AF44" s="153"/>
      <c r="AG44" s="153"/>
    </row>
    <row r="45" ht="19.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34" t="s">
        <v>212</v>
      </c>
      <c r="M45" s="141">
        <f>IF(OR(M41="",M41=0),"",M42/M41)</f>
        <v>0.3333333333</v>
      </c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  <c r="AA45" s="153"/>
      <c r="AB45" s="153"/>
      <c r="AC45" s="153"/>
      <c r="AD45" s="153"/>
      <c r="AE45" s="153"/>
      <c r="AF45" s="153"/>
      <c r="AG45" s="153"/>
    </row>
    <row r="46" ht="15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  <c r="AA46" s="153"/>
      <c r="AB46" s="153"/>
      <c r="AC46" s="153"/>
      <c r="AD46" s="153"/>
      <c r="AE46" s="153"/>
      <c r="AF46" s="153"/>
      <c r="AG46" s="153"/>
    </row>
    <row r="47" ht="15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  <c r="AA47" s="153"/>
      <c r="AB47" s="153"/>
      <c r="AC47" s="153"/>
      <c r="AD47" s="153"/>
      <c r="AE47" s="153"/>
      <c r="AF47" s="153"/>
      <c r="AG47" s="153"/>
    </row>
    <row r="48" ht="15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  <c r="AA48" s="153"/>
      <c r="AB48" s="153"/>
      <c r="AC48" s="153"/>
      <c r="AD48" s="153"/>
      <c r="AE48" s="153"/>
      <c r="AF48" s="153"/>
      <c r="AG48" s="153"/>
    </row>
    <row r="49" ht="15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  <c r="AA49" s="153"/>
      <c r="AB49" s="153"/>
      <c r="AC49" s="153"/>
      <c r="AD49" s="153"/>
      <c r="AE49" s="153"/>
      <c r="AF49" s="153"/>
      <c r="AG49" s="153"/>
    </row>
    <row r="50" ht="15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  <c r="AA50" s="153"/>
      <c r="AB50" s="153"/>
      <c r="AC50" s="153"/>
      <c r="AD50" s="153"/>
      <c r="AE50" s="153"/>
      <c r="AF50" s="153"/>
      <c r="AG50" s="153"/>
    </row>
    <row r="51" ht="15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  <c r="AA51" s="153"/>
      <c r="AB51" s="153"/>
      <c r="AC51" s="153"/>
      <c r="AD51" s="153"/>
      <c r="AE51" s="153"/>
      <c r="AF51" s="153"/>
      <c r="AG51" s="153"/>
    </row>
    <row r="52" ht="15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  <c r="AA52" s="153"/>
      <c r="AB52" s="153"/>
      <c r="AC52" s="153"/>
      <c r="AD52" s="153"/>
      <c r="AE52" s="153"/>
      <c r="AF52" s="153"/>
      <c r="AG52" s="153"/>
    </row>
    <row r="53" ht="15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  <c r="AA53" s="153"/>
      <c r="AB53" s="153"/>
      <c r="AC53" s="153"/>
      <c r="AD53" s="153"/>
      <c r="AE53" s="153"/>
      <c r="AF53" s="153"/>
      <c r="AG53" s="153"/>
    </row>
    <row r="54" ht="15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  <c r="AA54" s="153"/>
      <c r="AB54" s="153"/>
      <c r="AC54" s="153"/>
      <c r="AD54" s="153"/>
      <c r="AE54" s="153"/>
      <c r="AF54" s="153"/>
      <c r="AG54" s="153"/>
    </row>
    <row r="55" ht="15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  <c r="AA55" s="153"/>
      <c r="AB55" s="153"/>
      <c r="AC55" s="153"/>
      <c r="AD55" s="153"/>
      <c r="AE55" s="153"/>
      <c r="AF55" s="153"/>
      <c r="AG55" s="153"/>
    </row>
    <row r="56" ht="15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  <c r="AA56" s="153"/>
      <c r="AB56" s="153"/>
      <c r="AC56" s="153"/>
      <c r="AD56" s="153"/>
      <c r="AE56" s="153"/>
      <c r="AF56" s="153"/>
      <c r="AG56" s="153"/>
    </row>
    <row r="57" ht="15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  <c r="AA57" s="153"/>
      <c r="AB57" s="153"/>
      <c r="AC57" s="153"/>
      <c r="AD57" s="153"/>
      <c r="AE57" s="153"/>
      <c r="AF57" s="153"/>
      <c r="AG57" s="153"/>
    </row>
    <row r="58" ht="15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  <c r="AA58" s="153"/>
      <c r="AB58" s="153"/>
      <c r="AC58" s="153"/>
      <c r="AD58" s="153"/>
      <c r="AE58" s="153"/>
      <c r="AF58" s="153"/>
      <c r="AG58" s="153"/>
    </row>
    <row r="59" ht="15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  <c r="AA59" s="153"/>
      <c r="AB59" s="153"/>
      <c r="AC59" s="153"/>
      <c r="AD59" s="153"/>
      <c r="AE59" s="153"/>
      <c r="AF59" s="153"/>
      <c r="AG59" s="153"/>
    </row>
    <row r="60" ht="15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  <c r="AA60" s="153"/>
      <c r="AB60" s="153"/>
      <c r="AC60" s="153"/>
      <c r="AD60" s="153"/>
      <c r="AE60" s="153"/>
      <c r="AF60" s="153"/>
      <c r="AG60" s="153"/>
    </row>
    <row r="61" ht="15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  <c r="AA61" s="153"/>
      <c r="AB61" s="153"/>
      <c r="AC61" s="153"/>
      <c r="AD61" s="153"/>
      <c r="AE61" s="153"/>
      <c r="AF61" s="153"/>
      <c r="AG61" s="153"/>
    </row>
    <row r="62" ht="15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  <c r="AA62" s="153"/>
      <c r="AB62" s="153"/>
      <c r="AC62" s="153"/>
      <c r="AD62" s="153"/>
      <c r="AE62" s="153"/>
      <c r="AF62" s="153"/>
      <c r="AG62" s="153"/>
    </row>
    <row r="63" ht="15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  <c r="AA63" s="153"/>
      <c r="AB63" s="153"/>
      <c r="AC63" s="153"/>
      <c r="AD63" s="153"/>
      <c r="AE63" s="153"/>
      <c r="AF63" s="153"/>
      <c r="AG63" s="153"/>
    </row>
    <row r="64" ht="15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  <c r="AA64" s="153"/>
      <c r="AB64" s="153"/>
      <c r="AC64" s="153"/>
      <c r="AD64" s="153"/>
      <c r="AE64" s="153"/>
      <c r="AF64" s="153"/>
      <c r="AG64" s="153"/>
    </row>
    <row r="65" ht="15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</row>
    <row r="66" ht="15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  <c r="AA66" s="153"/>
      <c r="AB66" s="153"/>
      <c r="AC66" s="153"/>
      <c r="AD66" s="153"/>
      <c r="AE66" s="153"/>
      <c r="AF66" s="153"/>
      <c r="AG66" s="153"/>
    </row>
    <row r="67" ht="15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  <c r="AA67" s="153"/>
      <c r="AB67" s="153"/>
      <c r="AC67" s="153"/>
      <c r="AD67" s="153"/>
      <c r="AE67" s="153"/>
      <c r="AF67" s="153"/>
      <c r="AG67" s="153"/>
    </row>
    <row r="68" ht="15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  <c r="AA68" s="153"/>
      <c r="AB68" s="153"/>
      <c r="AC68" s="153"/>
      <c r="AD68" s="153"/>
      <c r="AE68" s="153"/>
      <c r="AF68" s="153"/>
      <c r="AG68" s="153"/>
    </row>
    <row r="69" ht="15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  <c r="AA69" s="153"/>
      <c r="AB69" s="153"/>
      <c r="AC69" s="153"/>
      <c r="AD69" s="153"/>
      <c r="AE69" s="153"/>
      <c r="AF69" s="153"/>
      <c r="AG69" s="153"/>
    </row>
    <row r="70" ht="15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  <c r="AA70" s="153"/>
      <c r="AB70" s="153"/>
      <c r="AC70" s="153"/>
      <c r="AD70" s="153"/>
      <c r="AE70" s="153"/>
      <c r="AF70" s="153"/>
      <c r="AG70" s="153"/>
    </row>
    <row r="71" ht="15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  <c r="AA71" s="153"/>
      <c r="AB71" s="153"/>
      <c r="AC71" s="153"/>
      <c r="AD71" s="153"/>
      <c r="AE71" s="153"/>
      <c r="AF71" s="153"/>
      <c r="AG71" s="153"/>
    </row>
    <row r="72" ht="15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  <c r="AA72" s="153"/>
      <c r="AB72" s="153"/>
      <c r="AC72" s="153"/>
      <c r="AD72" s="153"/>
      <c r="AE72" s="153"/>
      <c r="AF72" s="153"/>
      <c r="AG72" s="153"/>
    </row>
    <row r="73" ht="15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  <c r="AA73" s="153"/>
      <c r="AB73" s="153"/>
      <c r="AC73" s="153"/>
      <c r="AD73" s="153"/>
      <c r="AE73" s="153"/>
      <c r="AF73" s="153"/>
      <c r="AG73" s="153"/>
    </row>
    <row r="74" ht="15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  <c r="AA74" s="153"/>
      <c r="AB74" s="153"/>
      <c r="AC74" s="153"/>
      <c r="AD74" s="153"/>
      <c r="AE74" s="153"/>
      <c r="AF74" s="153"/>
      <c r="AG74" s="153"/>
    </row>
    <row r="75" ht="15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  <c r="AA75" s="153"/>
      <c r="AB75" s="153"/>
      <c r="AC75" s="153"/>
      <c r="AD75" s="153"/>
      <c r="AE75" s="153"/>
      <c r="AF75" s="153"/>
      <c r="AG75" s="153"/>
    </row>
    <row r="76" ht="15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  <c r="AA76" s="153"/>
      <c r="AB76" s="153"/>
      <c r="AC76" s="153"/>
      <c r="AD76" s="153"/>
      <c r="AE76" s="153"/>
      <c r="AF76" s="153"/>
      <c r="AG76" s="153"/>
    </row>
    <row r="77" ht="15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  <c r="AA77" s="153"/>
      <c r="AB77" s="153"/>
      <c r="AC77" s="153"/>
      <c r="AD77" s="153"/>
      <c r="AE77" s="153"/>
      <c r="AF77" s="153"/>
      <c r="AG77" s="153"/>
    </row>
    <row r="78" ht="15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  <c r="AA78" s="153"/>
      <c r="AB78" s="153"/>
      <c r="AC78" s="153"/>
      <c r="AD78" s="153"/>
      <c r="AE78" s="153"/>
      <c r="AF78" s="153"/>
      <c r="AG78" s="153"/>
    </row>
    <row r="79" ht="15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  <c r="AA79" s="153"/>
      <c r="AB79" s="153"/>
      <c r="AC79" s="153"/>
      <c r="AD79" s="153"/>
      <c r="AE79" s="153"/>
      <c r="AF79" s="153"/>
      <c r="AG79" s="153"/>
    </row>
    <row r="80" ht="15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  <c r="AA80" s="153"/>
      <c r="AB80" s="153"/>
      <c r="AC80" s="153"/>
      <c r="AD80" s="153"/>
      <c r="AE80" s="153"/>
      <c r="AF80" s="153"/>
      <c r="AG80" s="153"/>
    </row>
    <row r="81" ht="15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  <c r="AA81" s="153"/>
      <c r="AB81" s="153"/>
      <c r="AC81" s="153"/>
      <c r="AD81" s="153"/>
      <c r="AE81" s="153"/>
      <c r="AF81" s="153"/>
      <c r="AG81" s="153"/>
    </row>
    <row r="82" ht="15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  <c r="AA82" s="153"/>
      <c r="AB82" s="153"/>
      <c r="AC82" s="153"/>
      <c r="AD82" s="153"/>
      <c r="AE82" s="153"/>
      <c r="AF82" s="153"/>
      <c r="AG82" s="153"/>
    </row>
    <row r="83" ht="15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  <c r="AA83" s="153"/>
      <c r="AB83" s="153"/>
      <c r="AC83" s="153"/>
      <c r="AD83" s="153"/>
      <c r="AE83" s="153"/>
      <c r="AF83" s="153"/>
      <c r="AG83" s="153"/>
    </row>
    <row r="84" ht="15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  <c r="AA84" s="153"/>
      <c r="AB84" s="153"/>
      <c r="AC84" s="153"/>
      <c r="AD84" s="153"/>
      <c r="AE84" s="153"/>
      <c r="AF84" s="153"/>
      <c r="AG84" s="153"/>
    </row>
    <row r="85" ht="15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  <c r="AA85" s="153"/>
      <c r="AB85" s="153"/>
      <c r="AC85" s="153"/>
      <c r="AD85" s="153"/>
      <c r="AE85" s="153"/>
      <c r="AF85" s="153"/>
      <c r="AG85" s="153"/>
    </row>
    <row r="86" ht="15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  <c r="AA86" s="153"/>
      <c r="AB86" s="153"/>
      <c r="AC86" s="153"/>
      <c r="AD86" s="153"/>
      <c r="AE86" s="153"/>
      <c r="AF86" s="153"/>
      <c r="AG86" s="153"/>
    </row>
    <row r="87" ht="15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  <c r="AA87" s="153"/>
      <c r="AB87" s="153"/>
      <c r="AC87" s="153"/>
      <c r="AD87" s="153"/>
      <c r="AE87" s="153"/>
      <c r="AF87" s="153"/>
      <c r="AG87" s="153"/>
    </row>
    <row r="88" ht="15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  <c r="AA88" s="153"/>
      <c r="AB88" s="153"/>
      <c r="AC88" s="153"/>
      <c r="AD88" s="153"/>
      <c r="AE88" s="153"/>
      <c r="AF88" s="153"/>
      <c r="AG88" s="153"/>
    </row>
    <row r="89" ht="15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  <c r="AA89" s="153"/>
      <c r="AB89" s="153"/>
      <c r="AC89" s="153"/>
      <c r="AD89" s="153"/>
      <c r="AE89" s="153"/>
      <c r="AF89" s="153"/>
      <c r="AG89" s="153"/>
    </row>
    <row r="90" ht="15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  <c r="AA90" s="153"/>
      <c r="AB90" s="153"/>
      <c r="AC90" s="153"/>
      <c r="AD90" s="153"/>
      <c r="AE90" s="153"/>
      <c r="AF90" s="153"/>
      <c r="AG90" s="153"/>
    </row>
    <row r="91" ht="15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</row>
    <row r="92" ht="15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  <c r="AA92" s="153"/>
      <c r="AB92" s="153"/>
      <c r="AC92" s="153"/>
      <c r="AD92" s="153"/>
      <c r="AE92" s="153"/>
      <c r="AF92" s="153"/>
      <c r="AG92" s="153"/>
    </row>
    <row r="93" ht="15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  <c r="AA93" s="153"/>
      <c r="AB93" s="153"/>
      <c r="AC93" s="153"/>
      <c r="AD93" s="153"/>
      <c r="AE93" s="153"/>
      <c r="AF93" s="153"/>
      <c r="AG93" s="153"/>
    </row>
    <row r="94" ht="15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  <c r="AA94" s="153"/>
      <c r="AB94" s="153"/>
      <c r="AC94" s="153"/>
      <c r="AD94" s="153"/>
      <c r="AE94" s="153"/>
      <c r="AF94" s="153"/>
      <c r="AG94" s="153"/>
    </row>
    <row r="95" ht="15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  <c r="AA95" s="153"/>
      <c r="AB95" s="153"/>
      <c r="AC95" s="153"/>
      <c r="AD95" s="153"/>
      <c r="AE95" s="153"/>
      <c r="AF95" s="153"/>
      <c r="AG95" s="153"/>
    </row>
    <row r="96" ht="15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  <c r="AA96" s="153"/>
      <c r="AB96" s="153"/>
      <c r="AC96" s="153"/>
      <c r="AD96" s="153"/>
      <c r="AE96" s="153"/>
      <c r="AF96" s="153"/>
      <c r="AG96" s="153"/>
    </row>
    <row r="97" ht="15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  <c r="AA97" s="153"/>
      <c r="AB97" s="153"/>
      <c r="AC97" s="153"/>
      <c r="AD97" s="153"/>
      <c r="AE97" s="153"/>
      <c r="AF97" s="153"/>
      <c r="AG97" s="153"/>
    </row>
    <row r="98" ht="15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  <c r="AA98" s="153"/>
      <c r="AB98" s="153"/>
      <c r="AC98" s="153"/>
      <c r="AD98" s="153"/>
      <c r="AE98" s="153"/>
      <c r="AF98" s="153"/>
      <c r="AG98" s="153"/>
    </row>
    <row r="99" ht="15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  <c r="AA99" s="153"/>
      <c r="AB99" s="153"/>
      <c r="AC99" s="153"/>
      <c r="AD99" s="153"/>
      <c r="AE99" s="153"/>
      <c r="AF99" s="153"/>
      <c r="AG99" s="153"/>
    </row>
    <row r="100" ht="15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  <c r="AA100" s="153"/>
      <c r="AB100" s="153"/>
      <c r="AC100" s="153"/>
      <c r="AD100" s="153"/>
      <c r="AE100" s="153"/>
      <c r="AF100" s="153"/>
      <c r="AG100" s="153"/>
    </row>
    <row r="101" ht="15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  <c r="AA101" s="153"/>
      <c r="AB101" s="153"/>
      <c r="AC101" s="153"/>
      <c r="AD101" s="153"/>
      <c r="AE101" s="153"/>
      <c r="AF101" s="153"/>
      <c r="AG101" s="153"/>
    </row>
    <row r="102" ht="15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  <c r="AA102" s="153"/>
      <c r="AB102" s="153"/>
      <c r="AC102" s="153"/>
      <c r="AD102" s="153"/>
      <c r="AE102" s="153"/>
      <c r="AF102" s="153"/>
      <c r="AG102" s="153"/>
    </row>
    <row r="103" ht="15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  <c r="AA103" s="153"/>
      <c r="AB103" s="153"/>
      <c r="AC103" s="153"/>
      <c r="AD103" s="153"/>
      <c r="AE103" s="153"/>
      <c r="AF103" s="153"/>
      <c r="AG103" s="153"/>
    </row>
    <row r="104" ht="15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  <c r="AA104" s="153"/>
      <c r="AB104" s="153"/>
      <c r="AC104" s="153"/>
      <c r="AD104" s="153"/>
      <c r="AE104" s="153"/>
      <c r="AF104" s="153"/>
      <c r="AG104" s="153"/>
    </row>
    <row r="105" ht="15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  <c r="AA105" s="153"/>
      <c r="AB105" s="153"/>
      <c r="AC105" s="153"/>
      <c r="AD105" s="153"/>
      <c r="AE105" s="153"/>
      <c r="AF105" s="153"/>
      <c r="AG105" s="153"/>
    </row>
    <row r="106" ht="15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  <c r="AA106" s="153"/>
      <c r="AB106" s="153"/>
      <c r="AC106" s="153"/>
      <c r="AD106" s="153"/>
      <c r="AE106" s="153"/>
      <c r="AF106" s="153"/>
      <c r="AG106" s="153"/>
    </row>
    <row r="107" ht="15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  <c r="AA107" s="153"/>
      <c r="AB107" s="153"/>
      <c r="AC107" s="153"/>
      <c r="AD107" s="153"/>
      <c r="AE107" s="153"/>
      <c r="AF107" s="153"/>
      <c r="AG107" s="153"/>
    </row>
    <row r="108" ht="15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  <c r="AA108" s="153"/>
      <c r="AB108" s="153"/>
      <c r="AC108" s="153"/>
      <c r="AD108" s="153"/>
      <c r="AE108" s="153"/>
      <c r="AF108" s="153"/>
      <c r="AG108" s="153"/>
    </row>
    <row r="109" ht="15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  <c r="AA109" s="153"/>
      <c r="AB109" s="153"/>
      <c r="AC109" s="153"/>
      <c r="AD109" s="153"/>
      <c r="AE109" s="153"/>
      <c r="AF109" s="153"/>
      <c r="AG109" s="153"/>
    </row>
    <row r="110" ht="15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  <c r="AA110" s="153"/>
      <c r="AB110" s="153"/>
      <c r="AC110" s="153"/>
      <c r="AD110" s="153"/>
      <c r="AE110" s="153"/>
      <c r="AF110" s="153"/>
      <c r="AG110" s="153"/>
    </row>
    <row r="111" ht="15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  <c r="AA111" s="153"/>
      <c r="AB111" s="153"/>
      <c r="AC111" s="153"/>
      <c r="AD111" s="153"/>
      <c r="AE111" s="153"/>
      <c r="AF111" s="153"/>
      <c r="AG111" s="153"/>
    </row>
    <row r="112" ht="15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153"/>
      <c r="AC112" s="153"/>
      <c r="AD112" s="153"/>
      <c r="AE112" s="153"/>
      <c r="AF112" s="153"/>
      <c r="AG112" s="153"/>
    </row>
    <row r="113" ht="15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  <c r="AA113" s="153"/>
      <c r="AB113" s="153"/>
      <c r="AC113" s="153"/>
      <c r="AD113" s="153"/>
      <c r="AE113" s="153"/>
      <c r="AF113" s="153"/>
      <c r="AG113" s="153"/>
    </row>
    <row r="114" ht="15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  <c r="AA114" s="153"/>
      <c r="AB114" s="153"/>
      <c r="AC114" s="153"/>
      <c r="AD114" s="153"/>
      <c r="AE114" s="153"/>
      <c r="AF114" s="153"/>
      <c r="AG114" s="153"/>
    </row>
    <row r="115" ht="15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  <c r="AA115" s="153"/>
      <c r="AB115" s="153"/>
      <c r="AC115" s="153"/>
      <c r="AD115" s="153"/>
      <c r="AE115" s="153"/>
      <c r="AF115" s="153"/>
      <c r="AG115" s="153"/>
    </row>
    <row r="116" ht="15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  <c r="AA116" s="153"/>
      <c r="AB116" s="153"/>
      <c r="AC116" s="153"/>
      <c r="AD116" s="153"/>
      <c r="AE116" s="153"/>
      <c r="AF116" s="153"/>
      <c r="AG116" s="153"/>
    </row>
    <row r="117" ht="15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</row>
    <row r="118" ht="15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  <c r="AA118" s="153"/>
      <c r="AB118" s="153"/>
      <c r="AC118" s="153"/>
      <c r="AD118" s="153"/>
      <c r="AE118" s="153"/>
      <c r="AF118" s="153"/>
      <c r="AG118" s="153"/>
    </row>
    <row r="119" ht="15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  <c r="AA119" s="153"/>
      <c r="AB119" s="153"/>
      <c r="AC119" s="153"/>
      <c r="AD119" s="153"/>
      <c r="AE119" s="153"/>
      <c r="AF119" s="153"/>
      <c r="AG119" s="153"/>
    </row>
    <row r="120" ht="15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  <c r="AA120" s="153"/>
      <c r="AB120" s="153"/>
      <c r="AC120" s="153"/>
      <c r="AD120" s="153"/>
      <c r="AE120" s="153"/>
      <c r="AF120" s="153"/>
      <c r="AG120" s="153"/>
    </row>
    <row r="121" ht="15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  <c r="AA121" s="153"/>
      <c r="AB121" s="153"/>
      <c r="AC121" s="153"/>
      <c r="AD121" s="153"/>
      <c r="AE121" s="153"/>
      <c r="AF121" s="153"/>
      <c r="AG121" s="153"/>
    </row>
    <row r="122" ht="15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  <c r="AA122" s="153"/>
      <c r="AB122" s="153"/>
      <c r="AC122" s="153"/>
      <c r="AD122" s="153"/>
      <c r="AE122" s="153"/>
      <c r="AF122" s="153"/>
      <c r="AG122" s="153"/>
    </row>
    <row r="123" ht="15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  <c r="AA123" s="153"/>
      <c r="AB123" s="153"/>
      <c r="AC123" s="153"/>
      <c r="AD123" s="153"/>
      <c r="AE123" s="153"/>
      <c r="AF123" s="153"/>
      <c r="AG123" s="153"/>
    </row>
    <row r="124" ht="15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  <c r="AA124" s="153"/>
      <c r="AB124" s="153"/>
      <c r="AC124" s="153"/>
      <c r="AD124" s="153"/>
      <c r="AE124" s="153"/>
      <c r="AF124" s="153"/>
      <c r="AG124" s="153"/>
    </row>
    <row r="125" ht="15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  <c r="AA125" s="153"/>
      <c r="AB125" s="153"/>
      <c r="AC125" s="153"/>
      <c r="AD125" s="153"/>
      <c r="AE125" s="153"/>
      <c r="AF125" s="153"/>
      <c r="AG125" s="153"/>
    </row>
    <row r="126" ht="15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  <c r="AA126" s="153"/>
      <c r="AB126" s="153"/>
      <c r="AC126" s="153"/>
      <c r="AD126" s="153"/>
      <c r="AE126" s="153"/>
      <c r="AF126" s="153"/>
      <c r="AG126" s="153"/>
    </row>
    <row r="127" ht="15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  <c r="AA127" s="153"/>
      <c r="AB127" s="153"/>
      <c r="AC127" s="153"/>
      <c r="AD127" s="153"/>
      <c r="AE127" s="153"/>
      <c r="AF127" s="153"/>
      <c r="AG127" s="153"/>
    </row>
    <row r="128" ht="15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  <c r="AA128" s="153"/>
      <c r="AB128" s="153"/>
      <c r="AC128" s="153"/>
      <c r="AD128" s="153"/>
      <c r="AE128" s="153"/>
      <c r="AF128" s="153"/>
      <c r="AG128" s="153"/>
    </row>
    <row r="129" ht="15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  <c r="AA129" s="153"/>
      <c r="AB129" s="153"/>
      <c r="AC129" s="153"/>
      <c r="AD129" s="153"/>
      <c r="AE129" s="153"/>
      <c r="AF129" s="153"/>
      <c r="AG129" s="153"/>
    </row>
    <row r="130" ht="15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  <c r="AA130" s="153"/>
      <c r="AB130" s="153"/>
      <c r="AC130" s="153"/>
      <c r="AD130" s="153"/>
      <c r="AE130" s="153"/>
      <c r="AF130" s="153"/>
      <c r="AG130" s="153"/>
    </row>
    <row r="131" ht="15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  <c r="AA131" s="153"/>
      <c r="AB131" s="153"/>
      <c r="AC131" s="153"/>
      <c r="AD131" s="153"/>
      <c r="AE131" s="153"/>
      <c r="AF131" s="153"/>
      <c r="AG131" s="153"/>
    </row>
    <row r="132" ht="15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  <c r="AA132" s="153"/>
      <c r="AB132" s="153"/>
      <c r="AC132" s="153"/>
      <c r="AD132" s="153"/>
      <c r="AE132" s="153"/>
      <c r="AF132" s="153"/>
      <c r="AG132" s="153"/>
    </row>
    <row r="133" ht="15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  <c r="AA133" s="153"/>
      <c r="AB133" s="153"/>
      <c r="AC133" s="153"/>
      <c r="AD133" s="153"/>
      <c r="AE133" s="153"/>
      <c r="AF133" s="153"/>
      <c r="AG133" s="153"/>
    </row>
    <row r="134" ht="15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  <c r="AA134" s="153"/>
      <c r="AB134" s="153"/>
      <c r="AC134" s="153"/>
      <c r="AD134" s="153"/>
      <c r="AE134" s="153"/>
      <c r="AF134" s="153"/>
      <c r="AG134" s="153"/>
    </row>
    <row r="135" ht="15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  <c r="AA135" s="153"/>
      <c r="AB135" s="153"/>
      <c r="AC135" s="153"/>
      <c r="AD135" s="153"/>
      <c r="AE135" s="153"/>
      <c r="AF135" s="153"/>
      <c r="AG135" s="153"/>
    </row>
    <row r="136" ht="15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  <c r="AA136" s="153"/>
      <c r="AB136" s="153"/>
      <c r="AC136" s="153"/>
      <c r="AD136" s="153"/>
      <c r="AE136" s="153"/>
      <c r="AF136" s="153"/>
      <c r="AG136" s="153"/>
    </row>
    <row r="137" ht="15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  <c r="AA137" s="153"/>
      <c r="AB137" s="153"/>
      <c r="AC137" s="153"/>
      <c r="AD137" s="153"/>
      <c r="AE137" s="153"/>
      <c r="AF137" s="153"/>
      <c r="AG137" s="153"/>
    </row>
    <row r="138" ht="15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  <c r="AA138" s="153"/>
      <c r="AB138" s="153"/>
      <c r="AC138" s="153"/>
      <c r="AD138" s="153"/>
      <c r="AE138" s="153"/>
      <c r="AF138" s="153"/>
      <c r="AG138" s="153"/>
    </row>
    <row r="139" ht="15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  <c r="AA139" s="153"/>
      <c r="AB139" s="153"/>
      <c r="AC139" s="153"/>
      <c r="AD139" s="153"/>
      <c r="AE139" s="153"/>
      <c r="AF139" s="153"/>
      <c r="AG139" s="153"/>
    </row>
    <row r="140" ht="15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  <c r="AA140" s="153"/>
      <c r="AB140" s="153"/>
      <c r="AC140" s="153"/>
      <c r="AD140" s="153"/>
      <c r="AE140" s="153"/>
      <c r="AF140" s="153"/>
      <c r="AG140" s="153"/>
    </row>
    <row r="141" ht="15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  <c r="AA141" s="153"/>
      <c r="AB141" s="153"/>
      <c r="AC141" s="153"/>
      <c r="AD141" s="153"/>
      <c r="AE141" s="153"/>
      <c r="AF141" s="153"/>
      <c r="AG141" s="153"/>
    </row>
    <row r="142" ht="15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  <c r="AA142" s="153"/>
      <c r="AB142" s="153"/>
      <c r="AC142" s="153"/>
      <c r="AD142" s="153"/>
      <c r="AE142" s="153"/>
      <c r="AF142" s="153"/>
      <c r="AG142" s="153"/>
    </row>
    <row r="143" ht="15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</row>
    <row r="144" ht="15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  <c r="AA144" s="153"/>
      <c r="AB144" s="153"/>
      <c r="AC144" s="153"/>
      <c r="AD144" s="153"/>
      <c r="AE144" s="153"/>
      <c r="AF144" s="153"/>
      <c r="AG144" s="153"/>
    </row>
    <row r="145" ht="15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  <c r="AA145" s="153"/>
      <c r="AB145" s="153"/>
      <c r="AC145" s="153"/>
      <c r="AD145" s="153"/>
      <c r="AE145" s="153"/>
      <c r="AF145" s="153"/>
      <c r="AG145" s="153"/>
    </row>
    <row r="146" ht="15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  <c r="AA146" s="153"/>
      <c r="AB146" s="153"/>
      <c r="AC146" s="153"/>
      <c r="AD146" s="153"/>
      <c r="AE146" s="153"/>
      <c r="AF146" s="153"/>
      <c r="AG146" s="153"/>
    </row>
    <row r="147" ht="15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  <c r="AA147" s="153"/>
      <c r="AB147" s="153"/>
      <c r="AC147" s="153"/>
      <c r="AD147" s="153"/>
      <c r="AE147" s="153"/>
      <c r="AF147" s="153"/>
      <c r="AG147" s="153"/>
    </row>
    <row r="148" ht="15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  <c r="AA148" s="153"/>
      <c r="AB148" s="153"/>
      <c r="AC148" s="153"/>
      <c r="AD148" s="153"/>
      <c r="AE148" s="153"/>
      <c r="AF148" s="153"/>
      <c r="AG148" s="153"/>
    </row>
    <row r="149" ht="15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  <c r="AA149" s="153"/>
      <c r="AB149" s="153"/>
      <c r="AC149" s="153"/>
      <c r="AD149" s="153"/>
      <c r="AE149" s="153"/>
      <c r="AF149" s="153"/>
      <c r="AG149" s="153"/>
    </row>
    <row r="150" ht="15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  <c r="AA150" s="153"/>
      <c r="AB150" s="153"/>
      <c r="AC150" s="153"/>
      <c r="AD150" s="153"/>
      <c r="AE150" s="153"/>
      <c r="AF150" s="153"/>
      <c r="AG150" s="153"/>
    </row>
    <row r="151" ht="15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  <c r="AA151" s="153"/>
      <c r="AB151" s="153"/>
      <c r="AC151" s="153"/>
      <c r="AD151" s="153"/>
      <c r="AE151" s="153"/>
      <c r="AF151" s="153"/>
      <c r="AG151" s="153"/>
    </row>
    <row r="152" ht="15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  <c r="AA152" s="153"/>
      <c r="AB152" s="153"/>
      <c r="AC152" s="153"/>
      <c r="AD152" s="153"/>
      <c r="AE152" s="153"/>
      <c r="AF152" s="153"/>
      <c r="AG152" s="153"/>
    </row>
    <row r="153" ht="15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  <c r="AA153" s="153"/>
      <c r="AB153" s="153"/>
      <c r="AC153" s="153"/>
      <c r="AD153" s="153"/>
      <c r="AE153" s="153"/>
      <c r="AF153" s="153"/>
      <c r="AG153" s="153"/>
    </row>
    <row r="154" ht="15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  <c r="AA154" s="153"/>
      <c r="AB154" s="153"/>
      <c r="AC154" s="153"/>
      <c r="AD154" s="153"/>
      <c r="AE154" s="153"/>
      <c r="AF154" s="153"/>
      <c r="AG154" s="153"/>
    </row>
    <row r="155" ht="15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  <c r="AA155" s="153"/>
      <c r="AB155" s="153"/>
      <c r="AC155" s="153"/>
      <c r="AD155" s="153"/>
      <c r="AE155" s="153"/>
      <c r="AF155" s="153"/>
      <c r="AG155" s="153"/>
    </row>
    <row r="156" ht="15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  <c r="AA156" s="153"/>
      <c r="AB156" s="153"/>
      <c r="AC156" s="153"/>
      <c r="AD156" s="153"/>
      <c r="AE156" s="153"/>
      <c r="AF156" s="153"/>
      <c r="AG156" s="153"/>
    </row>
    <row r="157" ht="15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  <c r="AA157" s="153"/>
      <c r="AB157" s="153"/>
      <c r="AC157" s="153"/>
      <c r="AD157" s="153"/>
      <c r="AE157" s="153"/>
      <c r="AF157" s="153"/>
      <c r="AG157" s="153"/>
    </row>
    <row r="158" ht="15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  <c r="AA158" s="153"/>
      <c r="AB158" s="153"/>
      <c r="AC158" s="153"/>
      <c r="AD158" s="153"/>
      <c r="AE158" s="153"/>
      <c r="AF158" s="153"/>
      <c r="AG158" s="153"/>
    </row>
    <row r="159" ht="15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  <c r="AA159" s="153"/>
      <c r="AB159" s="153"/>
      <c r="AC159" s="153"/>
      <c r="AD159" s="153"/>
      <c r="AE159" s="153"/>
      <c r="AF159" s="153"/>
      <c r="AG159" s="153"/>
    </row>
    <row r="160" ht="15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  <c r="AA160" s="153"/>
      <c r="AB160" s="153"/>
      <c r="AC160" s="153"/>
      <c r="AD160" s="153"/>
      <c r="AE160" s="153"/>
      <c r="AF160" s="153"/>
      <c r="AG160" s="153"/>
    </row>
    <row r="161" ht="15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  <c r="AA161" s="153"/>
      <c r="AB161" s="153"/>
      <c r="AC161" s="153"/>
      <c r="AD161" s="153"/>
      <c r="AE161" s="153"/>
      <c r="AF161" s="153"/>
      <c r="AG161" s="153"/>
    </row>
    <row r="162" ht="15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  <c r="AA162" s="153"/>
      <c r="AB162" s="153"/>
      <c r="AC162" s="153"/>
      <c r="AD162" s="153"/>
      <c r="AE162" s="153"/>
      <c r="AF162" s="153"/>
      <c r="AG162" s="153"/>
    </row>
    <row r="163" ht="15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  <c r="AA163" s="153"/>
      <c r="AB163" s="153"/>
      <c r="AC163" s="153"/>
      <c r="AD163" s="153"/>
      <c r="AE163" s="153"/>
      <c r="AF163" s="153"/>
      <c r="AG163" s="153"/>
    </row>
    <row r="164" ht="15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  <c r="AA164" s="153"/>
      <c r="AB164" s="153"/>
      <c r="AC164" s="153"/>
      <c r="AD164" s="153"/>
      <c r="AE164" s="153"/>
      <c r="AF164" s="153"/>
      <c r="AG164" s="153"/>
    </row>
    <row r="165" ht="15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  <c r="AA165" s="153"/>
      <c r="AB165" s="153"/>
      <c r="AC165" s="153"/>
      <c r="AD165" s="153"/>
      <c r="AE165" s="153"/>
      <c r="AF165" s="153"/>
      <c r="AG165" s="153"/>
    </row>
    <row r="166" ht="15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  <c r="AA166" s="153"/>
      <c r="AB166" s="153"/>
      <c r="AC166" s="153"/>
      <c r="AD166" s="153"/>
      <c r="AE166" s="153"/>
      <c r="AF166" s="153"/>
      <c r="AG166" s="153"/>
    </row>
    <row r="167" ht="15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  <c r="AA167" s="153"/>
      <c r="AB167" s="153"/>
      <c r="AC167" s="153"/>
      <c r="AD167" s="153"/>
      <c r="AE167" s="153"/>
      <c r="AF167" s="153"/>
      <c r="AG167" s="153"/>
    </row>
    <row r="168" ht="15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  <c r="AA168" s="153"/>
      <c r="AB168" s="153"/>
      <c r="AC168" s="153"/>
      <c r="AD168" s="153"/>
      <c r="AE168" s="153"/>
      <c r="AF168" s="153"/>
      <c r="AG168" s="153"/>
    </row>
    <row r="169" ht="15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</row>
    <row r="170" ht="15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  <c r="AA170" s="153"/>
      <c r="AB170" s="153"/>
      <c r="AC170" s="153"/>
      <c r="AD170" s="153"/>
      <c r="AE170" s="153"/>
      <c r="AF170" s="153"/>
      <c r="AG170" s="153"/>
    </row>
    <row r="171" ht="15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  <c r="AA171" s="153"/>
      <c r="AB171" s="153"/>
      <c r="AC171" s="153"/>
      <c r="AD171" s="153"/>
      <c r="AE171" s="153"/>
      <c r="AF171" s="153"/>
      <c r="AG171" s="153"/>
    </row>
    <row r="172" ht="15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  <c r="AA172" s="153"/>
      <c r="AB172" s="153"/>
      <c r="AC172" s="153"/>
      <c r="AD172" s="153"/>
      <c r="AE172" s="153"/>
      <c r="AF172" s="153"/>
      <c r="AG172" s="153"/>
    </row>
    <row r="173" ht="15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  <c r="AA173" s="153"/>
      <c r="AB173" s="153"/>
      <c r="AC173" s="153"/>
      <c r="AD173" s="153"/>
      <c r="AE173" s="153"/>
      <c r="AF173" s="153"/>
      <c r="AG173" s="153"/>
    </row>
    <row r="174" ht="15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</row>
    <row r="175" ht="15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  <c r="AA175" s="153"/>
      <c r="AB175" s="153"/>
      <c r="AC175" s="153"/>
      <c r="AD175" s="153"/>
      <c r="AE175" s="153"/>
      <c r="AF175" s="153"/>
      <c r="AG175" s="153"/>
    </row>
    <row r="176" ht="15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  <c r="AA176" s="153"/>
      <c r="AB176" s="153"/>
      <c r="AC176" s="153"/>
      <c r="AD176" s="153"/>
      <c r="AE176" s="153"/>
      <c r="AF176" s="153"/>
      <c r="AG176" s="153"/>
    </row>
    <row r="177" ht="15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  <c r="AA177" s="153"/>
      <c r="AB177" s="153"/>
      <c r="AC177" s="153"/>
      <c r="AD177" s="153"/>
      <c r="AE177" s="153"/>
      <c r="AF177" s="153"/>
      <c r="AG177" s="153"/>
    </row>
    <row r="178" ht="15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  <c r="AA178" s="153"/>
      <c r="AB178" s="153"/>
      <c r="AC178" s="153"/>
      <c r="AD178" s="153"/>
      <c r="AE178" s="153"/>
      <c r="AF178" s="153"/>
      <c r="AG178" s="153"/>
    </row>
    <row r="179" ht="15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  <c r="AA179" s="153"/>
      <c r="AB179" s="153"/>
      <c r="AC179" s="153"/>
      <c r="AD179" s="153"/>
      <c r="AE179" s="153"/>
      <c r="AF179" s="153"/>
      <c r="AG179" s="153"/>
    </row>
    <row r="180" ht="15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  <c r="AA180" s="153"/>
      <c r="AB180" s="153"/>
      <c r="AC180" s="153"/>
      <c r="AD180" s="153"/>
      <c r="AE180" s="153"/>
      <c r="AF180" s="153"/>
      <c r="AG180" s="153"/>
    </row>
    <row r="181" ht="15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  <c r="AA181" s="153"/>
      <c r="AB181" s="153"/>
      <c r="AC181" s="153"/>
      <c r="AD181" s="153"/>
      <c r="AE181" s="153"/>
      <c r="AF181" s="153"/>
      <c r="AG181" s="153"/>
    </row>
    <row r="182" ht="15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  <c r="AA182" s="153"/>
      <c r="AB182" s="153"/>
      <c r="AC182" s="153"/>
      <c r="AD182" s="153"/>
      <c r="AE182" s="153"/>
      <c r="AF182" s="153"/>
      <c r="AG182" s="153"/>
    </row>
    <row r="183" ht="15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  <c r="AA183" s="153"/>
      <c r="AB183" s="153"/>
      <c r="AC183" s="153"/>
      <c r="AD183" s="153"/>
      <c r="AE183" s="153"/>
      <c r="AF183" s="153"/>
      <c r="AG183" s="153"/>
    </row>
    <row r="184" ht="15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  <c r="AA184" s="153"/>
      <c r="AB184" s="153"/>
      <c r="AC184" s="153"/>
      <c r="AD184" s="153"/>
      <c r="AE184" s="153"/>
      <c r="AF184" s="153"/>
      <c r="AG184" s="153"/>
    </row>
    <row r="185" ht="15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  <c r="AA185" s="153"/>
      <c r="AB185" s="153"/>
      <c r="AC185" s="153"/>
      <c r="AD185" s="153"/>
      <c r="AE185" s="153"/>
      <c r="AF185" s="153"/>
      <c r="AG185" s="153"/>
    </row>
    <row r="186" ht="15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  <c r="AA186" s="153"/>
      <c r="AB186" s="153"/>
      <c r="AC186" s="153"/>
      <c r="AD186" s="153"/>
      <c r="AE186" s="153"/>
      <c r="AF186" s="153"/>
      <c r="AG186" s="153"/>
    </row>
    <row r="187" ht="15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  <c r="AA187" s="153"/>
      <c r="AB187" s="153"/>
      <c r="AC187" s="153"/>
      <c r="AD187" s="153"/>
      <c r="AE187" s="153"/>
      <c r="AF187" s="153"/>
      <c r="AG187" s="153"/>
    </row>
    <row r="188" ht="15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  <c r="AA188" s="153"/>
      <c r="AB188" s="153"/>
      <c r="AC188" s="153"/>
      <c r="AD188" s="153"/>
      <c r="AE188" s="153"/>
      <c r="AF188" s="153"/>
      <c r="AG188" s="153"/>
    </row>
    <row r="189" ht="15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  <c r="AA189" s="153"/>
      <c r="AB189" s="153"/>
      <c r="AC189" s="153"/>
      <c r="AD189" s="153"/>
      <c r="AE189" s="153"/>
      <c r="AF189" s="153"/>
      <c r="AG189" s="153"/>
    </row>
    <row r="190" ht="15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  <c r="AA190" s="153"/>
      <c r="AB190" s="153"/>
      <c r="AC190" s="153"/>
      <c r="AD190" s="153"/>
      <c r="AE190" s="153"/>
      <c r="AF190" s="153"/>
      <c r="AG190" s="153"/>
    </row>
    <row r="191" ht="15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  <c r="AA191" s="153"/>
      <c r="AB191" s="153"/>
      <c r="AC191" s="153"/>
      <c r="AD191" s="153"/>
      <c r="AE191" s="153"/>
      <c r="AF191" s="153"/>
      <c r="AG191" s="153"/>
    </row>
    <row r="192" ht="15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  <c r="AA192" s="153"/>
      <c r="AB192" s="153"/>
      <c r="AC192" s="153"/>
      <c r="AD192" s="153"/>
      <c r="AE192" s="153"/>
      <c r="AF192" s="153"/>
      <c r="AG192" s="153"/>
    </row>
    <row r="193" ht="15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  <c r="AA193" s="153"/>
      <c r="AB193" s="153"/>
      <c r="AC193" s="153"/>
      <c r="AD193" s="153"/>
      <c r="AE193" s="153"/>
      <c r="AF193" s="153"/>
      <c r="AG193" s="153"/>
    </row>
    <row r="194" ht="15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  <c r="AA194" s="153"/>
      <c r="AB194" s="153"/>
      <c r="AC194" s="153"/>
      <c r="AD194" s="153"/>
      <c r="AE194" s="153"/>
      <c r="AF194" s="153"/>
      <c r="AG194" s="153"/>
    </row>
    <row r="195" ht="15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</row>
    <row r="196" ht="15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  <c r="AA196" s="153"/>
      <c r="AB196" s="153"/>
      <c r="AC196" s="153"/>
      <c r="AD196" s="153"/>
      <c r="AE196" s="153"/>
      <c r="AF196" s="153"/>
      <c r="AG196" s="153"/>
    </row>
    <row r="197" ht="15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  <c r="AA197" s="153"/>
      <c r="AB197" s="153"/>
      <c r="AC197" s="153"/>
      <c r="AD197" s="153"/>
      <c r="AE197" s="153"/>
      <c r="AF197" s="153"/>
      <c r="AG197" s="153"/>
    </row>
    <row r="198" ht="15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  <c r="AA198" s="153"/>
      <c r="AB198" s="153"/>
      <c r="AC198" s="153"/>
      <c r="AD198" s="153"/>
      <c r="AE198" s="153"/>
      <c r="AF198" s="153"/>
      <c r="AG198" s="153"/>
    </row>
    <row r="199" ht="15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  <c r="AA199" s="153"/>
      <c r="AB199" s="153"/>
      <c r="AC199" s="153"/>
      <c r="AD199" s="153"/>
      <c r="AE199" s="153"/>
      <c r="AF199" s="153"/>
      <c r="AG199" s="153"/>
    </row>
    <row r="200" ht="15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  <c r="AA200" s="153"/>
      <c r="AB200" s="153"/>
      <c r="AC200" s="153"/>
      <c r="AD200" s="153"/>
      <c r="AE200" s="153"/>
      <c r="AF200" s="153"/>
      <c r="AG200" s="153"/>
    </row>
    <row r="201" ht="15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  <c r="AA201" s="153"/>
      <c r="AB201" s="153"/>
      <c r="AC201" s="153"/>
      <c r="AD201" s="153"/>
      <c r="AE201" s="153"/>
      <c r="AF201" s="153"/>
      <c r="AG201" s="153"/>
    </row>
    <row r="202" ht="15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  <c r="AA202" s="153"/>
      <c r="AB202" s="153"/>
      <c r="AC202" s="153"/>
      <c r="AD202" s="153"/>
      <c r="AE202" s="153"/>
      <c r="AF202" s="153"/>
      <c r="AG202" s="153"/>
    </row>
    <row r="203" ht="15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  <c r="AA203" s="153"/>
      <c r="AB203" s="153"/>
      <c r="AC203" s="153"/>
      <c r="AD203" s="153"/>
      <c r="AE203" s="153"/>
      <c r="AF203" s="153"/>
      <c r="AG203" s="153"/>
    </row>
    <row r="204" ht="15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  <c r="AA204" s="153"/>
      <c r="AB204" s="153"/>
      <c r="AC204" s="153"/>
      <c r="AD204" s="153"/>
      <c r="AE204" s="153"/>
      <c r="AF204" s="153"/>
      <c r="AG204" s="153"/>
    </row>
    <row r="205" ht="15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  <c r="AA205" s="153"/>
      <c r="AB205" s="153"/>
      <c r="AC205" s="153"/>
      <c r="AD205" s="153"/>
      <c r="AE205" s="153"/>
      <c r="AF205" s="153"/>
      <c r="AG205" s="153"/>
    </row>
    <row r="206" ht="15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  <c r="AA206" s="153"/>
      <c r="AB206" s="153"/>
      <c r="AC206" s="153"/>
      <c r="AD206" s="153"/>
      <c r="AE206" s="153"/>
      <c r="AF206" s="153"/>
      <c r="AG206" s="153"/>
    </row>
    <row r="207" ht="15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  <c r="AA207" s="153"/>
      <c r="AB207" s="153"/>
      <c r="AC207" s="153"/>
      <c r="AD207" s="153"/>
      <c r="AE207" s="153"/>
      <c r="AF207" s="153"/>
      <c r="AG207" s="153"/>
    </row>
    <row r="208" ht="15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  <c r="AA208" s="153"/>
      <c r="AB208" s="153"/>
      <c r="AC208" s="153"/>
      <c r="AD208" s="153"/>
      <c r="AE208" s="153"/>
      <c r="AF208" s="153"/>
      <c r="AG208" s="153"/>
    </row>
    <row r="209" ht="15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  <c r="AA209" s="153"/>
      <c r="AB209" s="153"/>
      <c r="AC209" s="153"/>
      <c r="AD209" s="153"/>
      <c r="AE209" s="153"/>
      <c r="AF209" s="153"/>
      <c r="AG209" s="153"/>
    </row>
    <row r="210" ht="15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  <c r="AA210" s="153"/>
      <c r="AB210" s="153"/>
      <c r="AC210" s="153"/>
      <c r="AD210" s="153"/>
      <c r="AE210" s="153"/>
      <c r="AF210" s="153"/>
      <c r="AG210" s="153"/>
    </row>
    <row r="211" ht="15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  <c r="AA211" s="153"/>
      <c r="AB211" s="153"/>
      <c r="AC211" s="153"/>
      <c r="AD211" s="153"/>
      <c r="AE211" s="153"/>
      <c r="AF211" s="153"/>
      <c r="AG211" s="153"/>
    </row>
    <row r="212" ht="15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  <c r="AA212" s="153"/>
      <c r="AB212" s="153"/>
      <c r="AC212" s="153"/>
      <c r="AD212" s="153"/>
      <c r="AE212" s="153"/>
      <c r="AF212" s="153"/>
      <c r="AG212" s="153"/>
    </row>
    <row r="213" ht="15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  <c r="AA213" s="153"/>
      <c r="AB213" s="153"/>
      <c r="AC213" s="153"/>
      <c r="AD213" s="153"/>
      <c r="AE213" s="153"/>
      <c r="AF213" s="153"/>
      <c r="AG213" s="153"/>
    </row>
    <row r="214" ht="15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  <c r="AA214" s="153"/>
      <c r="AB214" s="153"/>
      <c r="AC214" s="153"/>
      <c r="AD214" s="153"/>
      <c r="AE214" s="153"/>
      <c r="AF214" s="153"/>
      <c r="AG214" s="153"/>
    </row>
    <row r="215" ht="15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  <c r="AA215" s="153"/>
      <c r="AB215" s="153"/>
      <c r="AC215" s="153"/>
      <c r="AD215" s="153"/>
      <c r="AE215" s="153"/>
      <c r="AF215" s="153"/>
      <c r="AG215" s="153"/>
    </row>
    <row r="216" ht="15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  <c r="AA216" s="153"/>
      <c r="AB216" s="153"/>
      <c r="AC216" s="153"/>
      <c r="AD216" s="153"/>
      <c r="AE216" s="153"/>
      <c r="AF216" s="153"/>
      <c r="AG216" s="153"/>
    </row>
    <row r="217" ht="15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  <c r="AA217" s="153"/>
      <c r="AB217" s="153"/>
      <c r="AC217" s="153"/>
      <c r="AD217" s="153"/>
      <c r="AE217" s="153"/>
      <c r="AF217" s="153"/>
      <c r="AG217" s="153"/>
    </row>
    <row r="218" ht="15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  <c r="AA218" s="153"/>
      <c r="AB218" s="153"/>
      <c r="AC218" s="153"/>
      <c r="AD218" s="153"/>
      <c r="AE218" s="153"/>
      <c r="AF218" s="153"/>
      <c r="AG218" s="153"/>
    </row>
    <row r="219" ht="15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  <c r="AA219" s="153"/>
      <c r="AB219" s="153"/>
      <c r="AC219" s="153"/>
      <c r="AD219" s="153"/>
      <c r="AE219" s="153"/>
      <c r="AF219" s="153"/>
      <c r="AG219" s="153"/>
    </row>
    <row r="220" ht="15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  <c r="AA220" s="153"/>
      <c r="AB220" s="153"/>
      <c r="AC220" s="153"/>
      <c r="AD220" s="153"/>
      <c r="AE220" s="153"/>
      <c r="AF220" s="153"/>
      <c r="AG220" s="153"/>
    </row>
    <row r="221" ht="15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</row>
    <row r="222" ht="15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  <c r="AA222" s="153"/>
      <c r="AB222" s="153"/>
      <c r="AC222" s="153"/>
      <c r="AD222" s="153"/>
      <c r="AE222" s="153"/>
      <c r="AF222" s="153"/>
      <c r="AG222" s="153"/>
    </row>
    <row r="223" ht="15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  <c r="AA223" s="153"/>
      <c r="AB223" s="153"/>
      <c r="AC223" s="153"/>
      <c r="AD223" s="153"/>
      <c r="AE223" s="153"/>
      <c r="AF223" s="153"/>
      <c r="AG223" s="153"/>
    </row>
    <row r="224" ht="15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  <c r="AA224" s="153"/>
      <c r="AB224" s="153"/>
      <c r="AC224" s="153"/>
      <c r="AD224" s="153"/>
      <c r="AE224" s="153"/>
      <c r="AF224" s="153"/>
      <c r="AG224" s="153"/>
    </row>
    <row r="225" ht="15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  <c r="AA225" s="153"/>
      <c r="AB225" s="153"/>
      <c r="AC225" s="153"/>
      <c r="AD225" s="153"/>
      <c r="AE225" s="153"/>
      <c r="AF225" s="153"/>
      <c r="AG225" s="153"/>
    </row>
    <row r="226" ht="15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  <c r="AA226" s="153"/>
      <c r="AB226" s="153"/>
      <c r="AC226" s="153"/>
      <c r="AD226" s="153"/>
      <c r="AE226" s="153"/>
      <c r="AF226" s="153"/>
      <c r="AG226" s="153"/>
    </row>
    <row r="227" ht="15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  <c r="AA227" s="153"/>
      <c r="AB227" s="153"/>
      <c r="AC227" s="153"/>
      <c r="AD227" s="153"/>
      <c r="AE227" s="153"/>
      <c r="AF227" s="153"/>
      <c r="AG227" s="153"/>
    </row>
    <row r="228" ht="15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  <c r="AA228" s="153"/>
      <c r="AB228" s="153"/>
      <c r="AC228" s="153"/>
      <c r="AD228" s="153"/>
      <c r="AE228" s="153"/>
      <c r="AF228" s="153"/>
      <c r="AG228" s="153"/>
    </row>
    <row r="229" ht="15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  <c r="AA229" s="153"/>
      <c r="AB229" s="153"/>
      <c r="AC229" s="153"/>
      <c r="AD229" s="153"/>
      <c r="AE229" s="153"/>
      <c r="AF229" s="153"/>
      <c r="AG229" s="153"/>
    </row>
    <row r="230" ht="15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  <c r="AA230" s="153"/>
      <c r="AB230" s="153"/>
      <c r="AC230" s="153"/>
      <c r="AD230" s="153"/>
      <c r="AE230" s="153"/>
      <c r="AF230" s="153"/>
      <c r="AG230" s="153"/>
    </row>
    <row r="231" ht="15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  <c r="AA231" s="153"/>
      <c r="AB231" s="153"/>
      <c r="AC231" s="153"/>
      <c r="AD231" s="153"/>
      <c r="AE231" s="153"/>
      <c r="AF231" s="153"/>
      <c r="AG231" s="153"/>
    </row>
    <row r="232" ht="15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  <c r="AA232" s="153"/>
      <c r="AB232" s="153"/>
      <c r="AC232" s="153"/>
      <c r="AD232" s="153"/>
      <c r="AE232" s="153"/>
      <c r="AF232" s="153"/>
      <c r="AG232" s="153"/>
    </row>
    <row r="233" ht="15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  <c r="AA233" s="153"/>
      <c r="AB233" s="153"/>
      <c r="AC233" s="153"/>
      <c r="AD233" s="153"/>
      <c r="AE233" s="153"/>
      <c r="AF233" s="153"/>
      <c r="AG233" s="153"/>
    </row>
    <row r="234" ht="15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  <c r="AA234" s="153"/>
      <c r="AB234" s="153"/>
      <c r="AC234" s="153"/>
      <c r="AD234" s="153"/>
      <c r="AE234" s="153"/>
      <c r="AF234" s="153"/>
      <c r="AG234" s="153"/>
    </row>
    <row r="235" ht="15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  <c r="AA235" s="153"/>
      <c r="AB235" s="153"/>
      <c r="AC235" s="153"/>
      <c r="AD235" s="153"/>
      <c r="AE235" s="153"/>
      <c r="AF235" s="153"/>
      <c r="AG235" s="153"/>
    </row>
    <row r="236" ht="15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  <c r="AA236" s="153"/>
      <c r="AB236" s="153"/>
      <c r="AC236" s="153"/>
      <c r="AD236" s="153"/>
      <c r="AE236" s="153"/>
      <c r="AF236" s="153"/>
      <c r="AG236" s="153"/>
    </row>
    <row r="237" ht="15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  <c r="AA237" s="153"/>
      <c r="AB237" s="153"/>
      <c r="AC237" s="153"/>
      <c r="AD237" s="153"/>
      <c r="AE237" s="153"/>
      <c r="AF237" s="153"/>
      <c r="AG237" s="153"/>
    </row>
    <row r="238" ht="15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  <c r="AA238" s="153"/>
      <c r="AB238" s="153"/>
      <c r="AC238" s="153"/>
      <c r="AD238" s="153"/>
      <c r="AE238" s="153"/>
      <c r="AF238" s="153"/>
      <c r="AG238" s="153"/>
    </row>
    <row r="239" ht="15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  <c r="AA239" s="153"/>
      <c r="AB239" s="153"/>
      <c r="AC239" s="153"/>
      <c r="AD239" s="153"/>
      <c r="AE239" s="153"/>
      <c r="AF239" s="153"/>
      <c r="AG239" s="153"/>
    </row>
    <row r="240" ht="15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  <c r="AA240" s="153"/>
      <c r="AB240" s="153"/>
      <c r="AC240" s="153"/>
      <c r="AD240" s="153"/>
      <c r="AE240" s="153"/>
      <c r="AF240" s="153"/>
      <c r="AG240" s="153"/>
    </row>
    <row r="241" ht="15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  <c r="AA241" s="153"/>
      <c r="AB241" s="153"/>
      <c r="AC241" s="153"/>
      <c r="AD241" s="153"/>
      <c r="AE241" s="153"/>
      <c r="AF241" s="153"/>
      <c r="AG241" s="153"/>
    </row>
    <row r="242" ht="15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  <c r="AA242" s="153"/>
      <c r="AB242" s="153"/>
      <c r="AC242" s="153"/>
      <c r="AD242" s="153"/>
      <c r="AE242" s="153"/>
      <c r="AF242" s="153"/>
      <c r="AG242" s="153"/>
    </row>
    <row r="243" ht="15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  <c r="AA243" s="153"/>
      <c r="AB243" s="153"/>
      <c r="AC243" s="153"/>
      <c r="AD243" s="153"/>
      <c r="AE243" s="153"/>
      <c r="AF243" s="153"/>
      <c r="AG243" s="153"/>
    </row>
    <row r="244" ht="15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  <c r="AA244" s="153"/>
      <c r="AB244" s="153"/>
      <c r="AC244" s="153"/>
      <c r="AD244" s="153"/>
      <c r="AE244" s="153"/>
      <c r="AF244" s="153"/>
      <c r="AG244" s="153"/>
    </row>
    <row r="245" ht="15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  <c r="AA245" s="153"/>
      <c r="AB245" s="153"/>
      <c r="AC245" s="153"/>
      <c r="AD245" s="153"/>
      <c r="AE245" s="153"/>
      <c r="AF245" s="153"/>
      <c r="AG245" s="153"/>
    </row>
    <row r="246" ht="15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  <c r="AA246" s="153"/>
      <c r="AB246" s="153"/>
      <c r="AC246" s="153"/>
      <c r="AD246" s="153"/>
      <c r="AE246" s="153"/>
      <c r="AF246" s="153"/>
      <c r="AG246" s="153"/>
    </row>
    <row r="247" ht="15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</row>
    <row r="248" ht="15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  <c r="AA248" s="153"/>
      <c r="AB248" s="153"/>
      <c r="AC248" s="153"/>
      <c r="AD248" s="153"/>
      <c r="AE248" s="153"/>
      <c r="AF248" s="153"/>
      <c r="AG248" s="153"/>
    </row>
    <row r="249" ht="15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  <c r="AA249" s="153"/>
      <c r="AB249" s="153"/>
      <c r="AC249" s="153"/>
      <c r="AD249" s="153"/>
      <c r="AE249" s="153"/>
      <c r="AF249" s="153"/>
      <c r="AG249" s="153"/>
    </row>
    <row r="250" ht="15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  <c r="AA250" s="153"/>
      <c r="AB250" s="153"/>
      <c r="AC250" s="153"/>
      <c r="AD250" s="153"/>
      <c r="AE250" s="153"/>
      <c r="AF250" s="153"/>
      <c r="AG250" s="153"/>
    </row>
    <row r="251" ht="15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  <c r="AA251" s="153"/>
      <c r="AB251" s="153"/>
      <c r="AC251" s="153"/>
      <c r="AD251" s="153"/>
      <c r="AE251" s="153"/>
      <c r="AF251" s="153"/>
      <c r="AG251" s="153"/>
    </row>
    <row r="252" ht="15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  <c r="AA252" s="153"/>
      <c r="AB252" s="153"/>
      <c r="AC252" s="153"/>
      <c r="AD252" s="153"/>
      <c r="AE252" s="153"/>
      <c r="AF252" s="153"/>
      <c r="AG252" s="153"/>
    </row>
    <row r="253" ht="15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  <c r="AA253" s="153"/>
      <c r="AB253" s="153"/>
      <c r="AC253" s="153"/>
      <c r="AD253" s="153"/>
      <c r="AE253" s="153"/>
      <c r="AF253" s="153"/>
      <c r="AG253" s="153"/>
    </row>
    <row r="254" ht="15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  <c r="AA254" s="153"/>
      <c r="AB254" s="153"/>
      <c r="AC254" s="153"/>
      <c r="AD254" s="153"/>
      <c r="AE254" s="153"/>
      <c r="AF254" s="153"/>
      <c r="AG254" s="153"/>
    </row>
    <row r="255" ht="15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  <c r="AA255" s="153"/>
      <c r="AB255" s="153"/>
      <c r="AC255" s="153"/>
      <c r="AD255" s="153"/>
      <c r="AE255" s="153"/>
      <c r="AF255" s="153"/>
      <c r="AG255" s="153"/>
    </row>
    <row r="256" ht="15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  <c r="AA256" s="153"/>
      <c r="AB256" s="153"/>
      <c r="AC256" s="153"/>
      <c r="AD256" s="153"/>
      <c r="AE256" s="153"/>
      <c r="AF256" s="153"/>
      <c r="AG256" s="153"/>
    </row>
    <row r="257" ht="15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  <c r="AA257" s="153"/>
      <c r="AB257" s="153"/>
      <c r="AC257" s="153"/>
      <c r="AD257" s="153"/>
      <c r="AE257" s="153"/>
      <c r="AF257" s="153"/>
      <c r="AG257" s="153"/>
    </row>
    <row r="258" ht="15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  <c r="AA258" s="153"/>
      <c r="AB258" s="153"/>
      <c r="AC258" s="153"/>
      <c r="AD258" s="153"/>
      <c r="AE258" s="153"/>
      <c r="AF258" s="153"/>
      <c r="AG258" s="153"/>
    </row>
    <row r="259" ht="15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  <c r="AA259" s="153"/>
      <c r="AB259" s="153"/>
      <c r="AC259" s="153"/>
      <c r="AD259" s="153"/>
      <c r="AE259" s="153"/>
      <c r="AF259" s="153"/>
      <c r="AG259" s="153"/>
    </row>
    <row r="260" ht="15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  <c r="AA260" s="153"/>
      <c r="AB260" s="153"/>
      <c r="AC260" s="153"/>
      <c r="AD260" s="153"/>
      <c r="AE260" s="153"/>
      <c r="AF260" s="153"/>
      <c r="AG260" s="153"/>
    </row>
    <row r="261" ht="15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  <c r="AA261" s="153"/>
      <c r="AB261" s="153"/>
      <c r="AC261" s="153"/>
      <c r="AD261" s="153"/>
      <c r="AE261" s="153"/>
      <c r="AF261" s="153"/>
      <c r="AG261" s="153"/>
    </row>
    <row r="262" ht="15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  <c r="AA262" s="153"/>
      <c r="AB262" s="153"/>
      <c r="AC262" s="153"/>
      <c r="AD262" s="153"/>
      <c r="AE262" s="153"/>
      <c r="AF262" s="153"/>
      <c r="AG262" s="153"/>
    </row>
    <row r="263" ht="15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  <c r="AA263" s="153"/>
      <c r="AB263" s="153"/>
      <c r="AC263" s="153"/>
      <c r="AD263" s="153"/>
      <c r="AE263" s="153"/>
      <c r="AF263" s="153"/>
      <c r="AG263" s="153"/>
    </row>
    <row r="264" ht="15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  <c r="AA264" s="153"/>
      <c r="AB264" s="153"/>
      <c r="AC264" s="153"/>
      <c r="AD264" s="153"/>
      <c r="AE264" s="153"/>
      <c r="AF264" s="153"/>
      <c r="AG264" s="153"/>
    </row>
    <row r="265" ht="15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  <c r="AA265" s="153"/>
      <c r="AB265" s="153"/>
      <c r="AC265" s="153"/>
      <c r="AD265" s="153"/>
      <c r="AE265" s="153"/>
      <c r="AF265" s="153"/>
      <c r="AG265" s="153"/>
    </row>
    <row r="266" ht="15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  <c r="AA266" s="153"/>
      <c r="AB266" s="153"/>
      <c r="AC266" s="153"/>
      <c r="AD266" s="153"/>
      <c r="AE266" s="153"/>
      <c r="AF266" s="153"/>
      <c r="AG266" s="153"/>
    </row>
    <row r="267" ht="15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  <c r="AA267" s="153"/>
      <c r="AB267" s="153"/>
      <c r="AC267" s="153"/>
      <c r="AD267" s="153"/>
      <c r="AE267" s="153"/>
      <c r="AF267" s="153"/>
      <c r="AG267" s="153"/>
    </row>
    <row r="268" ht="15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  <c r="AA268" s="153"/>
      <c r="AB268" s="153"/>
      <c r="AC268" s="153"/>
      <c r="AD268" s="153"/>
      <c r="AE268" s="153"/>
      <c r="AF268" s="153"/>
      <c r="AG268" s="153"/>
    </row>
    <row r="269" ht="15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  <c r="AA269" s="153"/>
      <c r="AB269" s="153"/>
      <c r="AC269" s="153"/>
      <c r="AD269" s="153"/>
      <c r="AE269" s="153"/>
      <c r="AF269" s="153"/>
      <c r="AG269" s="153"/>
    </row>
    <row r="270" ht="15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  <c r="AA270" s="153"/>
      <c r="AB270" s="153"/>
      <c r="AC270" s="153"/>
      <c r="AD270" s="153"/>
      <c r="AE270" s="153"/>
      <c r="AF270" s="153"/>
      <c r="AG270" s="153"/>
    </row>
    <row r="271" ht="15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  <c r="AA271" s="153"/>
      <c r="AB271" s="153"/>
      <c r="AC271" s="153"/>
      <c r="AD271" s="153"/>
      <c r="AE271" s="153"/>
      <c r="AF271" s="153"/>
      <c r="AG271" s="153"/>
    </row>
    <row r="272" ht="15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  <c r="AA272" s="153"/>
      <c r="AB272" s="153"/>
      <c r="AC272" s="153"/>
      <c r="AD272" s="153"/>
      <c r="AE272" s="153"/>
      <c r="AF272" s="153"/>
      <c r="AG272" s="153"/>
    </row>
    <row r="273" ht="15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</row>
    <row r="274" ht="15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  <c r="AA274" s="153"/>
      <c r="AB274" s="153"/>
      <c r="AC274" s="153"/>
      <c r="AD274" s="153"/>
      <c r="AE274" s="153"/>
      <c r="AF274" s="153"/>
      <c r="AG274" s="153"/>
    </row>
    <row r="275" ht="15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  <c r="AA275" s="153"/>
      <c r="AB275" s="153"/>
      <c r="AC275" s="153"/>
      <c r="AD275" s="153"/>
      <c r="AE275" s="153"/>
      <c r="AF275" s="153"/>
      <c r="AG275" s="153"/>
    </row>
    <row r="276" ht="15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  <c r="AA276" s="153"/>
      <c r="AB276" s="153"/>
      <c r="AC276" s="153"/>
      <c r="AD276" s="153"/>
      <c r="AE276" s="153"/>
      <c r="AF276" s="153"/>
      <c r="AG276" s="153"/>
    </row>
    <row r="277" ht="15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  <c r="AA277" s="153"/>
      <c r="AB277" s="153"/>
      <c r="AC277" s="153"/>
      <c r="AD277" s="153"/>
      <c r="AE277" s="153"/>
      <c r="AF277" s="153"/>
      <c r="AG277" s="153"/>
    </row>
    <row r="278" ht="15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  <c r="AA278" s="153"/>
      <c r="AB278" s="153"/>
      <c r="AC278" s="153"/>
      <c r="AD278" s="153"/>
      <c r="AE278" s="153"/>
      <c r="AF278" s="153"/>
      <c r="AG278" s="153"/>
    </row>
    <row r="279" ht="15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  <c r="AA279" s="153"/>
      <c r="AB279" s="153"/>
      <c r="AC279" s="153"/>
      <c r="AD279" s="153"/>
      <c r="AE279" s="153"/>
      <c r="AF279" s="153"/>
      <c r="AG279" s="153"/>
    </row>
    <row r="280" ht="15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  <c r="AA280" s="153"/>
      <c r="AB280" s="153"/>
      <c r="AC280" s="153"/>
      <c r="AD280" s="153"/>
      <c r="AE280" s="153"/>
      <c r="AF280" s="153"/>
      <c r="AG280" s="153"/>
    </row>
    <row r="281" ht="15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  <c r="AA281" s="153"/>
      <c r="AB281" s="153"/>
      <c r="AC281" s="153"/>
      <c r="AD281" s="153"/>
      <c r="AE281" s="153"/>
      <c r="AF281" s="153"/>
      <c r="AG281" s="153"/>
    </row>
    <row r="282" ht="15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  <c r="AA282" s="153"/>
      <c r="AB282" s="153"/>
      <c r="AC282" s="153"/>
      <c r="AD282" s="153"/>
      <c r="AE282" s="153"/>
      <c r="AF282" s="153"/>
      <c r="AG282" s="153"/>
    </row>
    <row r="283" ht="15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  <c r="AA283" s="153"/>
      <c r="AB283" s="153"/>
      <c r="AC283" s="153"/>
      <c r="AD283" s="153"/>
      <c r="AE283" s="153"/>
      <c r="AF283" s="153"/>
      <c r="AG283" s="153"/>
    </row>
    <row r="284" ht="15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  <c r="AA284" s="153"/>
      <c r="AB284" s="153"/>
      <c r="AC284" s="153"/>
      <c r="AD284" s="153"/>
      <c r="AE284" s="153"/>
      <c r="AF284" s="153"/>
      <c r="AG284" s="153"/>
    </row>
    <row r="285" ht="15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  <c r="AA285" s="153"/>
      <c r="AB285" s="153"/>
      <c r="AC285" s="153"/>
      <c r="AD285" s="153"/>
      <c r="AE285" s="153"/>
      <c r="AF285" s="153"/>
      <c r="AG285" s="153"/>
    </row>
    <row r="286" ht="15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  <c r="AA286" s="153"/>
      <c r="AB286" s="153"/>
      <c r="AC286" s="153"/>
      <c r="AD286" s="153"/>
      <c r="AE286" s="153"/>
      <c r="AF286" s="153"/>
      <c r="AG286" s="153"/>
    </row>
    <row r="287" ht="15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  <c r="AA287" s="153"/>
      <c r="AB287" s="153"/>
      <c r="AC287" s="153"/>
      <c r="AD287" s="153"/>
      <c r="AE287" s="153"/>
      <c r="AF287" s="153"/>
      <c r="AG287" s="153"/>
    </row>
    <row r="288" ht="15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  <c r="AA288" s="153"/>
      <c r="AB288" s="153"/>
      <c r="AC288" s="153"/>
      <c r="AD288" s="153"/>
      <c r="AE288" s="153"/>
      <c r="AF288" s="153"/>
      <c r="AG288" s="153"/>
    </row>
    <row r="289" ht="15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  <c r="AA289" s="153"/>
      <c r="AB289" s="153"/>
      <c r="AC289" s="153"/>
      <c r="AD289" s="153"/>
      <c r="AE289" s="153"/>
      <c r="AF289" s="153"/>
      <c r="AG289" s="153"/>
    </row>
    <row r="290" ht="15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  <c r="AA290" s="153"/>
      <c r="AB290" s="153"/>
      <c r="AC290" s="153"/>
      <c r="AD290" s="153"/>
      <c r="AE290" s="153"/>
      <c r="AF290" s="153"/>
      <c r="AG290" s="153"/>
    </row>
    <row r="291" ht="15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  <c r="AA291" s="153"/>
      <c r="AB291" s="153"/>
      <c r="AC291" s="153"/>
      <c r="AD291" s="153"/>
      <c r="AE291" s="153"/>
      <c r="AF291" s="153"/>
      <c r="AG291" s="153"/>
    </row>
    <row r="292" ht="15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  <c r="AA292" s="153"/>
      <c r="AB292" s="153"/>
      <c r="AC292" s="153"/>
      <c r="AD292" s="153"/>
      <c r="AE292" s="153"/>
      <c r="AF292" s="153"/>
      <c r="AG292" s="153"/>
    </row>
    <row r="293" ht="15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  <c r="AA293" s="153"/>
      <c r="AB293" s="153"/>
      <c r="AC293" s="153"/>
      <c r="AD293" s="153"/>
      <c r="AE293" s="153"/>
      <c r="AF293" s="153"/>
      <c r="AG293" s="153"/>
    </row>
    <row r="294" ht="15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  <c r="AA294" s="153"/>
      <c r="AB294" s="153"/>
      <c r="AC294" s="153"/>
      <c r="AD294" s="153"/>
      <c r="AE294" s="153"/>
      <c r="AF294" s="153"/>
      <c r="AG294" s="153"/>
    </row>
    <row r="295" ht="15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  <c r="AA295" s="153"/>
      <c r="AB295" s="153"/>
      <c r="AC295" s="153"/>
      <c r="AD295" s="153"/>
      <c r="AE295" s="153"/>
      <c r="AF295" s="153"/>
      <c r="AG295" s="153"/>
    </row>
    <row r="296" ht="15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  <c r="AA296" s="153"/>
      <c r="AB296" s="153"/>
      <c r="AC296" s="153"/>
      <c r="AD296" s="153"/>
      <c r="AE296" s="153"/>
      <c r="AF296" s="153"/>
      <c r="AG296" s="153"/>
    </row>
    <row r="297" ht="15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  <c r="AA297" s="153"/>
      <c r="AB297" s="153"/>
      <c r="AC297" s="153"/>
      <c r="AD297" s="153"/>
      <c r="AE297" s="153"/>
      <c r="AF297" s="153"/>
      <c r="AG297" s="153"/>
    </row>
    <row r="298" ht="15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  <c r="AA298" s="153"/>
      <c r="AB298" s="153"/>
      <c r="AC298" s="153"/>
      <c r="AD298" s="153"/>
      <c r="AE298" s="153"/>
      <c r="AF298" s="153"/>
      <c r="AG298" s="153"/>
    </row>
    <row r="299" ht="15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</row>
    <row r="300" ht="15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  <c r="AA300" s="153"/>
      <c r="AB300" s="153"/>
      <c r="AC300" s="153"/>
      <c r="AD300" s="153"/>
      <c r="AE300" s="153"/>
      <c r="AF300" s="153"/>
      <c r="AG300" s="153"/>
    </row>
    <row r="301" ht="15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  <c r="AA301" s="153"/>
      <c r="AB301" s="153"/>
      <c r="AC301" s="153"/>
      <c r="AD301" s="153"/>
      <c r="AE301" s="153"/>
      <c r="AF301" s="153"/>
      <c r="AG301" s="153"/>
    </row>
    <row r="302" ht="15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  <c r="AA302" s="153"/>
      <c r="AB302" s="153"/>
      <c r="AC302" s="153"/>
      <c r="AD302" s="153"/>
      <c r="AE302" s="153"/>
      <c r="AF302" s="153"/>
      <c r="AG302" s="153"/>
    </row>
    <row r="303" ht="15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  <c r="AA303" s="153"/>
      <c r="AB303" s="153"/>
      <c r="AC303" s="153"/>
      <c r="AD303" s="153"/>
      <c r="AE303" s="153"/>
      <c r="AF303" s="153"/>
      <c r="AG303" s="153"/>
    </row>
    <row r="304" ht="15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  <c r="AA304" s="153"/>
      <c r="AB304" s="153"/>
      <c r="AC304" s="153"/>
      <c r="AD304" s="153"/>
      <c r="AE304" s="153"/>
      <c r="AF304" s="153"/>
      <c r="AG304" s="153"/>
    </row>
    <row r="305" ht="15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  <c r="AA305" s="153"/>
      <c r="AB305" s="153"/>
      <c r="AC305" s="153"/>
      <c r="AD305" s="153"/>
      <c r="AE305" s="153"/>
      <c r="AF305" s="153"/>
      <c r="AG305" s="153"/>
    </row>
    <row r="306" ht="15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  <c r="AA306" s="153"/>
      <c r="AB306" s="153"/>
      <c r="AC306" s="153"/>
      <c r="AD306" s="153"/>
      <c r="AE306" s="153"/>
      <c r="AF306" s="153"/>
      <c r="AG306" s="153"/>
    </row>
    <row r="307" ht="15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  <c r="AA307" s="153"/>
      <c r="AB307" s="153"/>
      <c r="AC307" s="153"/>
      <c r="AD307" s="153"/>
      <c r="AE307" s="153"/>
      <c r="AF307" s="153"/>
      <c r="AG307" s="153"/>
    </row>
    <row r="308" ht="15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  <c r="AA308" s="153"/>
      <c r="AB308" s="153"/>
      <c r="AC308" s="153"/>
      <c r="AD308" s="153"/>
      <c r="AE308" s="153"/>
      <c r="AF308" s="153"/>
      <c r="AG308" s="153"/>
    </row>
    <row r="309" ht="15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  <c r="AA309" s="153"/>
      <c r="AB309" s="153"/>
      <c r="AC309" s="153"/>
      <c r="AD309" s="153"/>
      <c r="AE309" s="153"/>
      <c r="AF309" s="153"/>
      <c r="AG309" s="153"/>
    </row>
    <row r="310" ht="15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  <c r="AA310" s="153"/>
      <c r="AB310" s="153"/>
      <c r="AC310" s="153"/>
      <c r="AD310" s="153"/>
      <c r="AE310" s="153"/>
      <c r="AF310" s="153"/>
      <c r="AG310" s="153"/>
    </row>
    <row r="311" ht="15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  <c r="AA311" s="153"/>
      <c r="AB311" s="153"/>
      <c r="AC311" s="153"/>
      <c r="AD311" s="153"/>
      <c r="AE311" s="153"/>
      <c r="AF311" s="153"/>
      <c r="AG311" s="153"/>
    </row>
    <row r="312" ht="15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  <c r="AA312" s="153"/>
      <c r="AB312" s="153"/>
      <c r="AC312" s="153"/>
      <c r="AD312" s="153"/>
      <c r="AE312" s="153"/>
      <c r="AF312" s="153"/>
      <c r="AG312" s="153"/>
    </row>
    <row r="313" ht="15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  <c r="AA313" s="153"/>
      <c r="AB313" s="153"/>
      <c r="AC313" s="153"/>
      <c r="AD313" s="153"/>
      <c r="AE313" s="153"/>
      <c r="AF313" s="153"/>
      <c r="AG313" s="153"/>
    </row>
    <row r="314" ht="15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  <c r="AA314" s="153"/>
      <c r="AB314" s="153"/>
      <c r="AC314" s="153"/>
      <c r="AD314" s="153"/>
      <c r="AE314" s="153"/>
      <c r="AF314" s="153"/>
      <c r="AG314" s="153"/>
    </row>
    <row r="315" ht="15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  <c r="AA315" s="153"/>
      <c r="AB315" s="153"/>
      <c r="AC315" s="153"/>
      <c r="AD315" s="153"/>
      <c r="AE315" s="153"/>
      <c r="AF315" s="153"/>
      <c r="AG315" s="153"/>
    </row>
    <row r="316" ht="15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  <c r="AA316" s="153"/>
      <c r="AB316" s="153"/>
      <c r="AC316" s="153"/>
      <c r="AD316" s="153"/>
      <c r="AE316" s="153"/>
      <c r="AF316" s="153"/>
      <c r="AG316" s="153"/>
    </row>
    <row r="317" ht="15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  <c r="AA317" s="153"/>
      <c r="AB317" s="153"/>
      <c r="AC317" s="153"/>
      <c r="AD317" s="153"/>
      <c r="AE317" s="153"/>
      <c r="AF317" s="153"/>
      <c r="AG317" s="153"/>
    </row>
    <row r="318" ht="15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  <c r="AA318" s="153"/>
      <c r="AB318" s="153"/>
      <c r="AC318" s="153"/>
      <c r="AD318" s="153"/>
      <c r="AE318" s="153"/>
      <c r="AF318" s="153"/>
      <c r="AG318" s="153"/>
    </row>
    <row r="319" ht="15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  <c r="AA319" s="153"/>
      <c r="AB319" s="153"/>
      <c r="AC319" s="153"/>
      <c r="AD319" s="153"/>
      <c r="AE319" s="153"/>
      <c r="AF319" s="153"/>
      <c r="AG319" s="153"/>
    </row>
    <row r="320" ht="15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  <c r="AA320" s="153"/>
      <c r="AB320" s="153"/>
      <c r="AC320" s="153"/>
      <c r="AD320" s="153"/>
      <c r="AE320" s="153"/>
      <c r="AF320" s="153"/>
      <c r="AG320" s="153"/>
    </row>
    <row r="321" ht="15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  <c r="AA321" s="153"/>
      <c r="AB321" s="153"/>
      <c r="AC321" s="153"/>
      <c r="AD321" s="153"/>
      <c r="AE321" s="153"/>
      <c r="AF321" s="153"/>
      <c r="AG321" s="153"/>
    </row>
    <row r="322" ht="15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  <c r="AA322" s="153"/>
      <c r="AB322" s="153"/>
      <c r="AC322" s="153"/>
      <c r="AD322" s="153"/>
      <c r="AE322" s="153"/>
      <c r="AF322" s="153"/>
      <c r="AG322" s="153"/>
    </row>
    <row r="323" ht="15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  <c r="AA323" s="153"/>
      <c r="AB323" s="153"/>
      <c r="AC323" s="153"/>
      <c r="AD323" s="153"/>
      <c r="AE323" s="153"/>
      <c r="AF323" s="153"/>
      <c r="AG323" s="153"/>
    </row>
    <row r="324" ht="15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  <c r="AA324" s="153"/>
      <c r="AB324" s="153"/>
      <c r="AC324" s="153"/>
      <c r="AD324" s="153"/>
      <c r="AE324" s="153"/>
      <c r="AF324" s="153"/>
      <c r="AG324" s="153"/>
    </row>
    <row r="325" ht="15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</row>
    <row r="326" ht="15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  <c r="AA326" s="153"/>
      <c r="AB326" s="153"/>
      <c r="AC326" s="153"/>
      <c r="AD326" s="153"/>
      <c r="AE326" s="153"/>
      <c r="AF326" s="153"/>
      <c r="AG326" s="153"/>
    </row>
    <row r="327" ht="15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  <c r="AA327" s="153"/>
      <c r="AB327" s="153"/>
      <c r="AC327" s="153"/>
      <c r="AD327" s="153"/>
      <c r="AE327" s="153"/>
      <c r="AF327" s="153"/>
      <c r="AG327" s="153"/>
    </row>
    <row r="328" ht="15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  <c r="AA328" s="153"/>
      <c r="AB328" s="153"/>
      <c r="AC328" s="153"/>
      <c r="AD328" s="153"/>
      <c r="AE328" s="153"/>
      <c r="AF328" s="153"/>
      <c r="AG328" s="153"/>
    </row>
    <row r="329" ht="15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  <c r="AA329" s="153"/>
      <c r="AB329" s="153"/>
      <c r="AC329" s="153"/>
      <c r="AD329" s="153"/>
      <c r="AE329" s="153"/>
      <c r="AF329" s="153"/>
      <c r="AG329" s="153"/>
    </row>
    <row r="330" ht="15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  <c r="AA330" s="153"/>
      <c r="AB330" s="153"/>
      <c r="AC330" s="153"/>
      <c r="AD330" s="153"/>
      <c r="AE330" s="153"/>
      <c r="AF330" s="153"/>
      <c r="AG330" s="153"/>
    </row>
    <row r="331" ht="15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  <c r="AA331" s="153"/>
      <c r="AB331" s="153"/>
      <c r="AC331" s="153"/>
      <c r="AD331" s="153"/>
      <c r="AE331" s="153"/>
      <c r="AF331" s="153"/>
      <c r="AG331" s="153"/>
    </row>
    <row r="332" ht="15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  <c r="AA332" s="153"/>
      <c r="AB332" s="153"/>
      <c r="AC332" s="153"/>
      <c r="AD332" s="153"/>
      <c r="AE332" s="153"/>
      <c r="AF332" s="153"/>
      <c r="AG332" s="153"/>
    </row>
    <row r="333" ht="15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  <c r="AA333" s="153"/>
      <c r="AB333" s="153"/>
      <c r="AC333" s="153"/>
      <c r="AD333" s="153"/>
      <c r="AE333" s="153"/>
      <c r="AF333" s="153"/>
      <c r="AG333" s="153"/>
    </row>
    <row r="334" ht="15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  <c r="AA334" s="153"/>
      <c r="AB334" s="153"/>
      <c r="AC334" s="153"/>
      <c r="AD334" s="153"/>
      <c r="AE334" s="153"/>
      <c r="AF334" s="153"/>
      <c r="AG334" s="153"/>
    </row>
    <row r="335" ht="15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  <c r="AA335" s="153"/>
      <c r="AB335" s="153"/>
      <c r="AC335" s="153"/>
      <c r="AD335" s="153"/>
      <c r="AE335" s="153"/>
      <c r="AF335" s="153"/>
      <c r="AG335" s="153"/>
    </row>
    <row r="336" ht="15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  <c r="AA336" s="153"/>
      <c r="AB336" s="153"/>
      <c r="AC336" s="153"/>
      <c r="AD336" s="153"/>
      <c r="AE336" s="153"/>
      <c r="AF336" s="153"/>
      <c r="AG336" s="153"/>
    </row>
    <row r="337" ht="15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  <c r="AA337" s="153"/>
      <c r="AB337" s="153"/>
      <c r="AC337" s="153"/>
      <c r="AD337" s="153"/>
      <c r="AE337" s="153"/>
      <c r="AF337" s="153"/>
      <c r="AG337" s="153"/>
    </row>
    <row r="338" ht="15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  <c r="AA338" s="153"/>
      <c r="AB338" s="153"/>
      <c r="AC338" s="153"/>
      <c r="AD338" s="153"/>
      <c r="AE338" s="153"/>
      <c r="AF338" s="153"/>
      <c r="AG338" s="153"/>
    </row>
    <row r="339" ht="15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  <c r="AA339" s="153"/>
      <c r="AB339" s="153"/>
      <c r="AC339" s="153"/>
      <c r="AD339" s="153"/>
      <c r="AE339" s="153"/>
      <c r="AF339" s="153"/>
      <c r="AG339" s="153"/>
    </row>
    <row r="340" ht="15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  <c r="AA340" s="153"/>
      <c r="AB340" s="153"/>
      <c r="AC340" s="153"/>
      <c r="AD340" s="153"/>
      <c r="AE340" s="153"/>
      <c r="AF340" s="153"/>
      <c r="AG340" s="153"/>
    </row>
    <row r="341" ht="15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  <c r="AA341" s="153"/>
      <c r="AB341" s="153"/>
      <c r="AC341" s="153"/>
      <c r="AD341" s="153"/>
      <c r="AE341" s="153"/>
      <c r="AF341" s="153"/>
      <c r="AG341" s="153"/>
    </row>
    <row r="342" ht="15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  <c r="AA342" s="153"/>
      <c r="AB342" s="153"/>
      <c r="AC342" s="153"/>
      <c r="AD342" s="153"/>
      <c r="AE342" s="153"/>
      <c r="AF342" s="153"/>
      <c r="AG342" s="153"/>
    </row>
    <row r="343" ht="15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  <c r="AA343" s="153"/>
      <c r="AB343" s="153"/>
      <c r="AC343" s="153"/>
      <c r="AD343" s="153"/>
      <c r="AE343" s="153"/>
      <c r="AF343" s="153"/>
      <c r="AG343" s="153"/>
    </row>
    <row r="344" ht="15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  <c r="AA344" s="153"/>
      <c r="AB344" s="153"/>
      <c r="AC344" s="153"/>
      <c r="AD344" s="153"/>
      <c r="AE344" s="153"/>
      <c r="AF344" s="153"/>
      <c r="AG344" s="153"/>
    </row>
    <row r="345" ht="15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  <c r="AA345" s="153"/>
      <c r="AB345" s="153"/>
      <c r="AC345" s="153"/>
      <c r="AD345" s="153"/>
      <c r="AE345" s="153"/>
      <c r="AF345" s="153"/>
      <c r="AG345" s="153"/>
    </row>
    <row r="346" ht="15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  <c r="AA346" s="153"/>
      <c r="AB346" s="153"/>
      <c r="AC346" s="153"/>
      <c r="AD346" s="153"/>
      <c r="AE346" s="153"/>
      <c r="AF346" s="153"/>
      <c r="AG346" s="153"/>
    </row>
    <row r="347" ht="15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  <c r="AA347" s="153"/>
      <c r="AB347" s="153"/>
      <c r="AC347" s="153"/>
      <c r="AD347" s="153"/>
      <c r="AE347" s="153"/>
      <c r="AF347" s="153"/>
      <c r="AG347" s="153"/>
    </row>
    <row r="348" ht="15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  <c r="AA348" s="153"/>
      <c r="AB348" s="153"/>
      <c r="AC348" s="153"/>
      <c r="AD348" s="153"/>
      <c r="AE348" s="153"/>
      <c r="AF348" s="153"/>
      <c r="AG348" s="153"/>
    </row>
    <row r="349" ht="15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  <c r="AA349" s="153"/>
      <c r="AB349" s="153"/>
      <c r="AC349" s="153"/>
      <c r="AD349" s="153"/>
      <c r="AE349" s="153"/>
      <c r="AF349" s="153"/>
      <c r="AG349" s="153"/>
    </row>
    <row r="350" ht="15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  <c r="AA350" s="153"/>
      <c r="AB350" s="153"/>
      <c r="AC350" s="153"/>
      <c r="AD350" s="153"/>
      <c r="AE350" s="153"/>
      <c r="AF350" s="153"/>
      <c r="AG350" s="153"/>
    </row>
    <row r="351" ht="15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</row>
    <row r="352" ht="15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  <c r="AA352" s="153"/>
      <c r="AB352" s="153"/>
      <c r="AC352" s="153"/>
      <c r="AD352" s="153"/>
      <c r="AE352" s="153"/>
      <c r="AF352" s="153"/>
      <c r="AG352" s="153"/>
    </row>
    <row r="353" ht="15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  <c r="AA353" s="153"/>
      <c r="AB353" s="153"/>
      <c r="AC353" s="153"/>
      <c r="AD353" s="153"/>
      <c r="AE353" s="153"/>
      <c r="AF353" s="153"/>
      <c r="AG353" s="153"/>
    </row>
    <row r="354" ht="15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  <c r="AA354" s="153"/>
      <c r="AB354" s="153"/>
      <c r="AC354" s="153"/>
      <c r="AD354" s="153"/>
      <c r="AE354" s="153"/>
      <c r="AF354" s="153"/>
      <c r="AG354" s="153"/>
    </row>
    <row r="355" ht="15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  <c r="AA355" s="153"/>
      <c r="AB355" s="153"/>
      <c r="AC355" s="153"/>
      <c r="AD355" s="153"/>
      <c r="AE355" s="153"/>
      <c r="AF355" s="153"/>
      <c r="AG355" s="153"/>
    </row>
    <row r="356" ht="15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  <c r="AA356" s="153"/>
      <c r="AB356" s="153"/>
      <c r="AC356" s="153"/>
      <c r="AD356" s="153"/>
      <c r="AE356" s="153"/>
      <c r="AF356" s="153"/>
      <c r="AG356" s="153"/>
    </row>
    <row r="357" ht="15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  <c r="AA357" s="153"/>
      <c r="AB357" s="153"/>
      <c r="AC357" s="153"/>
      <c r="AD357" s="153"/>
      <c r="AE357" s="153"/>
      <c r="AF357" s="153"/>
      <c r="AG357" s="153"/>
    </row>
    <row r="358" ht="15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  <c r="AA358" s="153"/>
      <c r="AB358" s="153"/>
      <c r="AC358" s="153"/>
      <c r="AD358" s="153"/>
      <c r="AE358" s="153"/>
      <c r="AF358" s="153"/>
      <c r="AG358" s="153"/>
    </row>
    <row r="359" ht="15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  <c r="AA359" s="153"/>
      <c r="AB359" s="153"/>
      <c r="AC359" s="153"/>
      <c r="AD359" s="153"/>
      <c r="AE359" s="153"/>
      <c r="AF359" s="153"/>
      <c r="AG359" s="153"/>
    </row>
    <row r="360" ht="15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  <c r="AA360" s="153"/>
      <c r="AB360" s="153"/>
      <c r="AC360" s="153"/>
      <c r="AD360" s="153"/>
      <c r="AE360" s="153"/>
      <c r="AF360" s="153"/>
      <c r="AG360" s="153"/>
    </row>
    <row r="361" ht="15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  <c r="AA361" s="153"/>
      <c r="AB361" s="153"/>
      <c r="AC361" s="153"/>
      <c r="AD361" s="153"/>
      <c r="AE361" s="153"/>
      <c r="AF361" s="153"/>
      <c r="AG361" s="153"/>
    </row>
    <row r="362" ht="15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  <c r="AA362" s="153"/>
      <c r="AB362" s="153"/>
      <c r="AC362" s="153"/>
      <c r="AD362" s="153"/>
      <c r="AE362" s="153"/>
      <c r="AF362" s="153"/>
      <c r="AG362" s="153"/>
    </row>
    <row r="363" ht="15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  <c r="AA363" s="153"/>
      <c r="AB363" s="153"/>
      <c r="AC363" s="153"/>
      <c r="AD363" s="153"/>
      <c r="AE363" s="153"/>
      <c r="AF363" s="153"/>
      <c r="AG363" s="153"/>
    </row>
    <row r="364" ht="15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  <c r="AA364" s="153"/>
      <c r="AB364" s="153"/>
      <c r="AC364" s="153"/>
      <c r="AD364" s="153"/>
      <c r="AE364" s="153"/>
      <c r="AF364" s="153"/>
      <c r="AG364" s="153"/>
    </row>
    <row r="365" ht="15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  <c r="AA365" s="153"/>
      <c r="AB365" s="153"/>
      <c r="AC365" s="153"/>
      <c r="AD365" s="153"/>
      <c r="AE365" s="153"/>
      <c r="AF365" s="153"/>
      <c r="AG365" s="153"/>
    </row>
    <row r="366" ht="15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  <c r="AA366" s="153"/>
      <c r="AB366" s="153"/>
      <c r="AC366" s="153"/>
      <c r="AD366" s="153"/>
      <c r="AE366" s="153"/>
      <c r="AF366" s="153"/>
      <c r="AG366" s="153"/>
    </row>
    <row r="367" ht="15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  <c r="AA367" s="153"/>
      <c r="AB367" s="153"/>
      <c r="AC367" s="153"/>
      <c r="AD367" s="153"/>
      <c r="AE367" s="153"/>
      <c r="AF367" s="153"/>
      <c r="AG367" s="153"/>
    </row>
    <row r="368" ht="15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  <c r="AA368" s="153"/>
      <c r="AB368" s="153"/>
      <c r="AC368" s="153"/>
      <c r="AD368" s="153"/>
      <c r="AE368" s="153"/>
      <c r="AF368" s="153"/>
      <c r="AG368" s="153"/>
    </row>
    <row r="369" ht="15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  <c r="AA369" s="153"/>
      <c r="AB369" s="153"/>
      <c r="AC369" s="153"/>
      <c r="AD369" s="153"/>
      <c r="AE369" s="153"/>
      <c r="AF369" s="153"/>
      <c r="AG369" s="153"/>
    </row>
    <row r="370" ht="15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  <c r="AA370" s="153"/>
      <c r="AB370" s="153"/>
      <c r="AC370" s="153"/>
      <c r="AD370" s="153"/>
      <c r="AE370" s="153"/>
      <c r="AF370" s="153"/>
      <c r="AG370" s="153"/>
    </row>
    <row r="371" ht="15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  <c r="AA371" s="153"/>
      <c r="AB371" s="153"/>
      <c r="AC371" s="153"/>
      <c r="AD371" s="153"/>
      <c r="AE371" s="153"/>
      <c r="AF371" s="153"/>
      <c r="AG371" s="153"/>
    </row>
    <row r="372" ht="15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  <c r="AA372" s="153"/>
      <c r="AB372" s="153"/>
      <c r="AC372" s="153"/>
      <c r="AD372" s="153"/>
      <c r="AE372" s="153"/>
      <c r="AF372" s="153"/>
      <c r="AG372" s="153"/>
    </row>
    <row r="373" ht="15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  <c r="AA373" s="153"/>
      <c r="AB373" s="153"/>
      <c r="AC373" s="153"/>
      <c r="AD373" s="153"/>
      <c r="AE373" s="153"/>
      <c r="AF373" s="153"/>
      <c r="AG373" s="153"/>
    </row>
    <row r="374" ht="15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  <c r="AA374" s="153"/>
      <c r="AB374" s="153"/>
      <c r="AC374" s="153"/>
      <c r="AD374" s="153"/>
      <c r="AE374" s="153"/>
      <c r="AF374" s="153"/>
      <c r="AG374" s="153"/>
    </row>
    <row r="375" ht="15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  <c r="AA375" s="153"/>
      <c r="AB375" s="153"/>
      <c r="AC375" s="153"/>
      <c r="AD375" s="153"/>
      <c r="AE375" s="153"/>
      <c r="AF375" s="153"/>
      <c r="AG375" s="153"/>
    </row>
    <row r="376" ht="15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  <c r="AA376" s="153"/>
      <c r="AB376" s="153"/>
      <c r="AC376" s="153"/>
      <c r="AD376" s="153"/>
      <c r="AE376" s="153"/>
      <c r="AF376" s="153"/>
      <c r="AG376" s="153"/>
    </row>
    <row r="377" ht="15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</row>
    <row r="378" ht="15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  <c r="AA378" s="153"/>
      <c r="AB378" s="153"/>
      <c r="AC378" s="153"/>
      <c r="AD378" s="153"/>
      <c r="AE378" s="153"/>
      <c r="AF378" s="153"/>
      <c r="AG378" s="153"/>
    </row>
    <row r="379" ht="15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  <c r="AA379" s="153"/>
      <c r="AB379" s="153"/>
      <c r="AC379" s="153"/>
      <c r="AD379" s="153"/>
      <c r="AE379" s="153"/>
      <c r="AF379" s="153"/>
      <c r="AG379" s="153"/>
    </row>
    <row r="380" ht="15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  <c r="AA380" s="153"/>
      <c r="AB380" s="153"/>
      <c r="AC380" s="153"/>
      <c r="AD380" s="153"/>
      <c r="AE380" s="153"/>
      <c r="AF380" s="153"/>
      <c r="AG380" s="153"/>
    </row>
    <row r="381" ht="15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  <c r="AA381" s="153"/>
      <c r="AB381" s="153"/>
      <c r="AC381" s="153"/>
      <c r="AD381" s="153"/>
      <c r="AE381" s="153"/>
      <c r="AF381" s="153"/>
      <c r="AG381" s="153"/>
    </row>
    <row r="382" ht="15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  <c r="AA382" s="153"/>
      <c r="AB382" s="153"/>
      <c r="AC382" s="153"/>
      <c r="AD382" s="153"/>
      <c r="AE382" s="153"/>
      <c r="AF382" s="153"/>
      <c r="AG382" s="153"/>
    </row>
    <row r="383" ht="15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  <c r="AA383" s="153"/>
      <c r="AB383" s="153"/>
      <c r="AC383" s="153"/>
      <c r="AD383" s="153"/>
      <c r="AE383" s="153"/>
      <c r="AF383" s="153"/>
      <c r="AG383" s="153"/>
    </row>
    <row r="384" ht="15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  <c r="AA384" s="153"/>
      <c r="AB384" s="153"/>
      <c r="AC384" s="153"/>
      <c r="AD384" s="153"/>
      <c r="AE384" s="153"/>
      <c r="AF384" s="153"/>
      <c r="AG384" s="153"/>
    </row>
    <row r="385" ht="15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  <c r="AA385" s="153"/>
      <c r="AB385" s="153"/>
      <c r="AC385" s="153"/>
      <c r="AD385" s="153"/>
      <c r="AE385" s="153"/>
      <c r="AF385" s="153"/>
      <c r="AG385" s="153"/>
    </row>
    <row r="386" ht="15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  <c r="AA386" s="153"/>
      <c r="AB386" s="153"/>
      <c r="AC386" s="153"/>
      <c r="AD386" s="153"/>
      <c r="AE386" s="153"/>
      <c r="AF386" s="153"/>
      <c r="AG386" s="153"/>
    </row>
    <row r="387" ht="15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  <c r="AA387" s="153"/>
      <c r="AB387" s="153"/>
      <c r="AC387" s="153"/>
      <c r="AD387" s="153"/>
      <c r="AE387" s="153"/>
      <c r="AF387" s="153"/>
      <c r="AG387" s="153"/>
    </row>
    <row r="388" ht="15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  <c r="AA388" s="153"/>
      <c r="AB388" s="153"/>
      <c r="AC388" s="153"/>
      <c r="AD388" s="153"/>
      <c r="AE388" s="153"/>
      <c r="AF388" s="153"/>
      <c r="AG388" s="153"/>
    </row>
    <row r="389" ht="15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  <c r="AA389" s="153"/>
      <c r="AB389" s="153"/>
      <c r="AC389" s="153"/>
      <c r="AD389" s="153"/>
      <c r="AE389" s="153"/>
      <c r="AF389" s="153"/>
      <c r="AG389" s="153"/>
    </row>
    <row r="390" ht="15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  <c r="AA390" s="153"/>
      <c r="AB390" s="153"/>
      <c r="AC390" s="153"/>
      <c r="AD390" s="153"/>
      <c r="AE390" s="153"/>
      <c r="AF390" s="153"/>
      <c r="AG390" s="153"/>
    </row>
    <row r="391" ht="15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  <c r="AA391" s="153"/>
      <c r="AB391" s="153"/>
      <c r="AC391" s="153"/>
      <c r="AD391" s="153"/>
      <c r="AE391" s="153"/>
      <c r="AF391" s="153"/>
      <c r="AG391" s="153"/>
    </row>
    <row r="392" ht="15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  <c r="AA392" s="153"/>
      <c r="AB392" s="153"/>
      <c r="AC392" s="153"/>
      <c r="AD392" s="153"/>
      <c r="AE392" s="153"/>
      <c r="AF392" s="153"/>
      <c r="AG392" s="153"/>
    </row>
    <row r="393" ht="15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  <c r="AA393" s="153"/>
      <c r="AB393" s="153"/>
      <c r="AC393" s="153"/>
      <c r="AD393" s="153"/>
      <c r="AE393" s="153"/>
      <c r="AF393" s="153"/>
      <c r="AG393" s="153"/>
    </row>
    <row r="394" ht="15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  <c r="AA394" s="153"/>
      <c r="AB394" s="153"/>
      <c r="AC394" s="153"/>
      <c r="AD394" s="153"/>
      <c r="AE394" s="153"/>
      <c r="AF394" s="153"/>
      <c r="AG394" s="153"/>
    </row>
    <row r="395" ht="15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  <c r="AA395" s="153"/>
      <c r="AB395" s="153"/>
      <c r="AC395" s="153"/>
      <c r="AD395" s="153"/>
      <c r="AE395" s="153"/>
      <c r="AF395" s="153"/>
      <c r="AG395" s="153"/>
    </row>
    <row r="396" ht="15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  <c r="AA396" s="153"/>
      <c r="AB396" s="153"/>
      <c r="AC396" s="153"/>
      <c r="AD396" s="153"/>
      <c r="AE396" s="153"/>
      <c r="AF396" s="153"/>
      <c r="AG396" s="153"/>
    </row>
    <row r="397" ht="15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  <c r="AA397" s="153"/>
      <c r="AB397" s="153"/>
      <c r="AC397" s="153"/>
      <c r="AD397" s="153"/>
      <c r="AE397" s="153"/>
      <c r="AF397" s="153"/>
      <c r="AG397" s="153"/>
    </row>
    <row r="398" ht="15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  <c r="AA398" s="153"/>
      <c r="AB398" s="153"/>
      <c r="AC398" s="153"/>
      <c r="AD398" s="153"/>
      <c r="AE398" s="153"/>
      <c r="AF398" s="153"/>
      <c r="AG398" s="153"/>
    </row>
    <row r="399" ht="15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  <c r="AA399" s="153"/>
      <c r="AB399" s="153"/>
      <c r="AC399" s="153"/>
      <c r="AD399" s="153"/>
      <c r="AE399" s="153"/>
      <c r="AF399" s="153"/>
      <c r="AG399" s="153"/>
    </row>
    <row r="400" ht="15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  <c r="AA400" s="153"/>
      <c r="AB400" s="153"/>
      <c r="AC400" s="153"/>
      <c r="AD400" s="153"/>
      <c r="AE400" s="153"/>
      <c r="AF400" s="153"/>
      <c r="AG400" s="153"/>
    </row>
    <row r="401" ht="15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  <c r="AA401" s="153"/>
      <c r="AB401" s="153"/>
      <c r="AC401" s="153"/>
      <c r="AD401" s="153"/>
      <c r="AE401" s="153"/>
      <c r="AF401" s="153"/>
      <c r="AG401" s="153"/>
    </row>
    <row r="402" ht="15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  <c r="AA402" s="153"/>
      <c r="AB402" s="153"/>
      <c r="AC402" s="153"/>
      <c r="AD402" s="153"/>
      <c r="AE402" s="153"/>
      <c r="AF402" s="153"/>
      <c r="AG402" s="153"/>
    </row>
    <row r="403" ht="15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</row>
    <row r="404" ht="15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  <c r="AA404" s="153"/>
      <c r="AB404" s="153"/>
      <c r="AC404" s="153"/>
      <c r="AD404" s="153"/>
      <c r="AE404" s="153"/>
      <c r="AF404" s="153"/>
      <c r="AG404" s="153"/>
    </row>
    <row r="405" ht="15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  <c r="AA405" s="153"/>
      <c r="AB405" s="153"/>
      <c r="AC405" s="153"/>
      <c r="AD405" s="153"/>
      <c r="AE405" s="153"/>
      <c r="AF405" s="153"/>
      <c r="AG405" s="153"/>
    </row>
    <row r="406" ht="15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  <c r="AA406" s="153"/>
      <c r="AB406" s="153"/>
      <c r="AC406" s="153"/>
      <c r="AD406" s="153"/>
      <c r="AE406" s="153"/>
      <c r="AF406" s="153"/>
      <c r="AG406" s="153"/>
    </row>
    <row r="407" ht="15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  <c r="AA407" s="153"/>
      <c r="AB407" s="153"/>
      <c r="AC407" s="153"/>
      <c r="AD407" s="153"/>
      <c r="AE407" s="153"/>
      <c r="AF407" s="153"/>
      <c r="AG407" s="153"/>
    </row>
    <row r="408" ht="15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  <c r="AA408" s="153"/>
      <c r="AB408" s="153"/>
      <c r="AC408" s="153"/>
      <c r="AD408" s="153"/>
      <c r="AE408" s="153"/>
      <c r="AF408" s="153"/>
      <c r="AG408" s="153"/>
    </row>
    <row r="409" ht="15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  <c r="AA409" s="153"/>
      <c r="AB409" s="153"/>
      <c r="AC409" s="153"/>
      <c r="AD409" s="153"/>
      <c r="AE409" s="153"/>
      <c r="AF409" s="153"/>
      <c r="AG409" s="153"/>
    </row>
    <row r="410" ht="15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  <c r="AA410" s="153"/>
      <c r="AB410" s="153"/>
      <c r="AC410" s="153"/>
      <c r="AD410" s="153"/>
      <c r="AE410" s="153"/>
      <c r="AF410" s="153"/>
      <c r="AG410" s="153"/>
    </row>
    <row r="411" ht="15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  <c r="AA411" s="153"/>
      <c r="AB411" s="153"/>
      <c r="AC411" s="153"/>
      <c r="AD411" s="153"/>
      <c r="AE411" s="153"/>
      <c r="AF411" s="153"/>
      <c r="AG411" s="153"/>
    </row>
    <row r="412" ht="15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  <c r="AA412" s="153"/>
      <c r="AB412" s="153"/>
      <c r="AC412" s="153"/>
      <c r="AD412" s="153"/>
      <c r="AE412" s="153"/>
      <c r="AF412" s="153"/>
      <c r="AG412" s="153"/>
    </row>
    <row r="413" ht="15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  <c r="AA413" s="153"/>
      <c r="AB413" s="153"/>
      <c r="AC413" s="153"/>
      <c r="AD413" s="153"/>
      <c r="AE413" s="153"/>
      <c r="AF413" s="153"/>
      <c r="AG413" s="153"/>
    </row>
    <row r="414" ht="15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  <c r="AA414" s="153"/>
      <c r="AB414" s="153"/>
      <c r="AC414" s="153"/>
      <c r="AD414" s="153"/>
      <c r="AE414" s="153"/>
      <c r="AF414" s="153"/>
      <c r="AG414" s="153"/>
    </row>
    <row r="415" ht="15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  <c r="AA415" s="153"/>
      <c r="AB415" s="153"/>
      <c r="AC415" s="153"/>
      <c r="AD415" s="153"/>
      <c r="AE415" s="153"/>
      <c r="AF415" s="153"/>
      <c r="AG415" s="153"/>
    </row>
    <row r="416" ht="15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  <c r="AA416" s="153"/>
      <c r="AB416" s="153"/>
      <c r="AC416" s="153"/>
      <c r="AD416" s="153"/>
      <c r="AE416" s="153"/>
      <c r="AF416" s="153"/>
      <c r="AG416" s="153"/>
    </row>
    <row r="417" ht="15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  <c r="AA417" s="153"/>
      <c r="AB417" s="153"/>
      <c r="AC417" s="153"/>
      <c r="AD417" s="153"/>
      <c r="AE417" s="153"/>
      <c r="AF417" s="153"/>
      <c r="AG417" s="153"/>
    </row>
    <row r="418" ht="15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  <c r="AA418" s="153"/>
      <c r="AB418" s="153"/>
      <c r="AC418" s="153"/>
      <c r="AD418" s="153"/>
      <c r="AE418" s="153"/>
      <c r="AF418" s="153"/>
      <c r="AG418" s="153"/>
    </row>
    <row r="419" ht="15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  <c r="AA419" s="153"/>
      <c r="AB419" s="153"/>
      <c r="AC419" s="153"/>
      <c r="AD419" s="153"/>
      <c r="AE419" s="153"/>
      <c r="AF419" s="153"/>
      <c r="AG419" s="153"/>
    </row>
    <row r="420" ht="15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  <c r="AA420" s="153"/>
      <c r="AB420" s="153"/>
      <c r="AC420" s="153"/>
      <c r="AD420" s="153"/>
      <c r="AE420" s="153"/>
      <c r="AF420" s="153"/>
      <c r="AG420" s="153"/>
    </row>
    <row r="421" ht="15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  <c r="AA421" s="153"/>
      <c r="AB421" s="153"/>
      <c r="AC421" s="153"/>
      <c r="AD421" s="153"/>
      <c r="AE421" s="153"/>
      <c r="AF421" s="153"/>
      <c r="AG421" s="153"/>
    </row>
    <row r="422" ht="15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  <c r="AA422" s="153"/>
      <c r="AB422" s="153"/>
      <c r="AC422" s="153"/>
      <c r="AD422" s="153"/>
      <c r="AE422" s="153"/>
      <c r="AF422" s="153"/>
      <c r="AG422" s="153"/>
    </row>
    <row r="423" ht="15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  <c r="AA423" s="153"/>
      <c r="AB423" s="153"/>
      <c r="AC423" s="153"/>
      <c r="AD423" s="153"/>
      <c r="AE423" s="153"/>
      <c r="AF423" s="153"/>
      <c r="AG423" s="153"/>
    </row>
    <row r="424" ht="15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  <c r="AA424" s="153"/>
      <c r="AB424" s="153"/>
      <c r="AC424" s="153"/>
      <c r="AD424" s="153"/>
      <c r="AE424" s="153"/>
      <c r="AF424" s="153"/>
      <c r="AG424" s="153"/>
    </row>
    <row r="425" ht="15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  <c r="AA425" s="153"/>
      <c r="AB425" s="153"/>
      <c r="AC425" s="153"/>
      <c r="AD425" s="153"/>
      <c r="AE425" s="153"/>
      <c r="AF425" s="153"/>
      <c r="AG425" s="153"/>
    </row>
    <row r="426" ht="15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  <c r="AA426" s="153"/>
      <c r="AB426" s="153"/>
      <c r="AC426" s="153"/>
      <c r="AD426" s="153"/>
      <c r="AE426" s="153"/>
      <c r="AF426" s="153"/>
      <c r="AG426" s="153"/>
    </row>
    <row r="427" ht="15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  <c r="AA427" s="153"/>
      <c r="AB427" s="153"/>
      <c r="AC427" s="153"/>
      <c r="AD427" s="153"/>
      <c r="AE427" s="153"/>
      <c r="AF427" s="153"/>
      <c r="AG427" s="153"/>
    </row>
    <row r="428" ht="15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  <c r="AA428" s="153"/>
      <c r="AB428" s="153"/>
      <c r="AC428" s="153"/>
      <c r="AD428" s="153"/>
      <c r="AE428" s="153"/>
      <c r="AF428" s="153"/>
      <c r="AG428" s="153"/>
    </row>
    <row r="429" ht="15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  <c r="AA429" s="153"/>
      <c r="AB429" s="153"/>
      <c r="AC429" s="153"/>
      <c r="AD429" s="153"/>
      <c r="AE429" s="153"/>
      <c r="AF429" s="153"/>
      <c r="AG429" s="153"/>
    </row>
    <row r="430" ht="15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  <c r="AA430" s="153"/>
      <c r="AB430" s="153"/>
      <c r="AC430" s="153"/>
      <c r="AD430" s="153"/>
      <c r="AE430" s="153"/>
      <c r="AF430" s="153"/>
      <c r="AG430" s="153"/>
    </row>
    <row r="431" ht="15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  <c r="AA431" s="153"/>
      <c r="AB431" s="153"/>
      <c r="AC431" s="153"/>
      <c r="AD431" s="153"/>
      <c r="AE431" s="153"/>
      <c r="AF431" s="153"/>
      <c r="AG431" s="153"/>
    </row>
    <row r="432" ht="15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  <c r="AA432" s="153"/>
      <c r="AB432" s="153"/>
      <c r="AC432" s="153"/>
      <c r="AD432" s="153"/>
      <c r="AE432" s="153"/>
      <c r="AF432" s="153"/>
      <c r="AG432" s="153"/>
    </row>
    <row r="433" ht="15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  <c r="AA433" s="153"/>
      <c r="AB433" s="153"/>
      <c r="AC433" s="153"/>
      <c r="AD433" s="153"/>
      <c r="AE433" s="153"/>
      <c r="AF433" s="153"/>
      <c r="AG433" s="153"/>
    </row>
    <row r="434" ht="15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  <c r="AA434" s="153"/>
      <c r="AB434" s="153"/>
      <c r="AC434" s="153"/>
      <c r="AD434" s="153"/>
      <c r="AE434" s="153"/>
      <c r="AF434" s="153"/>
      <c r="AG434" s="153"/>
    </row>
    <row r="435" ht="15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  <c r="AA435" s="153"/>
      <c r="AB435" s="153"/>
      <c r="AC435" s="153"/>
      <c r="AD435" s="153"/>
      <c r="AE435" s="153"/>
      <c r="AF435" s="153"/>
      <c r="AG435" s="153"/>
    </row>
    <row r="436" ht="15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  <c r="AA436" s="153"/>
      <c r="AB436" s="153"/>
      <c r="AC436" s="153"/>
      <c r="AD436" s="153"/>
      <c r="AE436" s="153"/>
      <c r="AF436" s="153"/>
      <c r="AG436" s="153"/>
    </row>
    <row r="437" ht="15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  <c r="AA437" s="153"/>
      <c r="AB437" s="153"/>
      <c r="AC437" s="153"/>
      <c r="AD437" s="153"/>
      <c r="AE437" s="153"/>
      <c r="AF437" s="153"/>
      <c r="AG437" s="153"/>
    </row>
    <row r="438" ht="15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  <c r="AA438" s="153"/>
      <c r="AB438" s="153"/>
      <c r="AC438" s="153"/>
      <c r="AD438" s="153"/>
      <c r="AE438" s="153"/>
      <c r="AF438" s="153"/>
      <c r="AG438" s="153"/>
    </row>
    <row r="439" ht="15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  <c r="AA439" s="153"/>
      <c r="AB439" s="153"/>
      <c r="AC439" s="153"/>
      <c r="AD439" s="153"/>
      <c r="AE439" s="153"/>
      <c r="AF439" s="153"/>
      <c r="AG439" s="153"/>
    </row>
    <row r="440" ht="15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  <c r="AA440" s="153"/>
      <c r="AB440" s="153"/>
      <c r="AC440" s="153"/>
      <c r="AD440" s="153"/>
      <c r="AE440" s="153"/>
      <c r="AF440" s="153"/>
      <c r="AG440" s="153"/>
    </row>
    <row r="441" ht="15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  <c r="AA441" s="153"/>
      <c r="AB441" s="153"/>
      <c r="AC441" s="153"/>
      <c r="AD441" s="153"/>
      <c r="AE441" s="153"/>
      <c r="AF441" s="153"/>
      <c r="AG441" s="153"/>
    </row>
    <row r="442" ht="15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  <c r="AA442" s="153"/>
      <c r="AB442" s="153"/>
      <c r="AC442" s="153"/>
      <c r="AD442" s="153"/>
      <c r="AE442" s="153"/>
      <c r="AF442" s="153"/>
      <c r="AG442" s="153"/>
    </row>
    <row r="443" ht="15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  <c r="AA443" s="153"/>
      <c r="AB443" s="153"/>
      <c r="AC443" s="153"/>
      <c r="AD443" s="153"/>
      <c r="AE443" s="153"/>
      <c r="AF443" s="153"/>
      <c r="AG443" s="153"/>
    </row>
    <row r="444" ht="15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  <c r="AA444" s="153"/>
      <c r="AB444" s="153"/>
      <c r="AC444" s="153"/>
      <c r="AD444" s="153"/>
      <c r="AE444" s="153"/>
      <c r="AF444" s="153"/>
      <c r="AG444" s="153"/>
    </row>
    <row r="445" ht="15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  <c r="AA445" s="153"/>
      <c r="AB445" s="153"/>
      <c r="AC445" s="153"/>
      <c r="AD445" s="153"/>
      <c r="AE445" s="153"/>
      <c r="AF445" s="153"/>
      <c r="AG445" s="153"/>
    </row>
    <row r="446" ht="15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  <c r="AA446" s="153"/>
      <c r="AB446" s="153"/>
      <c r="AC446" s="153"/>
      <c r="AD446" s="153"/>
      <c r="AE446" s="153"/>
      <c r="AF446" s="153"/>
      <c r="AG446" s="153"/>
    </row>
    <row r="447" ht="15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  <c r="AA447" s="153"/>
      <c r="AB447" s="153"/>
      <c r="AC447" s="153"/>
      <c r="AD447" s="153"/>
      <c r="AE447" s="153"/>
      <c r="AF447" s="153"/>
      <c r="AG447" s="153"/>
    </row>
    <row r="448" ht="15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  <c r="AA448" s="153"/>
      <c r="AB448" s="153"/>
      <c r="AC448" s="153"/>
      <c r="AD448" s="153"/>
      <c r="AE448" s="153"/>
      <c r="AF448" s="153"/>
      <c r="AG448" s="153"/>
    </row>
    <row r="449" ht="15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  <c r="AA449" s="153"/>
      <c r="AB449" s="153"/>
      <c r="AC449" s="153"/>
      <c r="AD449" s="153"/>
      <c r="AE449" s="153"/>
      <c r="AF449" s="153"/>
      <c r="AG449" s="153"/>
    </row>
    <row r="450" ht="15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  <c r="AA450" s="153"/>
      <c r="AB450" s="153"/>
      <c r="AC450" s="153"/>
      <c r="AD450" s="153"/>
      <c r="AE450" s="153"/>
      <c r="AF450" s="153"/>
      <c r="AG450" s="153"/>
    </row>
    <row r="451" ht="15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  <c r="AA451" s="153"/>
      <c r="AB451" s="153"/>
      <c r="AC451" s="153"/>
      <c r="AD451" s="153"/>
      <c r="AE451" s="153"/>
      <c r="AF451" s="153"/>
      <c r="AG451" s="153"/>
    </row>
    <row r="452" ht="15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  <c r="AA452" s="153"/>
      <c r="AB452" s="153"/>
      <c r="AC452" s="153"/>
      <c r="AD452" s="153"/>
      <c r="AE452" s="153"/>
      <c r="AF452" s="153"/>
      <c r="AG452" s="153"/>
    </row>
    <row r="453" ht="15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  <c r="AA453" s="153"/>
      <c r="AB453" s="153"/>
      <c r="AC453" s="153"/>
      <c r="AD453" s="153"/>
      <c r="AE453" s="153"/>
      <c r="AF453" s="153"/>
      <c r="AG453" s="153"/>
    </row>
    <row r="454" ht="15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  <c r="AA454" s="153"/>
      <c r="AB454" s="153"/>
      <c r="AC454" s="153"/>
      <c r="AD454" s="153"/>
      <c r="AE454" s="153"/>
      <c r="AF454" s="153"/>
      <c r="AG454" s="153"/>
    </row>
    <row r="455" ht="15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  <c r="AA455" s="153"/>
      <c r="AB455" s="153"/>
      <c r="AC455" s="153"/>
      <c r="AD455" s="153"/>
      <c r="AE455" s="153"/>
      <c r="AF455" s="153"/>
      <c r="AG455" s="153"/>
    </row>
    <row r="456" ht="15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  <c r="AA456" s="153"/>
      <c r="AB456" s="153"/>
      <c r="AC456" s="153"/>
      <c r="AD456" s="153"/>
      <c r="AE456" s="153"/>
      <c r="AF456" s="153"/>
      <c r="AG456" s="153"/>
    </row>
    <row r="457" ht="15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  <c r="AA457" s="153"/>
      <c r="AB457" s="153"/>
      <c r="AC457" s="153"/>
      <c r="AD457" s="153"/>
      <c r="AE457" s="153"/>
      <c r="AF457" s="153"/>
      <c r="AG457" s="153"/>
    </row>
    <row r="458" ht="15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  <c r="AA458" s="153"/>
      <c r="AB458" s="153"/>
      <c r="AC458" s="153"/>
      <c r="AD458" s="153"/>
      <c r="AE458" s="153"/>
      <c r="AF458" s="153"/>
      <c r="AG458" s="153"/>
    </row>
    <row r="459" ht="15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  <c r="AA459" s="153"/>
      <c r="AB459" s="153"/>
      <c r="AC459" s="153"/>
      <c r="AD459" s="153"/>
      <c r="AE459" s="153"/>
      <c r="AF459" s="153"/>
      <c r="AG459" s="153"/>
    </row>
    <row r="460" ht="15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  <c r="AA460" s="153"/>
      <c r="AB460" s="153"/>
      <c r="AC460" s="153"/>
      <c r="AD460" s="153"/>
      <c r="AE460" s="153"/>
      <c r="AF460" s="153"/>
      <c r="AG460" s="153"/>
    </row>
    <row r="461" ht="15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  <c r="AA461" s="153"/>
      <c r="AB461" s="153"/>
      <c r="AC461" s="153"/>
      <c r="AD461" s="153"/>
      <c r="AE461" s="153"/>
      <c r="AF461" s="153"/>
      <c r="AG461" s="153"/>
    </row>
    <row r="462" ht="15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  <c r="AA462" s="153"/>
      <c r="AB462" s="153"/>
      <c r="AC462" s="153"/>
      <c r="AD462" s="153"/>
      <c r="AE462" s="153"/>
      <c r="AF462" s="153"/>
      <c r="AG462" s="153"/>
    </row>
    <row r="463" ht="15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  <c r="AA463" s="153"/>
      <c r="AB463" s="153"/>
      <c r="AC463" s="153"/>
      <c r="AD463" s="153"/>
      <c r="AE463" s="153"/>
      <c r="AF463" s="153"/>
      <c r="AG463" s="153"/>
    </row>
    <row r="464" ht="15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  <c r="AA464" s="153"/>
      <c r="AB464" s="153"/>
      <c r="AC464" s="153"/>
      <c r="AD464" s="153"/>
      <c r="AE464" s="153"/>
      <c r="AF464" s="153"/>
      <c r="AG464" s="153"/>
    </row>
    <row r="465" ht="15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  <c r="AA465" s="153"/>
      <c r="AB465" s="153"/>
      <c r="AC465" s="153"/>
      <c r="AD465" s="153"/>
      <c r="AE465" s="153"/>
      <c r="AF465" s="153"/>
      <c r="AG465" s="153"/>
    </row>
    <row r="466" ht="15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  <c r="AA466" s="153"/>
      <c r="AB466" s="153"/>
      <c r="AC466" s="153"/>
      <c r="AD466" s="153"/>
      <c r="AE466" s="153"/>
      <c r="AF466" s="153"/>
      <c r="AG466" s="153"/>
    </row>
    <row r="467" ht="15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  <c r="AA467" s="153"/>
      <c r="AB467" s="153"/>
      <c r="AC467" s="153"/>
      <c r="AD467" s="153"/>
      <c r="AE467" s="153"/>
      <c r="AF467" s="153"/>
      <c r="AG467" s="153"/>
    </row>
    <row r="468" ht="15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  <c r="AA468" s="153"/>
      <c r="AB468" s="153"/>
      <c r="AC468" s="153"/>
      <c r="AD468" s="153"/>
      <c r="AE468" s="153"/>
      <c r="AF468" s="153"/>
      <c r="AG468" s="153"/>
    </row>
    <row r="469" ht="15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  <c r="AA469" s="153"/>
      <c r="AB469" s="153"/>
      <c r="AC469" s="153"/>
      <c r="AD469" s="153"/>
      <c r="AE469" s="153"/>
      <c r="AF469" s="153"/>
      <c r="AG469" s="153"/>
    </row>
    <row r="470" ht="15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  <c r="AA470" s="153"/>
      <c r="AB470" s="153"/>
      <c r="AC470" s="153"/>
      <c r="AD470" s="153"/>
      <c r="AE470" s="153"/>
      <c r="AF470" s="153"/>
      <c r="AG470" s="153"/>
    </row>
    <row r="471" ht="15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  <c r="AA471" s="153"/>
      <c r="AB471" s="153"/>
      <c r="AC471" s="153"/>
      <c r="AD471" s="153"/>
      <c r="AE471" s="153"/>
      <c r="AF471" s="153"/>
      <c r="AG471" s="153"/>
    </row>
    <row r="472" ht="15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  <c r="AA472" s="153"/>
      <c r="AB472" s="153"/>
      <c r="AC472" s="153"/>
      <c r="AD472" s="153"/>
      <c r="AE472" s="153"/>
      <c r="AF472" s="153"/>
      <c r="AG472" s="153"/>
    </row>
    <row r="473" ht="15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  <c r="AA473" s="153"/>
      <c r="AB473" s="153"/>
      <c r="AC473" s="153"/>
      <c r="AD473" s="153"/>
      <c r="AE473" s="153"/>
      <c r="AF473" s="153"/>
      <c r="AG473" s="153"/>
    </row>
    <row r="474" ht="15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  <c r="AA474" s="153"/>
      <c r="AB474" s="153"/>
      <c r="AC474" s="153"/>
      <c r="AD474" s="153"/>
      <c r="AE474" s="153"/>
      <c r="AF474" s="153"/>
      <c r="AG474" s="153"/>
    </row>
    <row r="475" ht="15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  <c r="AA475" s="153"/>
      <c r="AB475" s="153"/>
      <c r="AC475" s="153"/>
      <c r="AD475" s="153"/>
      <c r="AE475" s="153"/>
      <c r="AF475" s="153"/>
      <c r="AG475" s="153"/>
    </row>
    <row r="476" ht="15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  <c r="AA476" s="153"/>
      <c r="AB476" s="153"/>
      <c r="AC476" s="153"/>
      <c r="AD476" s="153"/>
      <c r="AE476" s="153"/>
      <c r="AF476" s="153"/>
      <c r="AG476" s="153"/>
    </row>
    <row r="477" ht="15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  <c r="AA477" s="153"/>
      <c r="AB477" s="153"/>
      <c r="AC477" s="153"/>
      <c r="AD477" s="153"/>
      <c r="AE477" s="153"/>
      <c r="AF477" s="153"/>
      <c r="AG477" s="153"/>
    </row>
    <row r="478" ht="15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  <c r="AA478" s="153"/>
      <c r="AB478" s="153"/>
      <c r="AC478" s="153"/>
      <c r="AD478" s="153"/>
      <c r="AE478" s="153"/>
      <c r="AF478" s="153"/>
      <c r="AG478" s="153"/>
    </row>
    <row r="479" ht="15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  <c r="AA479" s="153"/>
      <c r="AB479" s="153"/>
      <c r="AC479" s="153"/>
      <c r="AD479" s="153"/>
      <c r="AE479" s="153"/>
      <c r="AF479" s="153"/>
      <c r="AG479" s="153"/>
    </row>
    <row r="480" ht="15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  <c r="AA480" s="153"/>
      <c r="AB480" s="153"/>
      <c r="AC480" s="153"/>
      <c r="AD480" s="153"/>
      <c r="AE480" s="153"/>
      <c r="AF480" s="153"/>
      <c r="AG480" s="153"/>
    </row>
    <row r="481" ht="15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  <c r="AA481" s="153"/>
      <c r="AB481" s="153"/>
      <c r="AC481" s="153"/>
      <c r="AD481" s="153"/>
      <c r="AE481" s="153"/>
      <c r="AF481" s="153"/>
      <c r="AG481" s="153"/>
    </row>
    <row r="482" ht="15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  <c r="AA482" s="153"/>
      <c r="AB482" s="153"/>
      <c r="AC482" s="153"/>
      <c r="AD482" s="153"/>
      <c r="AE482" s="153"/>
      <c r="AF482" s="153"/>
      <c r="AG482" s="153"/>
    </row>
    <row r="483" ht="15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  <c r="AA483" s="153"/>
      <c r="AB483" s="153"/>
      <c r="AC483" s="153"/>
      <c r="AD483" s="153"/>
      <c r="AE483" s="153"/>
      <c r="AF483" s="153"/>
      <c r="AG483" s="153"/>
    </row>
    <row r="484" ht="15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  <c r="AA484" s="153"/>
      <c r="AB484" s="153"/>
      <c r="AC484" s="153"/>
      <c r="AD484" s="153"/>
      <c r="AE484" s="153"/>
      <c r="AF484" s="153"/>
      <c r="AG484" s="153"/>
    </row>
    <row r="485" ht="15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  <c r="AA485" s="153"/>
      <c r="AB485" s="153"/>
      <c r="AC485" s="153"/>
      <c r="AD485" s="153"/>
      <c r="AE485" s="153"/>
      <c r="AF485" s="153"/>
      <c r="AG485" s="153"/>
    </row>
    <row r="486" ht="15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  <c r="AA486" s="153"/>
      <c r="AB486" s="153"/>
      <c r="AC486" s="153"/>
      <c r="AD486" s="153"/>
      <c r="AE486" s="153"/>
      <c r="AF486" s="153"/>
      <c r="AG486" s="153"/>
    </row>
    <row r="487" ht="15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  <c r="AA487" s="153"/>
      <c r="AB487" s="153"/>
      <c r="AC487" s="153"/>
      <c r="AD487" s="153"/>
      <c r="AE487" s="153"/>
      <c r="AF487" s="153"/>
      <c r="AG487" s="153"/>
    </row>
    <row r="488" ht="15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  <c r="AA488" s="153"/>
      <c r="AB488" s="153"/>
      <c r="AC488" s="153"/>
      <c r="AD488" s="153"/>
      <c r="AE488" s="153"/>
      <c r="AF488" s="153"/>
      <c r="AG488" s="153"/>
    </row>
    <row r="489" ht="15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  <c r="AA489" s="153"/>
      <c r="AB489" s="153"/>
      <c r="AC489" s="153"/>
      <c r="AD489" s="153"/>
      <c r="AE489" s="153"/>
      <c r="AF489" s="153"/>
      <c r="AG489" s="153"/>
    </row>
    <row r="490" ht="15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  <c r="AA490" s="153"/>
      <c r="AB490" s="153"/>
      <c r="AC490" s="153"/>
      <c r="AD490" s="153"/>
      <c r="AE490" s="153"/>
      <c r="AF490" s="153"/>
      <c r="AG490" s="153"/>
    </row>
    <row r="491" ht="15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  <c r="AA491" s="153"/>
      <c r="AB491" s="153"/>
      <c r="AC491" s="153"/>
      <c r="AD491" s="153"/>
      <c r="AE491" s="153"/>
      <c r="AF491" s="153"/>
      <c r="AG491" s="153"/>
    </row>
    <row r="492" ht="15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  <c r="AA492" s="153"/>
      <c r="AB492" s="153"/>
      <c r="AC492" s="153"/>
      <c r="AD492" s="153"/>
      <c r="AE492" s="153"/>
      <c r="AF492" s="153"/>
      <c r="AG492" s="153"/>
    </row>
    <row r="493" ht="15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  <c r="AA493" s="153"/>
      <c r="AB493" s="153"/>
      <c r="AC493" s="153"/>
      <c r="AD493" s="153"/>
      <c r="AE493" s="153"/>
      <c r="AF493" s="153"/>
      <c r="AG493" s="153"/>
    </row>
    <row r="494" ht="15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  <c r="AA494" s="153"/>
      <c r="AB494" s="153"/>
      <c r="AC494" s="153"/>
      <c r="AD494" s="153"/>
      <c r="AE494" s="153"/>
      <c r="AF494" s="153"/>
      <c r="AG494" s="153"/>
    </row>
    <row r="495" ht="15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  <c r="AA495" s="153"/>
      <c r="AB495" s="153"/>
      <c r="AC495" s="153"/>
      <c r="AD495" s="153"/>
      <c r="AE495" s="153"/>
      <c r="AF495" s="153"/>
      <c r="AG495" s="153"/>
    </row>
    <row r="496" ht="15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  <c r="AA496" s="153"/>
      <c r="AB496" s="153"/>
      <c r="AC496" s="153"/>
      <c r="AD496" s="153"/>
      <c r="AE496" s="153"/>
      <c r="AF496" s="153"/>
      <c r="AG496" s="153"/>
    </row>
    <row r="497" ht="15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  <c r="AA497" s="153"/>
      <c r="AB497" s="153"/>
      <c r="AC497" s="153"/>
      <c r="AD497" s="153"/>
      <c r="AE497" s="153"/>
      <c r="AF497" s="153"/>
      <c r="AG497" s="153"/>
    </row>
    <row r="498" ht="15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  <c r="AA498" s="153"/>
      <c r="AB498" s="153"/>
      <c r="AC498" s="153"/>
      <c r="AD498" s="153"/>
      <c r="AE498" s="153"/>
      <c r="AF498" s="153"/>
      <c r="AG498" s="153"/>
    </row>
    <row r="499" ht="15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  <c r="AA499" s="153"/>
      <c r="AB499" s="153"/>
      <c r="AC499" s="153"/>
      <c r="AD499" s="153"/>
      <c r="AE499" s="153"/>
      <c r="AF499" s="153"/>
      <c r="AG499" s="153"/>
    </row>
    <row r="500" ht="15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  <c r="AA500" s="153"/>
      <c r="AB500" s="153"/>
      <c r="AC500" s="153"/>
      <c r="AD500" s="153"/>
      <c r="AE500" s="153"/>
      <c r="AF500" s="153"/>
      <c r="AG500" s="153"/>
    </row>
    <row r="501" ht="15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  <c r="AA501" s="153"/>
      <c r="AB501" s="153"/>
      <c r="AC501" s="153"/>
      <c r="AD501" s="153"/>
      <c r="AE501" s="153"/>
      <c r="AF501" s="153"/>
      <c r="AG501" s="153"/>
    </row>
    <row r="502" ht="15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  <c r="AA502" s="153"/>
      <c r="AB502" s="153"/>
      <c r="AC502" s="153"/>
      <c r="AD502" s="153"/>
      <c r="AE502" s="153"/>
      <c r="AF502" s="153"/>
      <c r="AG502" s="153"/>
    </row>
    <row r="503" ht="15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  <c r="AA503" s="153"/>
      <c r="AB503" s="153"/>
      <c r="AC503" s="153"/>
      <c r="AD503" s="153"/>
      <c r="AE503" s="153"/>
      <c r="AF503" s="153"/>
      <c r="AG503" s="153"/>
    </row>
    <row r="504" ht="15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  <c r="AA504" s="153"/>
      <c r="AB504" s="153"/>
      <c r="AC504" s="153"/>
      <c r="AD504" s="153"/>
      <c r="AE504" s="153"/>
      <c r="AF504" s="153"/>
      <c r="AG504" s="153"/>
    </row>
    <row r="505" ht="15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  <c r="AA505" s="153"/>
      <c r="AB505" s="153"/>
      <c r="AC505" s="153"/>
      <c r="AD505" s="153"/>
      <c r="AE505" s="153"/>
      <c r="AF505" s="153"/>
      <c r="AG505" s="153"/>
    </row>
    <row r="506" ht="15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  <c r="AA506" s="153"/>
      <c r="AB506" s="153"/>
      <c r="AC506" s="153"/>
      <c r="AD506" s="153"/>
      <c r="AE506" s="153"/>
      <c r="AF506" s="153"/>
      <c r="AG506" s="153"/>
    </row>
    <row r="507" ht="15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</row>
    <row r="508" ht="15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  <c r="AA508" s="153"/>
      <c r="AB508" s="153"/>
      <c r="AC508" s="153"/>
      <c r="AD508" s="153"/>
      <c r="AE508" s="153"/>
      <c r="AF508" s="153"/>
      <c r="AG508" s="153"/>
    </row>
    <row r="509" ht="15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  <c r="AA509" s="153"/>
      <c r="AB509" s="153"/>
      <c r="AC509" s="153"/>
      <c r="AD509" s="153"/>
      <c r="AE509" s="153"/>
      <c r="AF509" s="153"/>
      <c r="AG509" s="153"/>
    </row>
    <row r="510" ht="15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  <c r="AA510" s="153"/>
      <c r="AB510" s="153"/>
      <c r="AC510" s="153"/>
      <c r="AD510" s="153"/>
      <c r="AE510" s="153"/>
      <c r="AF510" s="153"/>
      <c r="AG510" s="153"/>
    </row>
    <row r="511" ht="15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  <c r="AA511" s="153"/>
      <c r="AB511" s="153"/>
      <c r="AC511" s="153"/>
      <c r="AD511" s="153"/>
      <c r="AE511" s="153"/>
      <c r="AF511" s="153"/>
      <c r="AG511" s="153"/>
    </row>
    <row r="512" ht="15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  <c r="AA512" s="153"/>
      <c r="AB512" s="153"/>
      <c r="AC512" s="153"/>
      <c r="AD512" s="153"/>
      <c r="AE512" s="153"/>
      <c r="AF512" s="153"/>
      <c r="AG512" s="153"/>
    </row>
    <row r="513" ht="15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  <c r="AA513" s="153"/>
      <c r="AB513" s="153"/>
      <c r="AC513" s="153"/>
      <c r="AD513" s="153"/>
      <c r="AE513" s="153"/>
      <c r="AF513" s="153"/>
      <c r="AG513" s="153"/>
    </row>
    <row r="514" ht="15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  <c r="AA514" s="153"/>
      <c r="AB514" s="153"/>
      <c r="AC514" s="153"/>
      <c r="AD514" s="153"/>
      <c r="AE514" s="153"/>
      <c r="AF514" s="153"/>
      <c r="AG514" s="153"/>
    </row>
    <row r="515" ht="15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  <c r="AA515" s="153"/>
      <c r="AB515" s="153"/>
      <c r="AC515" s="153"/>
      <c r="AD515" s="153"/>
      <c r="AE515" s="153"/>
      <c r="AF515" s="153"/>
      <c r="AG515" s="153"/>
    </row>
    <row r="516" ht="15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  <c r="AA516" s="153"/>
      <c r="AB516" s="153"/>
      <c r="AC516" s="153"/>
      <c r="AD516" s="153"/>
      <c r="AE516" s="153"/>
      <c r="AF516" s="153"/>
      <c r="AG516" s="153"/>
    </row>
    <row r="517" ht="15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  <c r="AA517" s="153"/>
      <c r="AB517" s="153"/>
      <c r="AC517" s="153"/>
      <c r="AD517" s="153"/>
      <c r="AE517" s="153"/>
      <c r="AF517" s="153"/>
      <c r="AG517" s="153"/>
    </row>
    <row r="518" ht="15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  <c r="AA518" s="153"/>
      <c r="AB518" s="153"/>
      <c r="AC518" s="153"/>
      <c r="AD518" s="153"/>
      <c r="AE518" s="153"/>
      <c r="AF518" s="153"/>
      <c r="AG518" s="153"/>
    </row>
    <row r="519" ht="15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  <c r="AA519" s="153"/>
      <c r="AB519" s="153"/>
      <c r="AC519" s="153"/>
      <c r="AD519" s="153"/>
      <c r="AE519" s="153"/>
      <c r="AF519" s="153"/>
      <c r="AG519" s="153"/>
    </row>
    <row r="520" ht="15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  <c r="AA520" s="153"/>
      <c r="AB520" s="153"/>
      <c r="AC520" s="153"/>
      <c r="AD520" s="153"/>
      <c r="AE520" s="153"/>
      <c r="AF520" s="153"/>
      <c r="AG520" s="153"/>
    </row>
    <row r="521" ht="15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  <c r="AA521" s="153"/>
      <c r="AB521" s="153"/>
      <c r="AC521" s="153"/>
      <c r="AD521" s="153"/>
      <c r="AE521" s="153"/>
      <c r="AF521" s="153"/>
      <c r="AG521" s="153"/>
    </row>
    <row r="522" ht="15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  <c r="AA522" s="153"/>
      <c r="AB522" s="153"/>
      <c r="AC522" s="153"/>
      <c r="AD522" s="153"/>
      <c r="AE522" s="153"/>
      <c r="AF522" s="153"/>
      <c r="AG522" s="153"/>
    </row>
    <row r="523" ht="15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  <c r="AA523" s="153"/>
      <c r="AB523" s="153"/>
      <c r="AC523" s="153"/>
      <c r="AD523" s="153"/>
      <c r="AE523" s="153"/>
      <c r="AF523" s="153"/>
      <c r="AG523" s="153"/>
    </row>
    <row r="524" ht="15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  <c r="AA524" s="153"/>
      <c r="AB524" s="153"/>
      <c r="AC524" s="153"/>
      <c r="AD524" s="153"/>
      <c r="AE524" s="153"/>
      <c r="AF524" s="153"/>
      <c r="AG524" s="153"/>
    </row>
    <row r="525" ht="15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  <c r="AA525" s="153"/>
      <c r="AB525" s="153"/>
      <c r="AC525" s="153"/>
      <c r="AD525" s="153"/>
      <c r="AE525" s="153"/>
      <c r="AF525" s="153"/>
      <c r="AG525" s="153"/>
    </row>
    <row r="526" ht="15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  <c r="AA526" s="153"/>
      <c r="AB526" s="153"/>
      <c r="AC526" s="153"/>
      <c r="AD526" s="153"/>
      <c r="AE526" s="153"/>
      <c r="AF526" s="153"/>
      <c r="AG526" s="153"/>
    </row>
    <row r="527" ht="15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  <c r="AA527" s="153"/>
      <c r="AB527" s="153"/>
      <c r="AC527" s="153"/>
      <c r="AD527" s="153"/>
      <c r="AE527" s="153"/>
      <c r="AF527" s="153"/>
      <c r="AG527" s="153"/>
    </row>
    <row r="528" ht="15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  <c r="AA528" s="153"/>
      <c r="AB528" s="153"/>
      <c r="AC528" s="153"/>
      <c r="AD528" s="153"/>
      <c r="AE528" s="153"/>
      <c r="AF528" s="153"/>
      <c r="AG528" s="153"/>
    </row>
    <row r="529" ht="15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  <c r="AA529" s="153"/>
      <c r="AB529" s="153"/>
      <c r="AC529" s="153"/>
      <c r="AD529" s="153"/>
      <c r="AE529" s="153"/>
      <c r="AF529" s="153"/>
      <c r="AG529" s="153"/>
    </row>
    <row r="530" ht="15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  <c r="AA530" s="153"/>
      <c r="AB530" s="153"/>
      <c r="AC530" s="153"/>
      <c r="AD530" s="153"/>
      <c r="AE530" s="153"/>
      <c r="AF530" s="153"/>
      <c r="AG530" s="153"/>
    </row>
    <row r="531" ht="15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  <c r="AA531" s="153"/>
      <c r="AB531" s="153"/>
      <c r="AC531" s="153"/>
      <c r="AD531" s="153"/>
      <c r="AE531" s="153"/>
      <c r="AF531" s="153"/>
      <c r="AG531" s="153"/>
    </row>
    <row r="532" ht="15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  <c r="AA532" s="153"/>
      <c r="AB532" s="153"/>
      <c r="AC532" s="153"/>
      <c r="AD532" s="153"/>
      <c r="AE532" s="153"/>
      <c r="AF532" s="153"/>
      <c r="AG532" s="153"/>
    </row>
    <row r="533" ht="15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  <c r="AA533" s="153"/>
      <c r="AB533" s="153"/>
      <c r="AC533" s="153"/>
      <c r="AD533" s="153"/>
      <c r="AE533" s="153"/>
      <c r="AF533" s="153"/>
      <c r="AG533" s="153"/>
    </row>
    <row r="534" ht="15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  <c r="AA534" s="153"/>
      <c r="AB534" s="153"/>
      <c r="AC534" s="153"/>
      <c r="AD534" s="153"/>
      <c r="AE534" s="153"/>
      <c r="AF534" s="153"/>
      <c r="AG534" s="153"/>
    </row>
    <row r="535" ht="15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  <c r="AA535" s="153"/>
      <c r="AB535" s="153"/>
      <c r="AC535" s="153"/>
      <c r="AD535" s="153"/>
      <c r="AE535" s="153"/>
      <c r="AF535" s="153"/>
      <c r="AG535" s="153"/>
    </row>
    <row r="536" ht="15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  <c r="AA536" s="153"/>
      <c r="AB536" s="153"/>
      <c r="AC536" s="153"/>
      <c r="AD536" s="153"/>
      <c r="AE536" s="153"/>
      <c r="AF536" s="153"/>
      <c r="AG536" s="153"/>
    </row>
    <row r="537" ht="15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  <c r="AA537" s="153"/>
      <c r="AB537" s="153"/>
      <c r="AC537" s="153"/>
      <c r="AD537" s="153"/>
      <c r="AE537" s="153"/>
      <c r="AF537" s="153"/>
      <c r="AG537" s="153"/>
    </row>
    <row r="538" ht="15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  <c r="AA538" s="153"/>
      <c r="AB538" s="153"/>
      <c r="AC538" s="153"/>
      <c r="AD538" s="153"/>
      <c r="AE538" s="153"/>
      <c r="AF538" s="153"/>
      <c r="AG538" s="153"/>
    </row>
    <row r="539" ht="15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  <c r="AA539" s="153"/>
      <c r="AB539" s="153"/>
      <c r="AC539" s="153"/>
      <c r="AD539" s="153"/>
      <c r="AE539" s="153"/>
      <c r="AF539" s="153"/>
      <c r="AG539" s="153"/>
    </row>
    <row r="540" ht="15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  <c r="AA540" s="153"/>
      <c r="AB540" s="153"/>
      <c r="AC540" s="153"/>
      <c r="AD540" s="153"/>
      <c r="AE540" s="153"/>
      <c r="AF540" s="153"/>
      <c r="AG540" s="153"/>
    </row>
    <row r="541" ht="15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  <c r="AA541" s="153"/>
      <c r="AB541" s="153"/>
      <c r="AC541" s="153"/>
      <c r="AD541" s="153"/>
      <c r="AE541" s="153"/>
      <c r="AF541" s="153"/>
      <c r="AG541" s="153"/>
    </row>
    <row r="542" ht="15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  <c r="AA542" s="153"/>
      <c r="AB542" s="153"/>
      <c r="AC542" s="153"/>
      <c r="AD542" s="153"/>
      <c r="AE542" s="153"/>
      <c r="AF542" s="153"/>
      <c r="AG542" s="153"/>
    </row>
    <row r="543" ht="15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  <c r="AA543" s="153"/>
      <c r="AB543" s="153"/>
      <c r="AC543" s="153"/>
      <c r="AD543" s="153"/>
      <c r="AE543" s="153"/>
      <c r="AF543" s="153"/>
      <c r="AG543" s="153"/>
    </row>
    <row r="544" ht="15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  <c r="AA544" s="153"/>
      <c r="AB544" s="153"/>
      <c r="AC544" s="153"/>
      <c r="AD544" s="153"/>
      <c r="AE544" s="153"/>
      <c r="AF544" s="153"/>
      <c r="AG544" s="153"/>
    </row>
    <row r="545" ht="15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  <c r="AA545" s="153"/>
      <c r="AB545" s="153"/>
      <c r="AC545" s="153"/>
      <c r="AD545" s="153"/>
      <c r="AE545" s="153"/>
      <c r="AF545" s="153"/>
      <c r="AG545" s="153"/>
    </row>
    <row r="546" ht="15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  <c r="AA546" s="153"/>
      <c r="AB546" s="153"/>
      <c r="AC546" s="153"/>
      <c r="AD546" s="153"/>
      <c r="AE546" s="153"/>
      <c r="AF546" s="153"/>
      <c r="AG546" s="153"/>
    </row>
    <row r="547" ht="15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  <c r="AA547" s="153"/>
      <c r="AB547" s="153"/>
      <c r="AC547" s="153"/>
      <c r="AD547" s="153"/>
      <c r="AE547" s="153"/>
      <c r="AF547" s="153"/>
      <c r="AG547" s="153"/>
    </row>
    <row r="548" ht="15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  <c r="AA548" s="153"/>
      <c r="AB548" s="153"/>
      <c r="AC548" s="153"/>
      <c r="AD548" s="153"/>
      <c r="AE548" s="153"/>
      <c r="AF548" s="153"/>
      <c r="AG548" s="153"/>
    </row>
    <row r="549" ht="15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  <c r="AA549" s="153"/>
      <c r="AB549" s="153"/>
      <c r="AC549" s="153"/>
      <c r="AD549" s="153"/>
      <c r="AE549" s="153"/>
      <c r="AF549" s="153"/>
      <c r="AG549" s="153"/>
    </row>
    <row r="550" ht="15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  <c r="AA550" s="153"/>
      <c r="AB550" s="153"/>
      <c r="AC550" s="153"/>
      <c r="AD550" s="153"/>
      <c r="AE550" s="153"/>
      <c r="AF550" s="153"/>
      <c r="AG550" s="153"/>
    </row>
    <row r="551" ht="15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  <c r="AA551" s="153"/>
      <c r="AB551" s="153"/>
      <c r="AC551" s="153"/>
      <c r="AD551" s="153"/>
      <c r="AE551" s="153"/>
      <c r="AF551" s="153"/>
      <c r="AG551" s="153"/>
    </row>
    <row r="552" ht="15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  <c r="AA552" s="153"/>
      <c r="AB552" s="153"/>
      <c r="AC552" s="153"/>
      <c r="AD552" s="153"/>
      <c r="AE552" s="153"/>
      <c r="AF552" s="153"/>
      <c r="AG552" s="153"/>
    </row>
    <row r="553" ht="15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  <c r="AA553" s="153"/>
      <c r="AB553" s="153"/>
      <c r="AC553" s="153"/>
      <c r="AD553" s="153"/>
      <c r="AE553" s="153"/>
      <c r="AF553" s="153"/>
      <c r="AG553" s="153"/>
    </row>
    <row r="554" ht="15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  <c r="AA554" s="153"/>
      <c r="AB554" s="153"/>
      <c r="AC554" s="153"/>
      <c r="AD554" s="153"/>
      <c r="AE554" s="153"/>
      <c r="AF554" s="153"/>
      <c r="AG554" s="153"/>
    </row>
    <row r="555" ht="15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  <c r="AA555" s="153"/>
      <c r="AB555" s="153"/>
      <c r="AC555" s="153"/>
      <c r="AD555" s="153"/>
      <c r="AE555" s="153"/>
      <c r="AF555" s="153"/>
      <c r="AG555" s="153"/>
    </row>
    <row r="556" ht="15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  <c r="AA556" s="153"/>
      <c r="AB556" s="153"/>
      <c r="AC556" s="153"/>
      <c r="AD556" s="153"/>
      <c r="AE556" s="153"/>
      <c r="AF556" s="153"/>
      <c r="AG556" s="153"/>
    </row>
    <row r="557" ht="15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  <c r="AA557" s="153"/>
      <c r="AB557" s="153"/>
      <c r="AC557" s="153"/>
      <c r="AD557" s="153"/>
      <c r="AE557" s="153"/>
      <c r="AF557" s="153"/>
      <c r="AG557" s="153"/>
    </row>
    <row r="558" ht="15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  <c r="AA558" s="153"/>
      <c r="AB558" s="153"/>
      <c r="AC558" s="153"/>
      <c r="AD558" s="153"/>
      <c r="AE558" s="153"/>
      <c r="AF558" s="153"/>
      <c r="AG558" s="153"/>
    </row>
    <row r="559" ht="15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  <c r="AA559" s="153"/>
      <c r="AB559" s="153"/>
      <c r="AC559" s="153"/>
      <c r="AD559" s="153"/>
      <c r="AE559" s="153"/>
      <c r="AF559" s="153"/>
      <c r="AG559" s="153"/>
    </row>
    <row r="560" ht="15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  <c r="AA560" s="153"/>
      <c r="AB560" s="153"/>
      <c r="AC560" s="153"/>
      <c r="AD560" s="153"/>
      <c r="AE560" s="153"/>
      <c r="AF560" s="153"/>
      <c r="AG560" s="153"/>
    </row>
    <row r="561" ht="15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  <c r="AA561" s="153"/>
      <c r="AB561" s="153"/>
      <c r="AC561" s="153"/>
      <c r="AD561" s="153"/>
      <c r="AE561" s="153"/>
      <c r="AF561" s="153"/>
      <c r="AG561" s="153"/>
    </row>
    <row r="562" ht="15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  <c r="AA562" s="153"/>
      <c r="AB562" s="153"/>
      <c r="AC562" s="153"/>
      <c r="AD562" s="153"/>
      <c r="AE562" s="153"/>
      <c r="AF562" s="153"/>
      <c r="AG562" s="153"/>
    </row>
    <row r="563" ht="15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  <c r="AA563" s="153"/>
      <c r="AB563" s="153"/>
      <c r="AC563" s="153"/>
      <c r="AD563" s="153"/>
      <c r="AE563" s="153"/>
      <c r="AF563" s="153"/>
      <c r="AG563" s="153"/>
    </row>
    <row r="564" ht="15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  <c r="AA564" s="153"/>
      <c r="AB564" s="153"/>
      <c r="AC564" s="153"/>
      <c r="AD564" s="153"/>
      <c r="AE564" s="153"/>
      <c r="AF564" s="153"/>
      <c r="AG564" s="153"/>
    </row>
    <row r="565" ht="15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  <c r="AA565" s="153"/>
      <c r="AB565" s="153"/>
      <c r="AC565" s="153"/>
      <c r="AD565" s="153"/>
      <c r="AE565" s="153"/>
      <c r="AF565" s="153"/>
      <c r="AG565" s="153"/>
    </row>
    <row r="566" ht="15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  <c r="AA566" s="153"/>
      <c r="AB566" s="153"/>
      <c r="AC566" s="153"/>
      <c r="AD566" s="153"/>
      <c r="AE566" s="153"/>
      <c r="AF566" s="153"/>
      <c r="AG566" s="153"/>
    </row>
    <row r="567" ht="15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  <c r="AA567" s="153"/>
      <c r="AB567" s="153"/>
      <c r="AC567" s="153"/>
      <c r="AD567" s="153"/>
      <c r="AE567" s="153"/>
      <c r="AF567" s="153"/>
      <c r="AG567" s="153"/>
    </row>
    <row r="568" ht="15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  <c r="AA568" s="153"/>
      <c r="AB568" s="153"/>
      <c r="AC568" s="153"/>
      <c r="AD568" s="153"/>
      <c r="AE568" s="153"/>
      <c r="AF568" s="153"/>
      <c r="AG568" s="153"/>
    </row>
    <row r="569" ht="15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  <c r="AA569" s="153"/>
      <c r="AB569" s="153"/>
      <c r="AC569" s="153"/>
      <c r="AD569" s="153"/>
      <c r="AE569" s="153"/>
      <c r="AF569" s="153"/>
      <c r="AG569" s="153"/>
    </row>
    <row r="570" ht="15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  <c r="AA570" s="153"/>
      <c r="AB570" s="153"/>
      <c r="AC570" s="153"/>
      <c r="AD570" s="153"/>
      <c r="AE570" s="153"/>
      <c r="AF570" s="153"/>
      <c r="AG570" s="153"/>
    </row>
    <row r="571" ht="15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  <c r="AA571" s="153"/>
      <c r="AB571" s="153"/>
      <c r="AC571" s="153"/>
      <c r="AD571" s="153"/>
      <c r="AE571" s="153"/>
      <c r="AF571" s="153"/>
      <c r="AG571" s="153"/>
    </row>
    <row r="572" ht="15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  <c r="AA572" s="153"/>
      <c r="AB572" s="153"/>
      <c r="AC572" s="153"/>
      <c r="AD572" s="153"/>
      <c r="AE572" s="153"/>
      <c r="AF572" s="153"/>
      <c r="AG572" s="153"/>
    </row>
    <row r="573" ht="15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  <c r="AA573" s="153"/>
      <c r="AB573" s="153"/>
      <c r="AC573" s="153"/>
      <c r="AD573" s="153"/>
      <c r="AE573" s="153"/>
      <c r="AF573" s="153"/>
      <c r="AG573" s="153"/>
    </row>
    <row r="574" ht="15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  <c r="AA574" s="153"/>
      <c r="AB574" s="153"/>
      <c r="AC574" s="153"/>
      <c r="AD574" s="153"/>
      <c r="AE574" s="153"/>
      <c r="AF574" s="153"/>
      <c r="AG574" s="153"/>
    </row>
    <row r="575" ht="15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  <c r="AA575" s="153"/>
      <c r="AB575" s="153"/>
      <c r="AC575" s="153"/>
      <c r="AD575" s="153"/>
      <c r="AE575" s="153"/>
      <c r="AF575" s="153"/>
      <c r="AG575" s="153"/>
    </row>
    <row r="576" ht="15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  <c r="AA576" s="153"/>
      <c r="AB576" s="153"/>
      <c r="AC576" s="153"/>
      <c r="AD576" s="153"/>
      <c r="AE576" s="153"/>
      <c r="AF576" s="153"/>
      <c r="AG576" s="153"/>
    </row>
    <row r="577" ht="15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  <c r="AA577" s="153"/>
      <c r="AB577" s="153"/>
      <c r="AC577" s="153"/>
      <c r="AD577" s="153"/>
      <c r="AE577" s="153"/>
      <c r="AF577" s="153"/>
      <c r="AG577" s="153"/>
    </row>
    <row r="578" ht="15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  <c r="AA578" s="153"/>
      <c r="AB578" s="153"/>
      <c r="AC578" s="153"/>
      <c r="AD578" s="153"/>
      <c r="AE578" s="153"/>
      <c r="AF578" s="153"/>
      <c r="AG578" s="153"/>
    </row>
    <row r="579" ht="15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  <c r="AA579" s="153"/>
      <c r="AB579" s="153"/>
      <c r="AC579" s="153"/>
      <c r="AD579" s="153"/>
      <c r="AE579" s="153"/>
      <c r="AF579" s="153"/>
      <c r="AG579" s="153"/>
    </row>
    <row r="580" ht="15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  <c r="AA580" s="153"/>
      <c r="AB580" s="153"/>
      <c r="AC580" s="153"/>
      <c r="AD580" s="153"/>
      <c r="AE580" s="153"/>
      <c r="AF580" s="153"/>
      <c r="AG580" s="153"/>
    </row>
    <row r="581" ht="15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  <c r="AA581" s="153"/>
      <c r="AB581" s="153"/>
      <c r="AC581" s="153"/>
      <c r="AD581" s="153"/>
      <c r="AE581" s="153"/>
      <c r="AF581" s="153"/>
      <c r="AG581" s="153"/>
    </row>
    <row r="582" ht="15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  <c r="AA582" s="153"/>
      <c r="AB582" s="153"/>
      <c r="AC582" s="153"/>
      <c r="AD582" s="153"/>
      <c r="AE582" s="153"/>
      <c r="AF582" s="153"/>
      <c r="AG582" s="153"/>
    </row>
    <row r="583" ht="15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  <c r="AA583" s="153"/>
      <c r="AB583" s="153"/>
      <c r="AC583" s="153"/>
      <c r="AD583" s="153"/>
      <c r="AE583" s="153"/>
      <c r="AF583" s="153"/>
      <c r="AG583" s="153"/>
    </row>
    <row r="584" ht="15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  <c r="AA584" s="153"/>
      <c r="AB584" s="153"/>
      <c r="AC584" s="153"/>
      <c r="AD584" s="153"/>
      <c r="AE584" s="153"/>
      <c r="AF584" s="153"/>
      <c r="AG584" s="153"/>
    </row>
    <row r="585" ht="15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  <c r="AA585" s="153"/>
      <c r="AB585" s="153"/>
      <c r="AC585" s="153"/>
      <c r="AD585" s="153"/>
      <c r="AE585" s="153"/>
      <c r="AF585" s="153"/>
      <c r="AG585" s="153"/>
    </row>
    <row r="586" ht="15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  <c r="AA586" s="153"/>
      <c r="AB586" s="153"/>
      <c r="AC586" s="153"/>
      <c r="AD586" s="153"/>
      <c r="AE586" s="153"/>
      <c r="AF586" s="153"/>
      <c r="AG586" s="153"/>
    </row>
    <row r="587" ht="15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  <c r="AA587" s="153"/>
      <c r="AB587" s="153"/>
      <c r="AC587" s="153"/>
      <c r="AD587" s="153"/>
      <c r="AE587" s="153"/>
      <c r="AF587" s="153"/>
      <c r="AG587" s="153"/>
    </row>
    <row r="588" ht="15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  <c r="AA588" s="153"/>
      <c r="AB588" s="153"/>
      <c r="AC588" s="153"/>
      <c r="AD588" s="153"/>
      <c r="AE588" s="153"/>
      <c r="AF588" s="153"/>
      <c r="AG588" s="153"/>
    </row>
    <row r="589" ht="15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  <c r="AA589" s="153"/>
      <c r="AB589" s="153"/>
      <c r="AC589" s="153"/>
      <c r="AD589" s="153"/>
      <c r="AE589" s="153"/>
      <c r="AF589" s="153"/>
      <c r="AG589" s="153"/>
    </row>
    <row r="590" ht="15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  <c r="AA590" s="153"/>
      <c r="AB590" s="153"/>
      <c r="AC590" s="153"/>
      <c r="AD590" s="153"/>
      <c r="AE590" s="153"/>
      <c r="AF590" s="153"/>
      <c r="AG590" s="153"/>
    </row>
    <row r="591" ht="15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  <c r="AA591" s="153"/>
      <c r="AB591" s="153"/>
      <c r="AC591" s="153"/>
      <c r="AD591" s="153"/>
      <c r="AE591" s="153"/>
      <c r="AF591" s="153"/>
      <c r="AG591" s="153"/>
    </row>
    <row r="592" ht="15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  <c r="AA592" s="153"/>
      <c r="AB592" s="153"/>
      <c r="AC592" s="153"/>
      <c r="AD592" s="153"/>
      <c r="AE592" s="153"/>
      <c r="AF592" s="153"/>
      <c r="AG592" s="153"/>
    </row>
    <row r="593" ht="15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  <c r="AA593" s="153"/>
      <c r="AB593" s="153"/>
      <c r="AC593" s="153"/>
      <c r="AD593" s="153"/>
      <c r="AE593" s="153"/>
      <c r="AF593" s="153"/>
      <c r="AG593" s="153"/>
    </row>
    <row r="594" ht="15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  <c r="AA594" s="153"/>
      <c r="AB594" s="153"/>
      <c r="AC594" s="153"/>
      <c r="AD594" s="153"/>
      <c r="AE594" s="153"/>
      <c r="AF594" s="153"/>
      <c r="AG594" s="153"/>
    </row>
    <row r="595" ht="15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  <c r="AA595" s="153"/>
      <c r="AB595" s="153"/>
      <c r="AC595" s="153"/>
      <c r="AD595" s="153"/>
      <c r="AE595" s="153"/>
      <c r="AF595" s="153"/>
      <c r="AG595" s="153"/>
    </row>
    <row r="596" ht="15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  <c r="AA596" s="153"/>
      <c r="AB596" s="153"/>
      <c r="AC596" s="153"/>
      <c r="AD596" s="153"/>
      <c r="AE596" s="153"/>
      <c r="AF596" s="153"/>
      <c r="AG596" s="153"/>
    </row>
    <row r="597" ht="15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  <c r="AA597" s="153"/>
      <c r="AB597" s="153"/>
      <c r="AC597" s="153"/>
      <c r="AD597" s="153"/>
      <c r="AE597" s="153"/>
      <c r="AF597" s="153"/>
      <c r="AG597" s="153"/>
    </row>
    <row r="598" ht="15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  <c r="AA598" s="153"/>
      <c r="AB598" s="153"/>
      <c r="AC598" s="153"/>
      <c r="AD598" s="153"/>
      <c r="AE598" s="153"/>
      <c r="AF598" s="153"/>
      <c r="AG598" s="153"/>
    </row>
    <row r="599" ht="15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  <c r="AA599" s="153"/>
      <c r="AB599" s="153"/>
      <c r="AC599" s="153"/>
      <c r="AD599" s="153"/>
      <c r="AE599" s="153"/>
      <c r="AF599" s="153"/>
      <c r="AG599" s="153"/>
    </row>
    <row r="600" ht="15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  <c r="AA600" s="153"/>
      <c r="AB600" s="153"/>
      <c r="AC600" s="153"/>
      <c r="AD600" s="153"/>
      <c r="AE600" s="153"/>
      <c r="AF600" s="153"/>
      <c r="AG600" s="153"/>
    </row>
    <row r="601" ht="15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  <c r="AA601" s="153"/>
      <c r="AB601" s="153"/>
      <c r="AC601" s="153"/>
      <c r="AD601" s="153"/>
      <c r="AE601" s="153"/>
      <c r="AF601" s="153"/>
      <c r="AG601" s="153"/>
    </row>
    <row r="602" ht="15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  <c r="AA602" s="153"/>
      <c r="AB602" s="153"/>
      <c r="AC602" s="153"/>
      <c r="AD602" s="153"/>
      <c r="AE602" s="153"/>
      <c r="AF602" s="153"/>
      <c r="AG602" s="153"/>
    </row>
    <row r="603" ht="15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  <c r="AA603" s="153"/>
      <c r="AB603" s="153"/>
      <c r="AC603" s="153"/>
      <c r="AD603" s="153"/>
      <c r="AE603" s="153"/>
      <c r="AF603" s="153"/>
      <c r="AG603" s="153"/>
    </row>
    <row r="604" ht="15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  <c r="AA604" s="153"/>
      <c r="AB604" s="153"/>
      <c r="AC604" s="153"/>
      <c r="AD604" s="153"/>
      <c r="AE604" s="153"/>
      <c r="AF604" s="153"/>
      <c r="AG604" s="153"/>
    </row>
    <row r="605" ht="15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  <c r="AA605" s="153"/>
      <c r="AB605" s="153"/>
      <c r="AC605" s="153"/>
      <c r="AD605" s="153"/>
      <c r="AE605" s="153"/>
      <c r="AF605" s="153"/>
      <c r="AG605" s="153"/>
    </row>
    <row r="606" ht="15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  <c r="AA606" s="153"/>
      <c r="AB606" s="153"/>
      <c r="AC606" s="153"/>
      <c r="AD606" s="153"/>
      <c r="AE606" s="153"/>
      <c r="AF606" s="153"/>
      <c r="AG606" s="153"/>
    </row>
    <row r="607" ht="15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  <c r="AA607" s="153"/>
      <c r="AB607" s="153"/>
      <c r="AC607" s="153"/>
      <c r="AD607" s="153"/>
      <c r="AE607" s="153"/>
      <c r="AF607" s="153"/>
      <c r="AG607" s="153"/>
    </row>
    <row r="608" ht="15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  <c r="AA608" s="153"/>
      <c r="AB608" s="153"/>
      <c r="AC608" s="153"/>
      <c r="AD608" s="153"/>
      <c r="AE608" s="153"/>
      <c r="AF608" s="153"/>
      <c r="AG608" s="153"/>
    </row>
    <row r="609" ht="15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  <c r="AA609" s="153"/>
      <c r="AB609" s="153"/>
      <c r="AC609" s="153"/>
      <c r="AD609" s="153"/>
      <c r="AE609" s="153"/>
      <c r="AF609" s="153"/>
      <c r="AG609" s="153"/>
    </row>
    <row r="610" ht="15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  <c r="AA610" s="153"/>
      <c r="AB610" s="153"/>
      <c r="AC610" s="153"/>
      <c r="AD610" s="153"/>
      <c r="AE610" s="153"/>
      <c r="AF610" s="153"/>
      <c r="AG610" s="153"/>
    </row>
    <row r="611" ht="15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  <c r="AA611" s="153"/>
      <c r="AB611" s="153"/>
      <c r="AC611" s="153"/>
      <c r="AD611" s="153"/>
      <c r="AE611" s="153"/>
      <c r="AF611" s="153"/>
      <c r="AG611" s="153"/>
    </row>
    <row r="612" ht="15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  <c r="AA612" s="153"/>
      <c r="AB612" s="153"/>
      <c r="AC612" s="153"/>
      <c r="AD612" s="153"/>
      <c r="AE612" s="153"/>
      <c r="AF612" s="153"/>
      <c r="AG612" s="153"/>
    </row>
    <row r="613" ht="15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  <c r="AA613" s="153"/>
      <c r="AB613" s="153"/>
      <c r="AC613" s="153"/>
      <c r="AD613" s="153"/>
      <c r="AE613" s="153"/>
      <c r="AF613" s="153"/>
      <c r="AG613" s="153"/>
    </row>
    <row r="614" ht="15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  <c r="AA614" s="153"/>
      <c r="AB614" s="153"/>
      <c r="AC614" s="153"/>
      <c r="AD614" s="153"/>
      <c r="AE614" s="153"/>
      <c r="AF614" s="153"/>
      <c r="AG614" s="153"/>
    </row>
    <row r="615" ht="15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  <c r="AA615" s="153"/>
      <c r="AB615" s="153"/>
      <c r="AC615" s="153"/>
      <c r="AD615" s="153"/>
      <c r="AE615" s="153"/>
      <c r="AF615" s="153"/>
      <c r="AG615" s="153"/>
    </row>
    <row r="616" ht="15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  <c r="AA616" s="153"/>
      <c r="AB616" s="153"/>
      <c r="AC616" s="153"/>
      <c r="AD616" s="153"/>
      <c r="AE616" s="153"/>
      <c r="AF616" s="153"/>
      <c r="AG616" s="153"/>
    </row>
    <row r="617" ht="15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  <c r="AA617" s="153"/>
      <c r="AB617" s="153"/>
      <c r="AC617" s="153"/>
      <c r="AD617" s="153"/>
      <c r="AE617" s="153"/>
      <c r="AF617" s="153"/>
      <c r="AG617" s="153"/>
    </row>
    <row r="618" ht="15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  <c r="AA618" s="153"/>
      <c r="AB618" s="153"/>
      <c r="AC618" s="153"/>
      <c r="AD618" s="153"/>
      <c r="AE618" s="153"/>
      <c r="AF618" s="153"/>
      <c r="AG618" s="153"/>
    </row>
    <row r="619" ht="15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  <c r="AA619" s="153"/>
      <c r="AB619" s="153"/>
      <c r="AC619" s="153"/>
      <c r="AD619" s="153"/>
      <c r="AE619" s="153"/>
      <c r="AF619" s="153"/>
      <c r="AG619" s="153"/>
    </row>
    <row r="620" ht="15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  <c r="AA620" s="153"/>
      <c r="AB620" s="153"/>
      <c r="AC620" s="153"/>
      <c r="AD620" s="153"/>
      <c r="AE620" s="153"/>
      <c r="AF620" s="153"/>
      <c r="AG620" s="153"/>
    </row>
    <row r="621" ht="15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  <c r="AA621" s="153"/>
      <c r="AB621" s="153"/>
      <c r="AC621" s="153"/>
      <c r="AD621" s="153"/>
      <c r="AE621" s="153"/>
      <c r="AF621" s="153"/>
      <c r="AG621" s="153"/>
    </row>
    <row r="622" ht="15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  <c r="AA622" s="153"/>
      <c r="AB622" s="153"/>
      <c r="AC622" s="153"/>
      <c r="AD622" s="153"/>
      <c r="AE622" s="153"/>
      <c r="AF622" s="153"/>
      <c r="AG622" s="153"/>
    </row>
    <row r="623" ht="15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  <c r="AA623" s="153"/>
      <c r="AB623" s="153"/>
      <c r="AC623" s="153"/>
      <c r="AD623" s="153"/>
      <c r="AE623" s="153"/>
      <c r="AF623" s="153"/>
      <c r="AG623" s="153"/>
    </row>
    <row r="624" ht="15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  <c r="AA624" s="153"/>
      <c r="AB624" s="153"/>
      <c r="AC624" s="153"/>
      <c r="AD624" s="153"/>
      <c r="AE624" s="153"/>
      <c r="AF624" s="153"/>
      <c r="AG624" s="153"/>
    </row>
    <row r="625" ht="15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  <c r="AA625" s="153"/>
      <c r="AB625" s="153"/>
      <c r="AC625" s="153"/>
      <c r="AD625" s="153"/>
      <c r="AE625" s="153"/>
      <c r="AF625" s="153"/>
      <c r="AG625" s="153"/>
    </row>
    <row r="626" ht="15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  <c r="AA626" s="153"/>
      <c r="AB626" s="153"/>
      <c r="AC626" s="153"/>
      <c r="AD626" s="153"/>
      <c r="AE626" s="153"/>
      <c r="AF626" s="153"/>
      <c r="AG626" s="153"/>
    </row>
    <row r="627" ht="15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  <c r="AA627" s="153"/>
      <c r="AB627" s="153"/>
      <c r="AC627" s="153"/>
      <c r="AD627" s="153"/>
      <c r="AE627" s="153"/>
      <c r="AF627" s="153"/>
      <c r="AG627" s="153"/>
    </row>
    <row r="628" ht="15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  <c r="AA628" s="153"/>
      <c r="AB628" s="153"/>
      <c r="AC628" s="153"/>
      <c r="AD628" s="153"/>
      <c r="AE628" s="153"/>
      <c r="AF628" s="153"/>
      <c r="AG628" s="153"/>
    </row>
    <row r="629" ht="15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  <c r="AA629" s="153"/>
      <c r="AB629" s="153"/>
      <c r="AC629" s="153"/>
      <c r="AD629" s="153"/>
      <c r="AE629" s="153"/>
      <c r="AF629" s="153"/>
      <c r="AG629" s="153"/>
    </row>
    <row r="630" ht="15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  <c r="AA630" s="153"/>
      <c r="AB630" s="153"/>
      <c r="AC630" s="153"/>
      <c r="AD630" s="153"/>
      <c r="AE630" s="153"/>
      <c r="AF630" s="153"/>
      <c r="AG630" s="153"/>
    </row>
    <row r="631" ht="15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  <c r="AA631" s="153"/>
      <c r="AB631" s="153"/>
      <c r="AC631" s="153"/>
      <c r="AD631" s="153"/>
      <c r="AE631" s="153"/>
      <c r="AF631" s="153"/>
      <c r="AG631" s="153"/>
    </row>
    <row r="632" ht="15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  <c r="AA632" s="153"/>
      <c r="AB632" s="153"/>
      <c r="AC632" s="153"/>
      <c r="AD632" s="153"/>
      <c r="AE632" s="153"/>
      <c r="AF632" s="153"/>
      <c r="AG632" s="153"/>
    </row>
    <row r="633" ht="15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  <c r="AA633" s="153"/>
      <c r="AB633" s="153"/>
      <c r="AC633" s="153"/>
      <c r="AD633" s="153"/>
      <c r="AE633" s="153"/>
      <c r="AF633" s="153"/>
      <c r="AG633" s="153"/>
    </row>
    <row r="634" ht="15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  <c r="AA634" s="153"/>
      <c r="AB634" s="153"/>
      <c r="AC634" s="153"/>
      <c r="AD634" s="153"/>
      <c r="AE634" s="153"/>
      <c r="AF634" s="153"/>
      <c r="AG634" s="153"/>
    </row>
    <row r="635" ht="15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  <c r="AA635" s="153"/>
      <c r="AB635" s="153"/>
      <c r="AC635" s="153"/>
      <c r="AD635" s="153"/>
      <c r="AE635" s="153"/>
      <c r="AF635" s="153"/>
      <c r="AG635" s="153"/>
    </row>
    <row r="636" ht="15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  <c r="AA636" s="153"/>
      <c r="AB636" s="153"/>
      <c r="AC636" s="153"/>
      <c r="AD636" s="153"/>
      <c r="AE636" s="153"/>
      <c r="AF636" s="153"/>
      <c r="AG636" s="153"/>
    </row>
    <row r="637" ht="15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  <c r="AA637" s="153"/>
      <c r="AB637" s="153"/>
      <c r="AC637" s="153"/>
      <c r="AD637" s="153"/>
      <c r="AE637" s="153"/>
      <c r="AF637" s="153"/>
      <c r="AG637" s="153"/>
    </row>
    <row r="638" ht="15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  <c r="AA638" s="153"/>
      <c r="AB638" s="153"/>
      <c r="AC638" s="153"/>
      <c r="AD638" s="153"/>
      <c r="AE638" s="153"/>
      <c r="AF638" s="153"/>
      <c r="AG638" s="153"/>
    </row>
    <row r="639" ht="15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  <c r="AA639" s="153"/>
      <c r="AB639" s="153"/>
      <c r="AC639" s="153"/>
      <c r="AD639" s="153"/>
      <c r="AE639" s="153"/>
      <c r="AF639" s="153"/>
      <c r="AG639" s="153"/>
    </row>
    <row r="640" ht="15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  <c r="AA640" s="153"/>
      <c r="AB640" s="153"/>
      <c r="AC640" s="153"/>
      <c r="AD640" s="153"/>
      <c r="AE640" s="153"/>
      <c r="AF640" s="153"/>
      <c r="AG640" s="153"/>
    </row>
    <row r="641" ht="15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  <c r="AA641" s="153"/>
      <c r="AB641" s="153"/>
      <c r="AC641" s="153"/>
      <c r="AD641" s="153"/>
      <c r="AE641" s="153"/>
      <c r="AF641" s="153"/>
      <c r="AG641" s="153"/>
    </row>
    <row r="642" ht="15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  <c r="AA642" s="153"/>
      <c r="AB642" s="153"/>
      <c r="AC642" s="153"/>
      <c r="AD642" s="153"/>
      <c r="AE642" s="153"/>
      <c r="AF642" s="153"/>
      <c r="AG642" s="153"/>
    </row>
    <row r="643" ht="15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  <c r="AA643" s="153"/>
      <c r="AB643" s="153"/>
      <c r="AC643" s="153"/>
      <c r="AD643" s="153"/>
      <c r="AE643" s="153"/>
      <c r="AF643" s="153"/>
      <c r="AG643" s="153"/>
    </row>
    <row r="644" ht="15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  <c r="AA644" s="153"/>
      <c r="AB644" s="153"/>
      <c r="AC644" s="153"/>
      <c r="AD644" s="153"/>
      <c r="AE644" s="153"/>
      <c r="AF644" s="153"/>
      <c r="AG644" s="153"/>
    </row>
    <row r="645" ht="15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  <c r="AA645" s="153"/>
      <c r="AB645" s="153"/>
      <c r="AC645" s="153"/>
      <c r="AD645" s="153"/>
      <c r="AE645" s="153"/>
      <c r="AF645" s="153"/>
      <c r="AG645" s="153"/>
    </row>
    <row r="646" ht="15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  <c r="AA646" s="153"/>
      <c r="AB646" s="153"/>
      <c r="AC646" s="153"/>
      <c r="AD646" s="153"/>
      <c r="AE646" s="153"/>
      <c r="AF646" s="153"/>
      <c r="AG646" s="153"/>
    </row>
    <row r="647" ht="15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  <c r="AA647" s="153"/>
      <c r="AB647" s="153"/>
      <c r="AC647" s="153"/>
      <c r="AD647" s="153"/>
      <c r="AE647" s="153"/>
      <c r="AF647" s="153"/>
      <c r="AG647" s="153"/>
    </row>
    <row r="648" ht="15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  <c r="AA648" s="153"/>
      <c r="AB648" s="153"/>
      <c r="AC648" s="153"/>
      <c r="AD648" s="153"/>
      <c r="AE648" s="153"/>
      <c r="AF648" s="153"/>
      <c r="AG648" s="153"/>
    </row>
    <row r="649" ht="15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  <c r="AA649" s="153"/>
      <c r="AB649" s="153"/>
      <c r="AC649" s="153"/>
      <c r="AD649" s="153"/>
      <c r="AE649" s="153"/>
      <c r="AF649" s="153"/>
      <c r="AG649" s="153"/>
    </row>
    <row r="650" ht="15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  <c r="AA650" s="153"/>
      <c r="AB650" s="153"/>
      <c r="AC650" s="153"/>
      <c r="AD650" s="153"/>
      <c r="AE650" s="153"/>
      <c r="AF650" s="153"/>
      <c r="AG650" s="153"/>
    </row>
    <row r="651" ht="15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  <c r="AA651" s="153"/>
      <c r="AB651" s="153"/>
      <c r="AC651" s="153"/>
      <c r="AD651" s="153"/>
      <c r="AE651" s="153"/>
      <c r="AF651" s="153"/>
      <c r="AG651" s="153"/>
    </row>
    <row r="652" ht="15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  <c r="AA652" s="153"/>
      <c r="AB652" s="153"/>
      <c r="AC652" s="153"/>
      <c r="AD652" s="153"/>
      <c r="AE652" s="153"/>
      <c r="AF652" s="153"/>
      <c r="AG652" s="153"/>
    </row>
    <row r="653" ht="15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  <c r="AA653" s="153"/>
      <c r="AB653" s="153"/>
      <c r="AC653" s="153"/>
      <c r="AD653" s="153"/>
      <c r="AE653" s="153"/>
      <c r="AF653" s="153"/>
      <c r="AG653" s="153"/>
    </row>
    <row r="654" ht="15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  <c r="AA654" s="153"/>
      <c r="AB654" s="153"/>
      <c r="AC654" s="153"/>
      <c r="AD654" s="153"/>
      <c r="AE654" s="153"/>
      <c r="AF654" s="153"/>
      <c r="AG654" s="153"/>
    </row>
    <row r="655" ht="15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  <c r="AA655" s="153"/>
      <c r="AB655" s="153"/>
      <c r="AC655" s="153"/>
      <c r="AD655" s="153"/>
      <c r="AE655" s="153"/>
      <c r="AF655" s="153"/>
      <c r="AG655" s="153"/>
    </row>
    <row r="656" ht="15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  <c r="AA656" s="153"/>
      <c r="AB656" s="153"/>
      <c r="AC656" s="153"/>
      <c r="AD656" s="153"/>
      <c r="AE656" s="153"/>
      <c r="AF656" s="153"/>
      <c r="AG656" s="153"/>
    </row>
    <row r="657" ht="15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  <c r="AA657" s="153"/>
      <c r="AB657" s="153"/>
      <c r="AC657" s="153"/>
      <c r="AD657" s="153"/>
      <c r="AE657" s="153"/>
      <c r="AF657" s="153"/>
      <c r="AG657" s="153"/>
    </row>
    <row r="658" ht="15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  <c r="AA658" s="153"/>
      <c r="AB658" s="153"/>
      <c r="AC658" s="153"/>
      <c r="AD658" s="153"/>
      <c r="AE658" s="153"/>
      <c r="AF658" s="153"/>
      <c r="AG658" s="153"/>
    </row>
    <row r="659" ht="15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  <c r="AA659" s="153"/>
      <c r="AB659" s="153"/>
      <c r="AC659" s="153"/>
      <c r="AD659" s="153"/>
      <c r="AE659" s="153"/>
      <c r="AF659" s="153"/>
      <c r="AG659" s="153"/>
    </row>
    <row r="660" ht="15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  <c r="AA660" s="153"/>
      <c r="AB660" s="153"/>
      <c r="AC660" s="153"/>
      <c r="AD660" s="153"/>
      <c r="AE660" s="153"/>
      <c r="AF660" s="153"/>
      <c r="AG660" s="153"/>
    </row>
    <row r="661" ht="15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  <c r="AA661" s="153"/>
      <c r="AB661" s="153"/>
      <c r="AC661" s="153"/>
      <c r="AD661" s="153"/>
      <c r="AE661" s="153"/>
      <c r="AF661" s="153"/>
      <c r="AG661" s="153"/>
    </row>
    <row r="662" ht="15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  <c r="AA662" s="153"/>
      <c r="AB662" s="153"/>
      <c r="AC662" s="153"/>
      <c r="AD662" s="153"/>
      <c r="AE662" s="153"/>
      <c r="AF662" s="153"/>
      <c r="AG662" s="153"/>
    </row>
    <row r="663" ht="15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  <c r="AA663" s="153"/>
      <c r="AB663" s="153"/>
      <c r="AC663" s="153"/>
      <c r="AD663" s="153"/>
      <c r="AE663" s="153"/>
      <c r="AF663" s="153"/>
      <c r="AG663" s="153"/>
    </row>
    <row r="664" ht="15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  <c r="AA664" s="153"/>
      <c r="AB664" s="153"/>
      <c r="AC664" s="153"/>
      <c r="AD664" s="153"/>
      <c r="AE664" s="153"/>
      <c r="AF664" s="153"/>
      <c r="AG664" s="153"/>
    </row>
    <row r="665" ht="15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  <c r="AA665" s="153"/>
      <c r="AB665" s="153"/>
      <c r="AC665" s="153"/>
      <c r="AD665" s="153"/>
      <c r="AE665" s="153"/>
      <c r="AF665" s="153"/>
      <c r="AG665" s="153"/>
    </row>
    <row r="666" ht="15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  <c r="AA666" s="153"/>
      <c r="AB666" s="153"/>
      <c r="AC666" s="153"/>
      <c r="AD666" s="153"/>
      <c r="AE666" s="153"/>
      <c r="AF666" s="153"/>
      <c r="AG666" s="153"/>
    </row>
    <row r="667" ht="15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  <c r="AA667" s="153"/>
      <c r="AB667" s="153"/>
      <c r="AC667" s="153"/>
      <c r="AD667" s="153"/>
      <c r="AE667" s="153"/>
      <c r="AF667" s="153"/>
      <c r="AG667" s="153"/>
    </row>
    <row r="668" ht="15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  <c r="AA668" s="153"/>
      <c r="AB668" s="153"/>
      <c r="AC668" s="153"/>
      <c r="AD668" s="153"/>
      <c r="AE668" s="153"/>
      <c r="AF668" s="153"/>
      <c r="AG668" s="153"/>
    </row>
    <row r="669" ht="15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  <c r="AA669" s="153"/>
      <c r="AB669" s="153"/>
      <c r="AC669" s="153"/>
      <c r="AD669" s="153"/>
      <c r="AE669" s="153"/>
      <c r="AF669" s="153"/>
      <c r="AG669" s="153"/>
    </row>
    <row r="670" ht="15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  <c r="AA670" s="153"/>
      <c r="AB670" s="153"/>
      <c r="AC670" s="153"/>
      <c r="AD670" s="153"/>
      <c r="AE670" s="153"/>
      <c r="AF670" s="153"/>
      <c r="AG670" s="153"/>
    </row>
    <row r="671" ht="15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  <c r="AA671" s="153"/>
      <c r="AB671" s="153"/>
      <c r="AC671" s="153"/>
      <c r="AD671" s="153"/>
      <c r="AE671" s="153"/>
      <c r="AF671" s="153"/>
      <c r="AG671" s="153"/>
    </row>
    <row r="672" ht="15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  <c r="AA672" s="153"/>
      <c r="AB672" s="153"/>
      <c r="AC672" s="153"/>
      <c r="AD672" s="153"/>
      <c r="AE672" s="153"/>
      <c r="AF672" s="153"/>
      <c r="AG672" s="153"/>
    </row>
    <row r="673" ht="15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  <c r="AA673" s="153"/>
      <c r="AB673" s="153"/>
      <c r="AC673" s="153"/>
      <c r="AD673" s="153"/>
      <c r="AE673" s="153"/>
      <c r="AF673" s="153"/>
      <c r="AG673" s="153"/>
    </row>
    <row r="674" ht="15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  <c r="AA674" s="153"/>
      <c r="AB674" s="153"/>
      <c r="AC674" s="153"/>
      <c r="AD674" s="153"/>
      <c r="AE674" s="153"/>
      <c r="AF674" s="153"/>
      <c r="AG674" s="153"/>
    </row>
    <row r="675" ht="15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  <c r="AA675" s="153"/>
      <c r="AB675" s="153"/>
      <c r="AC675" s="153"/>
      <c r="AD675" s="153"/>
      <c r="AE675" s="153"/>
      <c r="AF675" s="153"/>
      <c r="AG675" s="153"/>
    </row>
    <row r="676" ht="15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  <c r="AA676" s="153"/>
      <c r="AB676" s="153"/>
      <c r="AC676" s="153"/>
      <c r="AD676" s="153"/>
      <c r="AE676" s="153"/>
      <c r="AF676" s="153"/>
      <c r="AG676" s="153"/>
    </row>
    <row r="677" ht="15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  <c r="AA677" s="153"/>
      <c r="AB677" s="153"/>
      <c r="AC677" s="153"/>
      <c r="AD677" s="153"/>
      <c r="AE677" s="153"/>
      <c r="AF677" s="153"/>
      <c r="AG677" s="153"/>
    </row>
    <row r="678" ht="15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  <c r="AA678" s="153"/>
      <c r="AB678" s="153"/>
      <c r="AC678" s="153"/>
      <c r="AD678" s="153"/>
      <c r="AE678" s="153"/>
      <c r="AF678" s="153"/>
      <c r="AG678" s="153"/>
    </row>
    <row r="679" ht="15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  <c r="AA679" s="153"/>
      <c r="AB679" s="153"/>
      <c r="AC679" s="153"/>
      <c r="AD679" s="153"/>
      <c r="AE679" s="153"/>
      <c r="AF679" s="153"/>
      <c r="AG679" s="153"/>
    </row>
    <row r="680" ht="15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  <c r="AA680" s="153"/>
      <c r="AB680" s="153"/>
      <c r="AC680" s="153"/>
      <c r="AD680" s="153"/>
      <c r="AE680" s="153"/>
      <c r="AF680" s="153"/>
      <c r="AG680" s="153"/>
    </row>
    <row r="681" ht="15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  <c r="AA681" s="153"/>
      <c r="AB681" s="153"/>
      <c r="AC681" s="153"/>
      <c r="AD681" s="153"/>
      <c r="AE681" s="153"/>
      <c r="AF681" s="153"/>
      <c r="AG681" s="153"/>
    </row>
    <row r="682" ht="15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  <c r="AA682" s="153"/>
      <c r="AB682" s="153"/>
      <c r="AC682" s="153"/>
      <c r="AD682" s="153"/>
      <c r="AE682" s="153"/>
      <c r="AF682" s="153"/>
      <c r="AG682" s="153"/>
    </row>
    <row r="683" ht="15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  <c r="AA683" s="153"/>
      <c r="AB683" s="153"/>
      <c r="AC683" s="153"/>
      <c r="AD683" s="153"/>
      <c r="AE683" s="153"/>
      <c r="AF683" s="153"/>
      <c r="AG683" s="153"/>
    </row>
    <row r="684" ht="15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  <c r="AA684" s="153"/>
      <c r="AB684" s="153"/>
      <c r="AC684" s="153"/>
      <c r="AD684" s="153"/>
      <c r="AE684" s="153"/>
      <c r="AF684" s="153"/>
      <c r="AG684" s="153"/>
    </row>
    <row r="685" ht="15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  <c r="AA685" s="153"/>
      <c r="AB685" s="153"/>
      <c r="AC685" s="153"/>
      <c r="AD685" s="153"/>
      <c r="AE685" s="153"/>
      <c r="AF685" s="153"/>
      <c r="AG685" s="153"/>
    </row>
    <row r="686" ht="15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  <c r="AA686" s="153"/>
      <c r="AB686" s="153"/>
      <c r="AC686" s="153"/>
      <c r="AD686" s="153"/>
      <c r="AE686" s="153"/>
      <c r="AF686" s="153"/>
      <c r="AG686" s="153"/>
    </row>
    <row r="687" ht="15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  <c r="AA687" s="153"/>
      <c r="AB687" s="153"/>
      <c r="AC687" s="153"/>
      <c r="AD687" s="153"/>
      <c r="AE687" s="153"/>
      <c r="AF687" s="153"/>
      <c r="AG687" s="153"/>
    </row>
    <row r="688" ht="15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  <c r="AA688" s="153"/>
      <c r="AB688" s="153"/>
      <c r="AC688" s="153"/>
      <c r="AD688" s="153"/>
      <c r="AE688" s="153"/>
      <c r="AF688" s="153"/>
      <c r="AG688" s="153"/>
    </row>
    <row r="689" ht="15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  <c r="AA689" s="153"/>
      <c r="AB689" s="153"/>
      <c r="AC689" s="153"/>
      <c r="AD689" s="153"/>
      <c r="AE689" s="153"/>
      <c r="AF689" s="153"/>
      <c r="AG689" s="153"/>
    </row>
    <row r="690" ht="15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  <c r="AA690" s="153"/>
      <c r="AB690" s="153"/>
      <c r="AC690" s="153"/>
      <c r="AD690" s="153"/>
      <c r="AE690" s="153"/>
      <c r="AF690" s="153"/>
      <c r="AG690" s="153"/>
    </row>
    <row r="691" ht="15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  <c r="AA691" s="153"/>
      <c r="AB691" s="153"/>
      <c r="AC691" s="153"/>
      <c r="AD691" s="153"/>
      <c r="AE691" s="153"/>
      <c r="AF691" s="153"/>
      <c r="AG691" s="153"/>
    </row>
    <row r="692" ht="15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  <c r="AA692" s="153"/>
      <c r="AB692" s="153"/>
      <c r="AC692" s="153"/>
      <c r="AD692" s="153"/>
      <c r="AE692" s="153"/>
      <c r="AF692" s="153"/>
      <c r="AG692" s="153"/>
    </row>
    <row r="693" ht="15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  <c r="AA693" s="153"/>
      <c r="AB693" s="153"/>
      <c r="AC693" s="153"/>
      <c r="AD693" s="153"/>
      <c r="AE693" s="153"/>
      <c r="AF693" s="153"/>
      <c r="AG693" s="153"/>
    </row>
    <row r="694" ht="15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  <c r="AA694" s="153"/>
      <c r="AB694" s="153"/>
      <c r="AC694" s="153"/>
      <c r="AD694" s="153"/>
      <c r="AE694" s="153"/>
      <c r="AF694" s="153"/>
      <c r="AG694" s="153"/>
    </row>
    <row r="695" ht="15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  <c r="AA695" s="153"/>
      <c r="AB695" s="153"/>
      <c r="AC695" s="153"/>
      <c r="AD695" s="153"/>
      <c r="AE695" s="153"/>
      <c r="AF695" s="153"/>
      <c r="AG695" s="153"/>
    </row>
    <row r="696" ht="15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  <c r="AA696" s="153"/>
      <c r="AB696" s="153"/>
      <c r="AC696" s="153"/>
      <c r="AD696" s="153"/>
      <c r="AE696" s="153"/>
      <c r="AF696" s="153"/>
      <c r="AG696" s="153"/>
    </row>
    <row r="697" ht="15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  <c r="AA697" s="153"/>
      <c r="AB697" s="153"/>
      <c r="AC697" s="153"/>
      <c r="AD697" s="153"/>
      <c r="AE697" s="153"/>
      <c r="AF697" s="153"/>
      <c r="AG697" s="153"/>
    </row>
    <row r="698" ht="15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  <c r="AA698" s="153"/>
      <c r="AB698" s="153"/>
      <c r="AC698" s="153"/>
      <c r="AD698" s="153"/>
      <c r="AE698" s="153"/>
      <c r="AF698" s="153"/>
      <c r="AG698" s="153"/>
    </row>
    <row r="699" ht="15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  <c r="AA699" s="153"/>
      <c r="AB699" s="153"/>
      <c r="AC699" s="153"/>
      <c r="AD699" s="153"/>
      <c r="AE699" s="153"/>
      <c r="AF699" s="153"/>
      <c r="AG699" s="153"/>
    </row>
    <row r="700" ht="15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  <c r="AA700" s="153"/>
      <c r="AB700" s="153"/>
      <c r="AC700" s="153"/>
      <c r="AD700" s="153"/>
      <c r="AE700" s="153"/>
      <c r="AF700" s="153"/>
      <c r="AG700" s="153"/>
    </row>
    <row r="701" ht="15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  <c r="AA701" s="153"/>
      <c r="AB701" s="153"/>
      <c r="AC701" s="153"/>
      <c r="AD701" s="153"/>
      <c r="AE701" s="153"/>
      <c r="AF701" s="153"/>
      <c r="AG701" s="153"/>
    </row>
    <row r="702" ht="15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  <c r="AA702" s="153"/>
      <c r="AB702" s="153"/>
      <c r="AC702" s="153"/>
      <c r="AD702" s="153"/>
      <c r="AE702" s="153"/>
      <c r="AF702" s="153"/>
      <c r="AG702" s="153"/>
    </row>
    <row r="703" ht="15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  <c r="AA703" s="153"/>
      <c r="AB703" s="153"/>
      <c r="AC703" s="153"/>
      <c r="AD703" s="153"/>
      <c r="AE703" s="153"/>
      <c r="AF703" s="153"/>
      <c r="AG703" s="153"/>
    </row>
    <row r="704" ht="15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  <c r="AA704" s="153"/>
      <c r="AB704" s="153"/>
      <c r="AC704" s="153"/>
      <c r="AD704" s="153"/>
      <c r="AE704" s="153"/>
      <c r="AF704" s="153"/>
      <c r="AG704" s="153"/>
    </row>
    <row r="705" ht="15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  <c r="AA705" s="153"/>
      <c r="AB705" s="153"/>
      <c r="AC705" s="153"/>
      <c r="AD705" s="153"/>
      <c r="AE705" s="153"/>
      <c r="AF705" s="153"/>
      <c r="AG705" s="153"/>
    </row>
    <row r="706" ht="15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  <c r="AA706" s="153"/>
      <c r="AB706" s="153"/>
      <c r="AC706" s="153"/>
      <c r="AD706" s="153"/>
      <c r="AE706" s="153"/>
      <c r="AF706" s="153"/>
      <c r="AG706" s="153"/>
    </row>
    <row r="707" ht="15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  <c r="AA707" s="153"/>
      <c r="AB707" s="153"/>
      <c r="AC707" s="153"/>
      <c r="AD707" s="153"/>
      <c r="AE707" s="153"/>
      <c r="AF707" s="153"/>
      <c r="AG707" s="153"/>
    </row>
    <row r="708" ht="15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  <c r="AA708" s="153"/>
      <c r="AB708" s="153"/>
      <c r="AC708" s="153"/>
      <c r="AD708" s="153"/>
      <c r="AE708" s="153"/>
      <c r="AF708" s="153"/>
      <c r="AG708" s="153"/>
    </row>
    <row r="709" ht="15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  <c r="AA709" s="153"/>
      <c r="AB709" s="153"/>
      <c r="AC709" s="153"/>
      <c r="AD709" s="153"/>
      <c r="AE709" s="153"/>
      <c r="AF709" s="153"/>
      <c r="AG709" s="153"/>
    </row>
    <row r="710" ht="15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  <c r="AA710" s="153"/>
      <c r="AB710" s="153"/>
      <c r="AC710" s="153"/>
      <c r="AD710" s="153"/>
      <c r="AE710" s="153"/>
      <c r="AF710" s="153"/>
      <c r="AG710" s="153"/>
    </row>
    <row r="711" ht="15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  <c r="AA711" s="153"/>
      <c r="AB711" s="153"/>
      <c r="AC711" s="153"/>
      <c r="AD711" s="153"/>
      <c r="AE711" s="153"/>
      <c r="AF711" s="153"/>
      <c r="AG711" s="153"/>
    </row>
    <row r="712" ht="15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  <c r="AA712" s="153"/>
      <c r="AB712" s="153"/>
      <c r="AC712" s="153"/>
      <c r="AD712" s="153"/>
      <c r="AE712" s="153"/>
      <c r="AF712" s="153"/>
      <c r="AG712" s="153"/>
    </row>
    <row r="713" ht="15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  <c r="AA713" s="153"/>
      <c r="AB713" s="153"/>
      <c r="AC713" s="153"/>
      <c r="AD713" s="153"/>
      <c r="AE713" s="153"/>
      <c r="AF713" s="153"/>
      <c r="AG713" s="153"/>
    </row>
    <row r="714" ht="15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  <c r="AA714" s="153"/>
      <c r="AB714" s="153"/>
      <c r="AC714" s="153"/>
      <c r="AD714" s="153"/>
      <c r="AE714" s="153"/>
      <c r="AF714" s="153"/>
      <c r="AG714" s="153"/>
    </row>
    <row r="715" ht="15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  <c r="AA715" s="153"/>
      <c r="AB715" s="153"/>
      <c r="AC715" s="153"/>
      <c r="AD715" s="153"/>
      <c r="AE715" s="153"/>
      <c r="AF715" s="153"/>
      <c r="AG715" s="153"/>
    </row>
    <row r="716" ht="15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  <c r="AA716" s="153"/>
      <c r="AB716" s="153"/>
      <c r="AC716" s="153"/>
      <c r="AD716" s="153"/>
      <c r="AE716" s="153"/>
      <c r="AF716" s="153"/>
      <c r="AG716" s="153"/>
    </row>
    <row r="717" ht="15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  <c r="AA717" s="153"/>
      <c r="AB717" s="153"/>
      <c r="AC717" s="153"/>
      <c r="AD717" s="153"/>
      <c r="AE717" s="153"/>
      <c r="AF717" s="153"/>
      <c r="AG717" s="153"/>
    </row>
    <row r="718" ht="15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  <c r="AA718" s="153"/>
      <c r="AB718" s="153"/>
      <c r="AC718" s="153"/>
      <c r="AD718" s="153"/>
      <c r="AE718" s="153"/>
      <c r="AF718" s="153"/>
      <c r="AG718" s="153"/>
    </row>
    <row r="719" ht="15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  <c r="AA719" s="153"/>
      <c r="AB719" s="153"/>
      <c r="AC719" s="153"/>
      <c r="AD719" s="153"/>
      <c r="AE719" s="153"/>
      <c r="AF719" s="153"/>
      <c r="AG719" s="153"/>
    </row>
    <row r="720" ht="15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  <c r="AA720" s="153"/>
      <c r="AB720" s="153"/>
      <c r="AC720" s="153"/>
      <c r="AD720" s="153"/>
      <c r="AE720" s="153"/>
      <c r="AF720" s="153"/>
      <c r="AG720" s="153"/>
    </row>
    <row r="721" ht="15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  <c r="AA721" s="153"/>
      <c r="AB721" s="153"/>
      <c r="AC721" s="153"/>
      <c r="AD721" s="153"/>
      <c r="AE721" s="153"/>
      <c r="AF721" s="153"/>
      <c r="AG721" s="153"/>
    </row>
    <row r="722" ht="15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  <c r="AA722" s="153"/>
      <c r="AB722" s="153"/>
      <c r="AC722" s="153"/>
      <c r="AD722" s="153"/>
      <c r="AE722" s="153"/>
      <c r="AF722" s="153"/>
      <c r="AG722" s="153"/>
    </row>
    <row r="723" ht="15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  <c r="AA723" s="153"/>
      <c r="AB723" s="153"/>
      <c r="AC723" s="153"/>
      <c r="AD723" s="153"/>
      <c r="AE723" s="153"/>
      <c r="AF723" s="153"/>
      <c r="AG723" s="153"/>
    </row>
    <row r="724" ht="15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  <c r="AA724" s="153"/>
      <c r="AB724" s="153"/>
      <c r="AC724" s="153"/>
      <c r="AD724" s="153"/>
      <c r="AE724" s="153"/>
      <c r="AF724" s="153"/>
      <c r="AG724" s="153"/>
    </row>
    <row r="725" ht="15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  <c r="AA725" s="153"/>
      <c r="AB725" s="153"/>
      <c r="AC725" s="153"/>
      <c r="AD725" s="153"/>
      <c r="AE725" s="153"/>
      <c r="AF725" s="153"/>
      <c r="AG725" s="153"/>
    </row>
    <row r="726" ht="15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  <c r="AA726" s="153"/>
      <c r="AB726" s="153"/>
      <c r="AC726" s="153"/>
      <c r="AD726" s="153"/>
      <c r="AE726" s="153"/>
      <c r="AF726" s="153"/>
      <c r="AG726" s="153"/>
    </row>
    <row r="727" ht="15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  <c r="AA727" s="153"/>
      <c r="AB727" s="153"/>
      <c r="AC727" s="153"/>
      <c r="AD727" s="153"/>
      <c r="AE727" s="153"/>
      <c r="AF727" s="153"/>
      <c r="AG727" s="153"/>
    </row>
    <row r="728" ht="15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  <c r="AA728" s="153"/>
      <c r="AB728" s="153"/>
      <c r="AC728" s="153"/>
      <c r="AD728" s="153"/>
      <c r="AE728" s="153"/>
      <c r="AF728" s="153"/>
      <c r="AG728" s="153"/>
    </row>
    <row r="729" ht="15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  <c r="AA729" s="153"/>
      <c r="AB729" s="153"/>
      <c r="AC729" s="153"/>
      <c r="AD729" s="153"/>
      <c r="AE729" s="153"/>
      <c r="AF729" s="153"/>
      <c r="AG729" s="153"/>
    </row>
    <row r="730" ht="15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  <c r="AA730" s="153"/>
      <c r="AB730" s="153"/>
      <c r="AC730" s="153"/>
      <c r="AD730" s="153"/>
      <c r="AE730" s="153"/>
      <c r="AF730" s="153"/>
      <c r="AG730" s="153"/>
    </row>
    <row r="731" ht="15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  <c r="AA731" s="153"/>
      <c r="AB731" s="153"/>
      <c r="AC731" s="153"/>
      <c r="AD731" s="153"/>
      <c r="AE731" s="153"/>
      <c r="AF731" s="153"/>
      <c r="AG731" s="153"/>
    </row>
    <row r="732" ht="15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  <c r="AA732" s="153"/>
      <c r="AB732" s="153"/>
      <c r="AC732" s="153"/>
      <c r="AD732" s="153"/>
      <c r="AE732" s="153"/>
      <c r="AF732" s="153"/>
      <c r="AG732" s="153"/>
    </row>
    <row r="733" ht="15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  <c r="AA733" s="153"/>
      <c r="AB733" s="153"/>
      <c r="AC733" s="153"/>
      <c r="AD733" s="153"/>
      <c r="AE733" s="153"/>
      <c r="AF733" s="153"/>
      <c r="AG733" s="153"/>
    </row>
    <row r="734" ht="15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  <c r="AA734" s="153"/>
      <c r="AB734" s="153"/>
      <c r="AC734" s="153"/>
      <c r="AD734" s="153"/>
      <c r="AE734" s="153"/>
      <c r="AF734" s="153"/>
      <c r="AG734" s="153"/>
    </row>
    <row r="735" ht="15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  <c r="AA735" s="153"/>
      <c r="AB735" s="153"/>
      <c r="AC735" s="153"/>
      <c r="AD735" s="153"/>
      <c r="AE735" s="153"/>
      <c r="AF735" s="153"/>
      <c r="AG735" s="153"/>
    </row>
    <row r="736" ht="15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  <c r="AA736" s="153"/>
      <c r="AB736" s="153"/>
      <c r="AC736" s="153"/>
      <c r="AD736" s="153"/>
      <c r="AE736" s="153"/>
      <c r="AF736" s="153"/>
      <c r="AG736" s="153"/>
    </row>
    <row r="737" ht="15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  <c r="AA737" s="153"/>
      <c r="AB737" s="153"/>
      <c r="AC737" s="153"/>
      <c r="AD737" s="153"/>
      <c r="AE737" s="153"/>
      <c r="AF737" s="153"/>
      <c r="AG737" s="153"/>
    </row>
    <row r="738" ht="15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  <c r="AA738" s="153"/>
      <c r="AB738" s="153"/>
      <c r="AC738" s="153"/>
      <c r="AD738" s="153"/>
      <c r="AE738" s="153"/>
      <c r="AF738" s="153"/>
      <c r="AG738" s="153"/>
    </row>
    <row r="739" ht="15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  <c r="AA739" s="153"/>
      <c r="AB739" s="153"/>
      <c r="AC739" s="153"/>
      <c r="AD739" s="153"/>
      <c r="AE739" s="153"/>
      <c r="AF739" s="153"/>
      <c r="AG739" s="153"/>
    </row>
    <row r="740" ht="15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  <c r="AA740" s="153"/>
      <c r="AB740" s="153"/>
      <c r="AC740" s="153"/>
      <c r="AD740" s="153"/>
      <c r="AE740" s="153"/>
      <c r="AF740" s="153"/>
      <c r="AG740" s="153"/>
    </row>
    <row r="741" ht="15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  <c r="AA741" s="153"/>
      <c r="AB741" s="153"/>
      <c r="AC741" s="153"/>
      <c r="AD741" s="153"/>
      <c r="AE741" s="153"/>
      <c r="AF741" s="153"/>
      <c r="AG741" s="153"/>
    </row>
    <row r="742" ht="15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  <c r="AA742" s="153"/>
      <c r="AB742" s="153"/>
      <c r="AC742" s="153"/>
      <c r="AD742" s="153"/>
      <c r="AE742" s="153"/>
      <c r="AF742" s="153"/>
      <c r="AG742" s="153"/>
    </row>
    <row r="743" ht="15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  <c r="AA743" s="153"/>
      <c r="AB743" s="153"/>
      <c r="AC743" s="153"/>
      <c r="AD743" s="153"/>
      <c r="AE743" s="153"/>
      <c r="AF743" s="153"/>
      <c r="AG743" s="153"/>
    </row>
    <row r="744" ht="15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  <c r="AA744" s="153"/>
      <c r="AB744" s="153"/>
      <c r="AC744" s="153"/>
      <c r="AD744" s="153"/>
      <c r="AE744" s="153"/>
      <c r="AF744" s="153"/>
      <c r="AG744" s="153"/>
    </row>
    <row r="745" ht="15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  <c r="AA745" s="153"/>
      <c r="AB745" s="153"/>
      <c r="AC745" s="153"/>
      <c r="AD745" s="153"/>
      <c r="AE745" s="153"/>
      <c r="AF745" s="153"/>
      <c r="AG745" s="153"/>
    </row>
    <row r="746" ht="15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  <c r="AA746" s="153"/>
      <c r="AB746" s="153"/>
      <c r="AC746" s="153"/>
      <c r="AD746" s="153"/>
      <c r="AE746" s="153"/>
      <c r="AF746" s="153"/>
      <c r="AG746" s="153"/>
    </row>
    <row r="747" ht="15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  <c r="AA747" s="153"/>
      <c r="AB747" s="153"/>
      <c r="AC747" s="153"/>
      <c r="AD747" s="153"/>
      <c r="AE747" s="153"/>
      <c r="AF747" s="153"/>
      <c r="AG747" s="153"/>
    </row>
    <row r="748" ht="15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  <c r="AA748" s="153"/>
      <c r="AB748" s="153"/>
      <c r="AC748" s="153"/>
      <c r="AD748" s="153"/>
      <c r="AE748" s="153"/>
      <c r="AF748" s="153"/>
      <c r="AG748" s="153"/>
    </row>
    <row r="749" ht="15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  <c r="AA749" s="153"/>
      <c r="AB749" s="153"/>
      <c r="AC749" s="153"/>
      <c r="AD749" s="153"/>
      <c r="AE749" s="153"/>
      <c r="AF749" s="153"/>
      <c r="AG749" s="153"/>
    </row>
    <row r="750" ht="15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  <c r="AA750" s="153"/>
      <c r="AB750" s="153"/>
      <c r="AC750" s="153"/>
      <c r="AD750" s="153"/>
      <c r="AE750" s="153"/>
      <c r="AF750" s="153"/>
      <c r="AG750" s="153"/>
    </row>
    <row r="751" ht="15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  <c r="AA751" s="153"/>
      <c r="AB751" s="153"/>
      <c r="AC751" s="153"/>
      <c r="AD751" s="153"/>
      <c r="AE751" s="153"/>
      <c r="AF751" s="153"/>
      <c r="AG751" s="153"/>
    </row>
    <row r="752" ht="15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  <c r="AA752" s="153"/>
      <c r="AB752" s="153"/>
      <c r="AC752" s="153"/>
      <c r="AD752" s="153"/>
      <c r="AE752" s="153"/>
      <c r="AF752" s="153"/>
      <c r="AG752" s="153"/>
    </row>
    <row r="753" ht="15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  <c r="AA753" s="153"/>
      <c r="AB753" s="153"/>
      <c r="AC753" s="153"/>
      <c r="AD753" s="153"/>
      <c r="AE753" s="153"/>
      <c r="AF753" s="153"/>
      <c r="AG753" s="153"/>
    </row>
    <row r="754" ht="15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  <c r="AA754" s="153"/>
      <c r="AB754" s="153"/>
      <c r="AC754" s="153"/>
      <c r="AD754" s="153"/>
      <c r="AE754" s="153"/>
      <c r="AF754" s="153"/>
      <c r="AG754" s="153"/>
    </row>
    <row r="755" ht="15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  <c r="AA755" s="153"/>
      <c r="AB755" s="153"/>
      <c r="AC755" s="153"/>
      <c r="AD755" s="153"/>
      <c r="AE755" s="153"/>
      <c r="AF755" s="153"/>
      <c r="AG755" s="153"/>
    </row>
    <row r="756" ht="15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  <c r="AA756" s="153"/>
      <c r="AB756" s="153"/>
      <c r="AC756" s="153"/>
      <c r="AD756" s="153"/>
      <c r="AE756" s="153"/>
      <c r="AF756" s="153"/>
      <c r="AG756" s="153"/>
    </row>
    <row r="757" ht="15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  <c r="AA757" s="153"/>
      <c r="AB757" s="153"/>
      <c r="AC757" s="153"/>
      <c r="AD757" s="153"/>
      <c r="AE757" s="153"/>
      <c r="AF757" s="153"/>
      <c r="AG757" s="153"/>
    </row>
    <row r="758" ht="15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  <c r="AA758" s="153"/>
      <c r="AB758" s="153"/>
      <c r="AC758" s="153"/>
      <c r="AD758" s="153"/>
      <c r="AE758" s="153"/>
      <c r="AF758" s="153"/>
      <c r="AG758" s="153"/>
    </row>
    <row r="759" ht="15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  <c r="AA759" s="153"/>
      <c r="AB759" s="153"/>
      <c r="AC759" s="153"/>
      <c r="AD759" s="153"/>
      <c r="AE759" s="153"/>
      <c r="AF759" s="153"/>
      <c r="AG759" s="153"/>
    </row>
    <row r="760" ht="15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  <c r="AA760" s="153"/>
      <c r="AB760" s="153"/>
      <c r="AC760" s="153"/>
      <c r="AD760" s="153"/>
      <c r="AE760" s="153"/>
      <c r="AF760" s="153"/>
      <c r="AG760" s="153"/>
    </row>
    <row r="761" ht="15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  <c r="AA761" s="153"/>
      <c r="AB761" s="153"/>
      <c r="AC761" s="153"/>
      <c r="AD761" s="153"/>
      <c r="AE761" s="153"/>
      <c r="AF761" s="153"/>
      <c r="AG761" s="153"/>
    </row>
    <row r="762" ht="15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  <c r="AA762" s="153"/>
      <c r="AB762" s="153"/>
      <c r="AC762" s="153"/>
      <c r="AD762" s="153"/>
      <c r="AE762" s="153"/>
      <c r="AF762" s="153"/>
      <c r="AG762" s="153"/>
    </row>
    <row r="763" ht="15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  <c r="AA763" s="153"/>
      <c r="AB763" s="153"/>
      <c r="AC763" s="153"/>
      <c r="AD763" s="153"/>
      <c r="AE763" s="153"/>
      <c r="AF763" s="153"/>
      <c r="AG763" s="153"/>
    </row>
    <row r="764" ht="15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  <c r="AA764" s="153"/>
      <c r="AB764" s="153"/>
      <c r="AC764" s="153"/>
      <c r="AD764" s="153"/>
      <c r="AE764" s="153"/>
      <c r="AF764" s="153"/>
      <c r="AG764" s="153"/>
    </row>
    <row r="765" ht="15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  <c r="AA765" s="153"/>
      <c r="AB765" s="153"/>
      <c r="AC765" s="153"/>
      <c r="AD765" s="153"/>
      <c r="AE765" s="153"/>
      <c r="AF765" s="153"/>
      <c r="AG765" s="153"/>
    </row>
    <row r="766" ht="15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  <c r="AA766" s="153"/>
      <c r="AB766" s="153"/>
      <c r="AC766" s="153"/>
      <c r="AD766" s="153"/>
      <c r="AE766" s="153"/>
      <c r="AF766" s="153"/>
      <c r="AG766" s="153"/>
    </row>
    <row r="767" ht="15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  <c r="AA767" s="153"/>
      <c r="AB767" s="153"/>
      <c r="AC767" s="153"/>
      <c r="AD767" s="153"/>
      <c r="AE767" s="153"/>
      <c r="AF767" s="153"/>
      <c r="AG767" s="153"/>
    </row>
    <row r="768" ht="15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  <c r="AA768" s="153"/>
      <c r="AB768" s="153"/>
      <c r="AC768" s="153"/>
      <c r="AD768" s="153"/>
      <c r="AE768" s="153"/>
      <c r="AF768" s="153"/>
      <c r="AG768" s="153"/>
    </row>
    <row r="769" ht="15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  <c r="AA769" s="153"/>
      <c r="AB769" s="153"/>
      <c r="AC769" s="153"/>
      <c r="AD769" s="153"/>
      <c r="AE769" s="153"/>
      <c r="AF769" s="153"/>
      <c r="AG769" s="153"/>
    </row>
    <row r="770" ht="15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  <c r="AA770" s="153"/>
      <c r="AB770" s="153"/>
      <c r="AC770" s="153"/>
      <c r="AD770" s="153"/>
      <c r="AE770" s="153"/>
      <c r="AF770" s="153"/>
      <c r="AG770" s="153"/>
    </row>
    <row r="771" ht="15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  <c r="AA771" s="153"/>
      <c r="AB771" s="153"/>
      <c r="AC771" s="153"/>
      <c r="AD771" s="153"/>
      <c r="AE771" s="153"/>
      <c r="AF771" s="153"/>
      <c r="AG771" s="153"/>
    </row>
    <row r="772" ht="15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  <c r="AA772" s="153"/>
      <c r="AB772" s="153"/>
      <c r="AC772" s="153"/>
      <c r="AD772" s="153"/>
      <c r="AE772" s="153"/>
      <c r="AF772" s="153"/>
      <c r="AG772" s="153"/>
    </row>
    <row r="773" ht="15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  <c r="AA773" s="153"/>
      <c r="AB773" s="153"/>
      <c r="AC773" s="153"/>
      <c r="AD773" s="153"/>
      <c r="AE773" s="153"/>
      <c r="AF773" s="153"/>
      <c r="AG773" s="153"/>
    </row>
    <row r="774" ht="15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  <c r="AA774" s="153"/>
      <c r="AB774" s="153"/>
      <c r="AC774" s="153"/>
      <c r="AD774" s="153"/>
      <c r="AE774" s="153"/>
      <c r="AF774" s="153"/>
      <c r="AG774" s="153"/>
    </row>
    <row r="775" ht="15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  <c r="AA775" s="153"/>
      <c r="AB775" s="153"/>
      <c r="AC775" s="153"/>
      <c r="AD775" s="153"/>
      <c r="AE775" s="153"/>
      <c r="AF775" s="153"/>
      <c r="AG775" s="153"/>
    </row>
    <row r="776" ht="15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  <c r="AA776" s="153"/>
      <c r="AB776" s="153"/>
      <c r="AC776" s="153"/>
      <c r="AD776" s="153"/>
      <c r="AE776" s="153"/>
      <c r="AF776" s="153"/>
      <c r="AG776" s="153"/>
    </row>
    <row r="777" ht="15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  <c r="AA777" s="153"/>
      <c r="AB777" s="153"/>
      <c r="AC777" s="153"/>
      <c r="AD777" s="153"/>
      <c r="AE777" s="153"/>
      <c r="AF777" s="153"/>
      <c r="AG777" s="153"/>
    </row>
    <row r="778" ht="15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  <c r="AA778" s="153"/>
      <c r="AB778" s="153"/>
      <c r="AC778" s="153"/>
      <c r="AD778" s="153"/>
      <c r="AE778" s="153"/>
      <c r="AF778" s="153"/>
      <c r="AG778" s="153"/>
    </row>
    <row r="779" ht="15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  <c r="AA779" s="153"/>
      <c r="AB779" s="153"/>
      <c r="AC779" s="153"/>
      <c r="AD779" s="153"/>
      <c r="AE779" s="153"/>
      <c r="AF779" s="153"/>
      <c r="AG779" s="153"/>
    </row>
    <row r="780" ht="15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  <c r="AA780" s="153"/>
      <c r="AB780" s="153"/>
      <c r="AC780" s="153"/>
      <c r="AD780" s="153"/>
      <c r="AE780" s="153"/>
      <c r="AF780" s="153"/>
      <c r="AG780" s="153"/>
    </row>
    <row r="781" ht="15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  <c r="AA781" s="153"/>
      <c r="AB781" s="153"/>
      <c r="AC781" s="153"/>
      <c r="AD781" s="153"/>
      <c r="AE781" s="153"/>
      <c r="AF781" s="153"/>
      <c r="AG781" s="153"/>
    </row>
    <row r="782" ht="15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  <c r="AA782" s="153"/>
      <c r="AB782" s="153"/>
      <c r="AC782" s="153"/>
      <c r="AD782" s="153"/>
      <c r="AE782" s="153"/>
      <c r="AF782" s="153"/>
      <c r="AG782" s="153"/>
    </row>
    <row r="783" ht="15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  <c r="AA783" s="153"/>
      <c r="AB783" s="153"/>
      <c r="AC783" s="153"/>
      <c r="AD783" s="153"/>
      <c r="AE783" s="153"/>
      <c r="AF783" s="153"/>
      <c r="AG783" s="153"/>
    </row>
    <row r="784" ht="15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  <c r="AA784" s="153"/>
      <c r="AB784" s="153"/>
      <c r="AC784" s="153"/>
      <c r="AD784" s="153"/>
      <c r="AE784" s="153"/>
      <c r="AF784" s="153"/>
      <c r="AG784" s="153"/>
    </row>
    <row r="785" ht="15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  <c r="AA785" s="153"/>
      <c r="AB785" s="153"/>
      <c r="AC785" s="153"/>
      <c r="AD785" s="153"/>
      <c r="AE785" s="153"/>
      <c r="AF785" s="153"/>
      <c r="AG785" s="153"/>
    </row>
    <row r="786" ht="15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  <c r="AA786" s="153"/>
      <c r="AB786" s="153"/>
      <c r="AC786" s="153"/>
      <c r="AD786" s="153"/>
      <c r="AE786" s="153"/>
      <c r="AF786" s="153"/>
      <c r="AG786" s="153"/>
    </row>
    <row r="787" ht="15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  <c r="AA787" s="153"/>
      <c r="AB787" s="153"/>
      <c r="AC787" s="153"/>
      <c r="AD787" s="153"/>
      <c r="AE787" s="153"/>
      <c r="AF787" s="153"/>
      <c r="AG787" s="153"/>
    </row>
    <row r="788" ht="15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  <c r="AA788" s="153"/>
      <c r="AB788" s="153"/>
      <c r="AC788" s="153"/>
      <c r="AD788" s="153"/>
      <c r="AE788" s="153"/>
      <c r="AF788" s="153"/>
      <c r="AG788" s="153"/>
    </row>
    <row r="789" ht="15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  <c r="AA789" s="153"/>
      <c r="AB789" s="153"/>
      <c r="AC789" s="153"/>
      <c r="AD789" s="153"/>
      <c r="AE789" s="153"/>
      <c r="AF789" s="153"/>
      <c r="AG789" s="153"/>
    </row>
    <row r="790" ht="15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  <c r="AA790" s="153"/>
      <c r="AB790" s="153"/>
      <c r="AC790" s="153"/>
      <c r="AD790" s="153"/>
      <c r="AE790" s="153"/>
      <c r="AF790" s="153"/>
      <c r="AG790" s="153"/>
    </row>
    <row r="791" ht="15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  <c r="AA791" s="153"/>
      <c r="AB791" s="153"/>
      <c r="AC791" s="153"/>
      <c r="AD791" s="153"/>
      <c r="AE791" s="153"/>
      <c r="AF791" s="153"/>
      <c r="AG791" s="153"/>
    </row>
    <row r="792" ht="15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  <c r="AA792" s="153"/>
      <c r="AB792" s="153"/>
      <c r="AC792" s="153"/>
      <c r="AD792" s="153"/>
      <c r="AE792" s="153"/>
      <c r="AF792" s="153"/>
      <c r="AG792" s="153"/>
    </row>
    <row r="793" ht="15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  <c r="AA793" s="153"/>
      <c r="AB793" s="153"/>
      <c r="AC793" s="153"/>
      <c r="AD793" s="153"/>
      <c r="AE793" s="153"/>
      <c r="AF793" s="153"/>
      <c r="AG793" s="153"/>
    </row>
    <row r="794" ht="15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  <c r="AA794" s="153"/>
      <c r="AB794" s="153"/>
      <c r="AC794" s="153"/>
      <c r="AD794" s="153"/>
      <c r="AE794" s="153"/>
      <c r="AF794" s="153"/>
      <c r="AG794" s="153"/>
    </row>
    <row r="795" ht="15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  <c r="AA795" s="153"/>
      <c r="AB795" s="153"/>
      <c r="AC795" s="153"/>
      <c r="AD795" s="153"/>
      <c r="AE795" s="153"/>
      <c r="AF795" s="153"/>
      <c r="AG795" s="153"/>
    </row>
    <row r="796" ht="15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  <c r="AA796" s="153"/>
      <c r="AB796" s="153"/>
      <c r="AC796" s="153"/>
      <c r="AD796" s="153"/>
      <c r="AE796" s="153"/>
      <c r="AF796" s="153"/>
      <c r="AG796" s="153"/>
    </row>
    <row r="797" ht="15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  <c r="AA797" s="153"/>
      <c r="AB797" s="153"/>
      <c r="AC797" s="153"/>
      <c r="AD797" s="153"/>
      <c r="AE797" s="153"/>
      <c r="AF797" s="153"/>
      <c r="AG797" s="153"/>
    </row>
    <row r="798" ht="15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  <c r="AA798" s="153"/>
      <c r="AB798" s="153"/>
      <c r="AC798" s="153"/>
      <c r="AD798" s="153"/>
      <c r="AE798" s="153"/>
      <c r="AF798" s="153"/>
      <c r="AG798" s="153"/>
    </row>
    <row r="799" ht="15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  <c r="AA799" s="153"/>
      <c r="AB799" s="153"/>
      <c r="AC799" s="153"/>
      <c r="AD799" s="153"/>
      <c r="AE799" s="153"/>
      <c r="AF799" s="153"/>
      <c r="AG799" s="153"/>
    </row>
    <row r="800" ht="15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  <c r="AA800" s="153"/>
      <c r="AB800" s="153"/>
      <c r="AC800" s="153"/>
      <c r="AD800" s="153"/>
      <c r="AE800" s="153"/>
      <c r="AF800" s="153"/>
      <c r="AG800" s="153"/>
    </row>
    <row r="801" ht="15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  <c r="AA801" s="153"/>
      <c r="AB801" s="153"/>
      <c r="AC801" s="153"/>
      <c r="AD801" s="153"/>
      <c r="AE801" s="153"/>
      <c r="AF801" s="153"/>
      <c r="AG801" s="153"/>
    </row>
    <row r="802" ht="15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  <c r="AA802" s="153"/>
      <c r="AB802" s="153"/>
      <c r="AC802" s="153"/>
      <c r="AD802" s="153"/>
      <c r="AE802" s="153"/>
      <c r="AF802" s="153"/>
      <c r="AG802" s="153"/>
    </row>
    <row r="803" ht="15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  <c r="AA803" s="153"/>
      <c r="AB803" s="153"/>
      <c r="AC803" s="153"/>
      <c r="AD803" s="153"/>
      <c r="AE803" s="153"/>
      <c r="AF803" s="153"/>
      <c r="AG803" s="153"/>
    </row>
    <row r="804" ht="15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  <c r="AA804" s="153"/>
      <c r="AB804" s="153"/>
      <c r="AC804" s="153"/>
      <c r="AD804" s="153"/>
      <c r="AE804" s="153"/>
      <c r="AF804" s="153"/>
      <c r="AG804" s="153"/>
    </row>
    <row r="805" ht="15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  <c r="AA805" s="153"/>
      <c r="AB805" s="153"/>
      <c r="AC805" s="153"/>
      <c r="AD805" s="153"/>
      <c r="AE805" s="153"/>
      <c r="AF805" s="153"/>
      <c r="AG805" s="153"/>
    </row>
    <row r="806" ht="15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  <c r="AA806" s="153"/>
      <c r="AB806" s="153"/>
      <c r="AC806" s="153"/>
      <c r="AD806" s="153"/>
      <c r="AE806" s="153"/>
      <c r="AF806" s="153"/>
      <c r="AG806" s="153"/>
    </row>
    <row r="807" ht="15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  <c r="AA807" s="153"/>
      <c r="AB807" s="153"/>
      <c r="AC807" s="153"/>
      <c r="AD807" s="153"/>
      <c r="AE807" s="153"/>
      <c r="AF807" s="153"/>
      <c r="AG807" s="153"/>
    </row>
    <row r="808" ht="15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  <c r="AA808" s="153"/>
      <c r="AB808" s="153"/>
      <c r="AC808" s="153"/>
      <c r="AD808" s="153"/>
      <c r="AE808" s="153"/>
      <c r="AF808" s="153"/>
      <c r="AG808" s="153"/>
    </row>
    <row r="809" ht="15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  <c r="AA809" s="153"/>
      <c r="AB809" s="153"/>
      <c r="AC809" s="153"/>
      <c r="AD809" s="153"/>
      <c r="AE809" s="153"/>
      <c r="AF809" s="153"/>
      <c r="AG809" s="153"/>
    </row>
    <row r="810" ht="15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  <c r="AA810" s="153"/>
      <c r="AB810" s="153"/>
      <c r="AC810" s="153"/>
      <c r="AD810" s="153"/>
      <c r="AE810" s="153"/>
      <c r="AF810" s="153"/>
      <c r="AG810" s="153"/>
    </row>
    <row r="811" ht="15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  <c r="AA811" s="153"/>
      <c r="AB811" s="153"/>
      <c r="AC811" s="153"/>
      <c r="AD811" s="153"/>
      <c r="AE811" s="153"/>
      <c r="AF811" s="153"/>
      <c r="AG811" s="153"/>
    </row>
    <row r="812" ht="15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  <c r="AA812" s="153"/>
      <c r="AB812" s="153"/>
      <c r="AC812" s="153"/>
      <c r="AD812" s="153"/>
      <c r="AE812" s="153"/>
      <c r="AF812" s="153"/>
      <c r="AG812" s="153"/>
    </row>
    <row r="813" ht="15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  <c r="AA813" s="153"/>
      <c r="AB813" s="153"/>
      <c r="AC813" s="153"/>
      <c r="AD813" s="153"/>
      <c r="AE813" s="153"/>
      <c r="AF813" s="153"/>
      <c r="AG813" s="153"/>
    </row>
    <row r="814" ht="15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  <c r="AA814" s="153"/>
      <c r="AB814" s="153"/>
      <c r="AC814" s="153"/>
      <c r="AD814" s="153"/>
      <c r="AE814" s="153"/>
      <c r="AF814" s="153"/>
      <c r="AG814" s="153"/>
    </row>
    <row r="815" ht="15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  <c r="AA815" s="153"/>
      <c r="AB815" s="153"/>
      <c r="AC815" s="153"/>
      <c r="AD815" s="153"/>
      <c r="AE815" s="153"/>
      <c r="AF815" s="153"/>
      <c r="AG815" s="153"/>
    </row>
    <row r="816" ht="15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  <c r="AA816" s="153"/>
      <c r="AB816" s="153"/>
      <c r="AC816" s="153"/>
      <c r="AD816" s="153"/>
      <c r="AE816" s="153"/>
      <c r="AF816" s="153"/>
      <c r="AG816" s="153"/>
    </row>
    <row r="817" ht="15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  <c r="AA817" s="153"/>
      <c r="AB817" s="153"/>
      <c r="AC817" s="153"/>
      <c r="AD817" s="153"/>
      <c r="AE817" s="153"/>
      <c r="AF817" s="153"/>
      <c r="AG817" s="153"/>
    </row>
    <row r="818" ht="15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  <c r="AA818" s="153"/>
      <c r="AB818" s="153"/>
      <c r="AC818" s="153"/>
      <c r="AD818" s="153"/>
      <c r="AE818" s="153"/>
      <c r="AF818" s="153"/>
      <c r="AG818" s="153"/>
    </row>
    <row r="819" ht="15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  <c r="AA819" s="153"/>
      <c r="AB819" s="153"/>
      <c r="AC819" s="153"/>
      <c r="AD819" s="153"/>
      <c r="AE819" s="153"/>
      <c r="AF819" s="153"/>
      <c r="AG819" s="153"/>
    </row>
    <row r="820" ht="15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  <c r="AA820" s="153"/>
      <c r="AB820" s="153"/>
      <c r="AC820" s="153"/>
      <c r="AD820" s="153"/>
      <c r="AE820" s="153"/>
      <c r="AF820" s="153"/>
      <c r="AG820" s="153"/>
    </row>
    <row r="821" ht="15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  <c r="AA821" s="153"/>
      <c r="AB821" s="153"/>
      <c r="AC821" s="153"/>
      <c r="AD821" s="153"/>
      <c r="AE821" s="153"/>
      <c r="AF821" s="153"/>
      <c r="AG821" s="153"/>
    </row>
    <row r="822" ht="15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  <c r="AA822" s="153"/>
      <c r="AB822" s="153"/>
      <c r="AC822" s="153"/>
      <c r="AD822" s="153"/>
      <c r="AE822" s="153"/>
      <c r="AF822" s="153"/>
      <c r="AG822" s="153"/>
    </row>
    <row r="823" ht="15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  <c r="AA823" s="153"/>
      <c r="AB823" s="153"/>
      <c r="AC823" s="153"/>
      <c r="AD823" s="153"/>
      <c r="AE823" s="153"/>
      <c r="AF823" s="153"/>
      <c r="AG823" s="153"/>
    </row>
    <row r="824" ht="15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  <c r="AA824" s="153"/>
      <c r="AB824" s="153"/>
      <c r="AC824" s="153"/>
      <c r="AD824" s="153"/>
      <c r="AE824" s="153"/>
      <c r="AF824" s="153"/>
      <c r="AG824" s="153"/>
    </row>
    <row r="825" ht="15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  <c r="AA825" s="153"/>
      <c r="AB825" s="153"/>
      <c r="AC825" s="153"/>
      <c r="AD825" s="153"/>
      <c r="AE825" s="153"/>
      <c r="AF825" s="153"/>
      <c r="AG825" s="153"/>
    </row>
    <row r="826" ht="15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  <c r="AA826" s="153"/>
      <c r="AB826" s="153"/>
      <c r="AC826" s="153"/>
      <c r="AD826" s="153"/>
      <c r="AE826" s="153"/>
      <c r="AF826" s="153"/>
      <c r="AG826" s="153"/>
    </row>
    <row r="827" ht="15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  <c r="AA827" s="153"/>
      <c r="AB827" s="153"/>
      <c r="AC827" s="153"/>
      <c r="AD827" s="153"/>
      <c r="AE827" s="153"/>
      <c r="AF827" s="153"/>
      <c r="AG827" s="153"/>
    </row>
    <row r="828" ht="15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  <c r="AA828" s="153"/>
      <c r="AB828" s="153"/>
      <c r="AC828" s="153"/>
      <c r="AD828" s="153"/>
      <c r="AE828" s="153"/>
      <c r="AF828" s="153"/>
      <c r="AG828" s="153"/>
    </row>
    <row r="829" ht="15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  <c r="AA829" s="153"/>
      <c r="AB829" s="153"/>
      <c r="AC829" s="153"/>
      <c r="AD829" s="153"/>
      <c r="AE829" s="153"/>
      <c r="AF829" s="153"/>
      <c r="AG829" s="153"/>
    </row>
    <row r="830" ht="15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  <c r="AA830" s="153"/>
      <c r="AB830" s="153"/>
      <c r="AC830" s="153"/>
      <c r="AD830" s="153"/>
      <c r="AE830" s="153"/>
      <c r="AF830" s="153"/>
      <c r="AG830" s="153"/>
    </row>
    <row r="831" ht="15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  <c r="AA831" s="153"/>
      <c r="AB831" s="153"/>
      <c r="AC831" s="153"/>
      <c r="AD831" s="153"/>
      <c r="AE831" s="153"/>
      <c r="AF831" s="153"/>
      <c r="AG831" s="153"/>
    </row>
    <row r="832" ht="15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  <c r="AA832" s="153"/>
      <c r="AB832" s="153"/>
      <c r="AC832" s="153"/>
      <c r="AD832" s="153"/>
      <c r="AE832" s="153"/>
      <c r="AF832" s="153"/>
      <c r="AG832" s="153"/>
    </row>
    <row r="833" ht="15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  <c r="AA833" s="153"/>
      <c r="AB833" s="153"/>
      <c r="AC833" s="153"/>
      <c r="AD833" s="153"/>
      <c r="AE833" s="153"/>
      <c r="AF833" s="153"/>
      <c r="AG833" s="153"/>
    </row>
    <row r="834" ht="15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  <c r="AA834" s="153"/>
      <c r="AB834" s="153"/>
      <c r="AC834" s="153"/>
      <c r="AD834" s="153"/>
      <c r="AE834" s="153"/>
      <c r="AF834" s="153"/>
      <c r="AG834" s="153"/>
    </row>
    <row r="835" ht="15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  <c r="AA835" s="153"/>
      <c r="AB835" s="153"/>
      <c r="AC835" s="153"/>
      <c r="AD835" s="153"/>
      <c r="AE835" s="153"/>
      <c r="AF835" s="153"/>
      <c r="AG835" s="153"/>
    </row>
    <row r="836" ht="15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  <c r="AA836" s="153"/>
      <c r="AB836" s="153"/>
      <c r="AC836" s="153"/>
      <c r="AD836" s="153"/>
      <c r="AE836" s="153"/>
      <c r="AF836" s="153"/>
      <c r="AG836" s="153"/>
    </row>
    <row r="837" ht="15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  <c r="AA837" s="153"/>
      <c r="AB837" s="153"/>
      <c r="AC837" s="153"/>
      <c r="AD837" s="153"/>
      <c r="AE837" s="153"/>
      <c r="AF837" s="153"/>
      <c r="AG837" s="153"/>
    </row>
    <row r="838" ht="15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  <c r="AA838" s="153"/>
      <c r="AB838" s="153"/>
      <c r="AC838" s="153"/>
      <c r="AD838" s="153"/>
      <c r="AE838" s="153"/>
      <c r="AF838" s="153"/>
      <c r="AG838" s="153"/>
    </row>
    <row r="839" ht="15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  <c r="AA839" s="153"/>
      <c r="AB839" s="153"/>
      <c r="AC839" s="153"/>
      <c r="AD839" s="153"/>
      <c r="AE839" s="153"/>
      <c r="AF839" s="153"/>
      <c r="AG839" s="153"/>
    </row>
    <row r="840" ht="15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  <c r="AA840" s="153"/>
      <c r="AB840" s="153"/>
      <c r="AC840" s="153"/>
      <c r="AD840" s="153"/>
      <c r="AE840" s="153"/>
      <c r="AF840" s="153"/>
      <c r="AG840" s="153"/>
    </row>
    <row r="841" ht="15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  <c r="AA841" s="153"/>
      <c r="AB841" s="153"/>
      <c r="AC841" s="153"/>
      <c r="AD841" s="153"/>
      <c r="AE841" s="153"/>
      <c r="AF841" s="153"/>
      <c r="AG841" s="153"/>
    </row>
    <row r="842" ht="15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  <c r="AA842" s="153"/>
      <c r="AB842" s="153"/>
      <c r="AC842" s="153"/>
      <c r="AD842" s="153"/>
      <c r="AE842" s="153"/>
      <c r="AF842" s="153"/>
      <c r="AG842" s="153"/>
    </row>
    <row r="843" ht="15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  <c r="AA843" s="153"/>
      <c r="AB843" s="153"/>
      <c r="AC843" s="153"/>
      <c r="AD843" s="153"/>
      <c r="AE843" s="153"/>
      <c r="AF843" s="153"/>
      <c r="AG843" s="153"/>
    </row>
    <row r="844" ht="15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  <c r="AA844" s="153"/>
      <c r="AB844" s="153"/>
      <c r="AC844" s="153"/>
      <c r="AD844" s="153"/>
      <c r="AE844" s="153"/>
      <c r="AF844" s="153"/>
      <c r="AG844" s="153"/>
    </row>
    <row r="845" ht="15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  <c r="AA845" s="153"/>
      <c r="AB845" s="153"/>
      <c r="AC845" s="153"/>
      <c r="AD845" s="153"/>
      <c r="AE845" s="153"/>
      <c r="AF845" s="153"/>
      <c r="AG845" s="153"/>
    </row>
    <row r="846" ht="15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  <c r="AA846" s="153"/>
      <c r="AB846" s="153"/>
      <c r="AC846" s="153"/>
      <c r="AD846" s="153"/>
      <c r="AE846" s="153"/>
      <c r="AF846" s="153"/>
      <c r="AG846" s="153"/>
    </row>
    <row r="847" ht="15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  <c r="AA847" s="153"/>
      <c r="AB847" s="153"/>
      <c r="AC847" s="153"/>
      <c r="AD847" s="153"/>
      <c r="AE847" s="153"/>
      <c r="AF847" s="153"/>
      <c r="AG847" s="153"/>
    </row>
    <row r="848" ht="15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  <c r="AA848" s="153"/>
      <c r="AB848" s="153"/>
      <c r="AC848" s="153"/>
      <c r="AD848" s="153"/>
      <c r="AE848" s="153"/>
      <c r="AF848" s="153"/>
      <c r="AG848" s="153"/>
    </row>
    <row r="849" ht="15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  <c r="AA849" s="153"/>
      <c r="AB849" s="153"/>
      <c r="AC849" s="153"/>
      <c r="AD849" s="153"/>
      <c r="AE849" s="153"/>
      <c r="AF849" s="153"/>
      <c r="AG849" s="153"/>
    </row>
    <row r="850" ht="15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  <c r="AA850" s="153"/>
      <c r="AB850" s="153"/>
      <c r="AC850" s="153"/>
      <c r="AD850" s="153"/>
      <c r="AE850" s="153"/>
      <c r="AF850" s="153"/>
      <c r="AG850" s="153"/>
    </row>
    <row r="851" ht="15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  <c r="AA851" s="153"/>
      <c r="AB851" s="153"/>
      <c r="AC851" s="153"/>
      <c r="AD851" s="153"/>
      <c r="AE851" s="153"/>
      <c r="AF851" s="153"/>
      <c r="AG851" s="153"/>
    </row>
    <row r="852" ht="15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  <c r="AA852" s="153"/>
      <c r="AB852" s="153"/>
      <c r="AC852" s="153"/>
      <c r="AD852" s="153"/>
      <c r="AE852" s="153"/>
      <c r="AF852" s="153"/>
      <c r="AG852" s="153"/>
    </row>
    <row r="853" ht="15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  <c r="AA853" s="153"/>
      <c r="AB853" s="153"/>
      <c r="AC853" s="153"/>
      <c r="AD853" s="153"/>
      <c r="AE853" s="153"/>
      <c r="AF853" s="153"/>
      <c r="AG853" s="153"/>
    </row>
    <row r="854" ht="15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  <c r="AA854" s="153"/>
      <c r="AB854" s="153"/>
      <c r="AC854" s="153"/>
      <c r="AD854" s="153"/>
      <c r="AE854" s="153"/>
      <c r="AF854" s="153"/>
      <c r="AG854" s="153"/>
    </row>
    <row r="855" ht="15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  <c r="AA855" s="153"/>
      <c r="AB855" s="153"/>
      <c r="AC855" s="153"/>
      <c r="AD855" s="153"/>
      <c r="AE855" s="153"/>
      <c r="AF855" s="153"/>
      <c r="AG855" s="153"/>
    </row>
    <row r="856" ht="15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  <c r="AA856" s="153"/>
      <c r="AB856" s="153"/>
      <c r="AC856" s="153"/>
      <c r="AD856" s="153"/>
      <c r="AE856" s="153"/>
      <c r="AF856" s="153"/>
      <c r="AG856" s="153"/>
    </row>
    <row r="857" ht="15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  <c r="AA857" s="153"/>
      <c r="AB857" s="153"/>
      <c r="AC857" s="153"/>
      <c r="AD857" s="153"/>
      <c r="AE857" s="153"/>
      <c r="AF857" s="153"/>
      <c r="AG857" s="153"/>
    </row>
    <row r="858" ht="15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  <c r="AA858" s="153"/>
      <c r="AB858" s="153"/>
      <c r="AC858" s="153"/>
      <c r="AD858" s="153"/>
      <c r="AE858" s="153"/>
      <c r="AF858" s="153"/>
      <c r="AG858" s="153"/>
    </row>
    <row r="859" ht="15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  <c r="AA859" s="153"/>
      <c r="AB859" s="153"/>
      <c r="AC859" s="153"/>
      <c r="AD859" s="153"/>
      <c r="AE859" s="153"/>
      <c r="AF859" s="153"/>
      <c r="AG859" s="153"/>
    </row>
    <row r="860" ht="15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  <c r="AA860" s="153"/>
      <c r="AB860" s="153"/>
      <c r="AC860" s="153"/>
      <c r="AD860" s="153"/>
      <c r="AE860" s="153"/>
      <c r="AF860" s="153"/>
      <c r="AG860" s="153"/>
    </row>
    <row r="861" ht="15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  <c r="AA861" s="153"/>
      <c r="AB861" s="153"/>
      <c r="AC861" s="153"/>
      <c r="AD861" s="153"/>
      <c r="AE861" s="153"/>
      <c r="AF861" s="153"/>
      <c r="AG861" s="153"/>
    </row>
    <row r="862" ht="15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  <c r="AA862" s="153"/>
      <c r="AB862" s="153"/>
      <c r="AC862" s="153"/>
      <c r="AD862" s="153"/>
      <c r="AE862" s="153"/>
      <c r="AF862" s="153"/>
      <c r="AG862" s="153"/>
    </row>
    <row r="863" ht="15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  <c r="AA863" s="153"/>
      <c r="AB863" s="153"/>
      <c r="AC863" s="153"/>
      <c r="AD863" s="153"/>
      <c r="AE863" s="153"/>
      <c r="AF863" s="153"/>
      <c r="AG863" s="153"/>
    </row>
    <row r="864" ht="15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  <c r="AA864" s="153"/>
      <c r="AB864" s="153"/>
      <c r="AC864" s="153"/>
      <c r="AD864" s="153"/>
      <c r="AE864" s="153"/>
      <c r="AF864" s="153"/>
      <c r="AG864" s="153"/>
    </row>
    <row r="865" ht="15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  <c r="AA865" s="153"/>
      <c r="AB865" s="153"/>
      <c r="AC865" s="153"/>
      <c r="AD865" s="153"/>
      <c r="AE865" s="153"/>
      <c r="AF865" s="153"/>
      <c r="AG865" s="153"/>
    </row>
    <row r="866" ht="15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  <c r="AA866" s="153"/>
      <c r="AB866" s="153"/>
      <c r="AC866" s="153"/>
      <c r="AD866" s="153"/>
      <c r="AE866" s="153"/>
      <c r="AF866" s="153"/>
      <c r="AG866" s="153"/>
    </row>
    <row r="867" ht="15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  <c r="AA867" s="153"/>
      <c r="AB867" s="153"/>
      <c r="AC867" s="153"/>
      <c r="AD867" s="153"/>
      <c r="AE867" s="153"/>
      <c r="AF867" s="153"/>
      <c r="AG867" s="153"/>
    </row>
    <row r="868" ht="15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  <c r="AA868" s="153"/>
      <c r="AB868" s="153"/>
      <c r="AC868" s="153"/>
      <c r="AD868" s="153"/>
      <c r="AE868" s="153"/>
      <c r="AF868" s="153"/>
      <c r="AG868" s="153"/>
    </row>
    <row r="869" ht="15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  <c r="AA869" s="153"/>
      <c r="AB869" s="153"/>
      <c r="AC869" s="153"/>
      <c r="AD869" s="153"/>
      <c r="AE869" s="153"/>
      <c r="AF869" s="153"/>
      <c r="AG869" s="153"/>
    </row>
    <row r="870" ht="15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  <c r="AA870" s="153"/>
      <c r="AB870" s="153"/>
      <c r="AC870" s="153"/>
      <c r="AD870" s="153"/>
      <c r="AE870" s="153"/>
      <c r="AF870" s="153"/>
      <c r="AG870" s="153"/>
    </row>
    <row r="871" ht="15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  <c r="AA871" s="153"/>
      <c r="AB871" s="153"/>
      <c r="AC871" s="153"/>
      <c r="AD871" s="153"/>
      <c r="AE871" s="153"/>
      <c r="AF871" s="153"/>
      <c r="AG871" s="153"/>
    </row>
    <row r="872" ht="15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  <c r="AA872" s="153"/>
      <c r="AB872" s="153"/>
      <c r="AC872" s="153"/>
      <c r="AD872" s="153"/>
      <c r="AE872" s="153"/>
      <c r="AF872" s="153"/>
      <c r="AG872" s="153"/>
    </row>
    <row r="873" ht="15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  <c r="AA873" s="153"/>
      <c r="AB873" s="153"/>
      <c r="AC873" s="153"/>
      <c r="AD873" s="153"/>
      <c r="AE873" s="153"/>
      <c r="AF873" s="153"/>
      <c r="AG873" s="153"/>
    </row>
    <row r="874" ht="15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  <c r="AA874" s="153"/>
      <c r="AB874" s="153"/>
      <c r="AC874" s="153"/>
      <c r="AD874" s="153"/>
      <c r="AE874" s="153"/>
      <c r="AF874" s="153"/>
      <c r="AG874" s="153"/>
    </row>
    <row r="875" ht="15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  <c r="AA875" s="153"/>
      <c r="AB875" s="153"/>
      <c r="AC875" s="153"/>
      <c r="AD875" s="153"/>
      <c r="AE875" s="153"/>
      <c r="AF875" s="153"/>
      <c r="AG875" s="153"/>
    </row>
    <row r="876" ht="15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  <c r="AA876" s="153"/>
      <c r="AB876" s="153"/>
      <c r="AC876" s="153"/>
      <c r="AD876" s="153"/>
      <c r="AE876" s="153"/>
      <c r="AF876" s="153"/>
      <c r="AG876" s="153"/>
    </row>
    <row r="877" ht="15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  <c r="AA877" s="153"/>
      <c r="AB877" s="153"/>
      <c r="AC877" s="153"/>
      <c r="AD877" s="153"/>
      <c r="AE877" s="153"/>
      <c r="AF877" s="153"/>
      <c r="AG877" s="153"/>
    </row>
    <row r="878" ht="15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  <c r="AA878" s="153"/>
      <c r="AB878" s="153"/>
      <c r="AC878" s="153"/>
      <c r="AD878" s="153"/>
      <c r="AE878" s="153"/>
      <c r="AF878" s="153"/>
      <c r="AG878" s="153"/>
    </row>
    <row r="879" ht="15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  <c r="AA879" s="153"/>
      <c r="AB879" s="153"/>
      <c r="AC879" s="153"/>
      <c r="AD879" s="153"/>
      <c r="AE879" s="153"/>
      <c r="AF879" s="153"/>
      <c r="AG879" s="153"/>
    </row>
    <row r="880" ht="15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  <c r="AA880" s="153"/>
      <c r="AB880" s="153"/>
      <c r="AC880" s="153"/>
      <c r="AD880" s="153"/>
      <c r="AE880" s="153"/>
      <c r="AF880" s="153"/>
      <c r="AG880" s="153"/>
    </row>
    <row r="881" ht="15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  <c r="AA881" s="153"/>
      <c r="AB881" s="153"/>
      <c r="AC881" s="153"/>
      <c r="AD881" s="153"/>
      <c r="AE881" s="153"/>
      <c r="AF881" s="153"/>
      <c r="AG881" s="153"/>
    </row>
    <row r="882" ht="15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  <c r="AA882" s="153"/>
      <c r="AB882" s="153"/>
      <c r="AC882" s="153"/>
      <c r="AD882" s="153"/>
      <c r="AE882" s="153"/>
      <c r="AF882" s="153"/>
      <c r="AG882" s="153"/>
    </row>
    <row r="883" ht="15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  <c r="AA883" s="153"/>
      <c r="AB883" s="153"/>
      <c r="AC883" s="153"/>
      <c r="AD883" s="153"/>
      <c r="AE883" s="153"/>
      <c r="AF883" s="153"/>
      <c r="AG883" s="153"/>
    </row>
    <row r="884" ht="15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  <c r="AA884" s="153"/>
      <c r="AB884" s="153"/>
      <c r="AC884" s="153"/>
      <c r="AD884" s="153"/>
      <c r="AE884" s="153"/>
      <c r="AF884" s="153"/>
      <c r="AG884" s="153"/>
    </row>
    <row r="885" ht="15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  <c r="AA885" s="153"/>
      <c r="AB885" s="153"/>
      <c r="AC885" s="153"/>
      <c r="AD885" s="153"/>
      <c r="AE885" s="153"/>
      <c r="AF885" s="153"/>
      <c r="AG885" s="153"/>
    </row>
    <row r="886" ht="15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  <c r="AA886" s="153"/>
      <c r="AB886" s="153"/>
      <c r="AC886" s="153"/>
      <c r="AD886" s="153"/>
      <c r="AE886" s="153"/>
      <c r="AF886" s="153"/>
      <c r="AG886" s="153"/>
    </row>
    <row r="887" ht="15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  <c r="AA887" s="153"/>
      <c r="AB887" s="153"/>
      <c r="AC887" s="153"/>
      <c r="AD887" s="153"/>
      <c r="AE887" s="153"/>
      <c r="AF887" s="153"/>
      <c r="AG887" s="153"/>
    </row>
    <row r="888" ht="15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  <c r="AA888" s="153"/>
      <c r="AB888" s="153"/>
      <c r="AC888" s="153"/>
      <c r="AD888" s="153"/>
      <c r="AE888" s="153"/>
      <c r="AF888" s="153"/>
      <c r="AG888" s="153"/>
    </row>
    <row r="889" ht="15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  <c r="AA889" s="153"/>
      <c r="AB889" s="153"/>
      <c r="AC889" s="153"/>
      <c r="AD889" s="153"/>
      <c r="AE889" s="153"/>
      <c r="AF889" s="153"/>
      <c r="AG889" s="153"/>
    </row>
    <row r="890" ht="15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  <c r="AA890" s="153"/>
      <c r="AB890" s="153"/>
      <c r="AC890" s="153"/>
      <c r="AD890" s="153"/>
      <c r="AE890" s="153"/>
      <c r="AF890" s="153"/>
      <c r="AG890" s="153"/>
    </row>
    <row r="891" ht="15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  <c r="AA891" s="153"/>
      <c r="AB891" s="153"/>
      <c r="AC891" s="153"/>
      <c r="AD891" s="153"/>
      <c r="AE891" s="153"/>
      <c r="AF891" s="153"/>
      <c r="AG891" s="153"/>
    </row>
    <row r="892" ht="15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  <c r="AA892" s="153"/>
      <c r="AB892" s="153"/>
      <c r="AC892" s="153"/>
      <c r="AD892" s="153"/>
      <c r="AE892" s="153"/>
      <c r="AF892" s="153"/>
      <c r="AG892" s="153"/>
    </row>
    <row r="893" ht="15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  <c r="AA893" s="153"/>
      <c r="AB893" s="153"/>
      <c r="AC893" s="153"/>
      <c r="AD893" s="153"/>
      <c r="AE893" s="153"/>
      <c r="AF893" s="153"/>
      <c r="AG893" s="153"/>
    </row>
    <row r="894" ht="15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  <c r="AA894" s="153"/>
      <c r="AB894" s="153"/>
      <c r="AC894" s="153"/>
      <c r="AD894" s="153"/>
      <c r="AE894" s="153"/>
      <c r="AF894" s="153"/>
      <c r="AG894" s="153"/>
    </row>
    <row r="895" ht="15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  <c r="AA895" s="153"/>
      <c r="AB895" s="153"/>
      <c r="AC895" s="153"/>
      <c r="AD895" s="153"/>
      <c r="AE895" s="153"/>
      <c r="AF895" s="153"/>
      <c r="AG895" s="153"/>
    </row>
    <row r="896" ht="15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  <c r="AA896" s="153"/>
      <c r="AB896" s="153"/>
      <c r="AC896" s="153"/>
      <c r="AD896" s="153"/>
      <c r="AE896" s="153"/>
      <c r="AF896" s="153"/>
      <c r="AG896" s="153"/>
    </row>
    <row r="897" ht="15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  <c r="AA897" s="153"/>
      <c r="AB897" s="153"/>
      <c r="AC897" s="153"/>
      <c r="AD897" s="153"/>
      <c r="AE897" s="153"/>
      <c r="AF897" s="153"/>
      <c r="AG897" s="153"/>
    </row>
    <row r="898" ht="15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  <c r="AA898" s="153"/>
      <c r="AB898" s="153"/>
      <c r="AC898" s="153"/>
      <c r="AD898" s="153"/>
      <c r="AE898" s="153"/>
      <c r="AF898" s="153"/>
      <c r="AG898" s="153"/>
    </row>
    <row r="899" ht="15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  <c r="AA899" s="153"/>
      <c r="AB899" s="153"/>
      <c r="AC899" s="153"/>
      <c r="AD899" s="153"/>
      <c r="AE899" s="153"/>
      <c r="AF899" s="153"/>
      <c r="AG899" s="153"/>
    </row>
    <row r="900" ht="15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  <c r="AA900" s="153"/>
      <c r="AB900" s="153"/>
      <c r="AC900" s="153"/>
      <c r="AD900" s="153"/>
      <c r="AE900" s="153"/>
      <c r="AF900" s="153"/>
      <c r="AG900" s="153"/>
    </row>
    <row r="901" ht="15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  <c r="AA901" s="153"/>
      <c r="AB901" s="153"/>
      <c r="AC901" s="153"/>
      <c r="AD901" s="153"/>
      <c r="AE901" s="153"/>
      <c r="AF901" s="153"/>
      <c r="AG901" s="153"/>
    </row>
    <row r="902" ht="15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  <c r="AA902" s="153"/>
      <c r="AB902" s="153"/>
      <c r="AC902" s="153"/>
      <c r="AD902" s="153"/>
      <c r="AE902" s="153"/>
      <c r="AF902" s="153"/>
      <c r="AG902" s="153"/>
    </row>
    <row r="903" ht="15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  <c r="AA903" s="153"/>
      <c r="AB903" s="153"/>
      <c r="AC903" s="153"/>
      <c r="AD903" s="153"/>
      <c r="AE903" s="153"/>
      <c r="AF903" s="153"/>
      <c r="AG903" s="153"/>
    </row>
    <row r="904" ht="15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  <c r="AA904" s="153"/>
      <c r="AB904" s="153"/>
      <c r="AC904" s="153"/>
      <c r="AD904" s="153"/>
      <c r="AE904" s="153"/>
      <c r="AF904" s="153"/>
      <c r="AG904" s="153"/>
    </row>
    <row r="905" ht="15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  <c r="AA905" s="153"/>
      <c r="AB905" s="153"/>
      <c r="AC905" s="153"/>
      <c r="AD905" s="153"/>
      <c r="AE905" s="153"/>
      <c r="AF905" s="153"/>
      <c r="AG905" s="153"/>
    </row>
    <row r="906" ht="15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  <c r="AA906" s="153"/>
      <c r="AB906" s="153"/>
      <c r="AC906" s="153"/>
      <c r="AD906" s="153"/>
      <c r="AE906" s="153"/>
      <c r="AF906" s="153"/>
      <c r="AG906" s="153"/>
    </row>
    <row r="907" ht="15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  <c r="AA907" s="153"/>
      <c r="AB907" s="153"/>
      <c r="AC907" s="153"/>
      <c r="AD907" s="153"/>
      <c r="AE907" s="153"/>
      <c r="AF907" s="153"/>
      <c r="AG907" s="153"/>
    </row>
    <row r="908" ht="15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  <c r="AA908" s="153"/>
      <c r="AB908" s="153"/>
      <c r="AC908" s="153"/>
      <c r="AD908" s="153"/>
      <c r="AE908" s="153"/>
      <c r="AF908" s="153"/>
      <c r="AG908" s="153"/>
    </row>
    <row r="909" ht="15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  <c r="AA909" s="153"/>
      <c r="AB909" s="153"/>
      <c r="AC909" s="153"/>
      <c r="AD909" s="153"/>
      <c r="AE909" s="153"/>
      <c r="AF909" s="153"/>
      <c r="AG909" s="153"/>
    </row>
    <row r="910" ht="15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  <c r="AA910" s="153"/>
      <c r="AB910" s="153"/>
      <c r="AC910" s="153"/>
      <c r="AD910" s="153"/>
      <c r="AE910" s="153"/>
      <c r="AF910" s="153"/>
      <c r="AG910" s="153"/>
    </row>
    <row r="911" ht="15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  <c r="AA911" s="153"/>
      <c r="AB911" s="153"/>
      <c r="AC911" s="153"/>
      <c r="AD911" s="153"/>
      <c r="AE911" s="153"/>
      <c r="AF911" s="153"/>
      <c r="AG911" s="153"/>
    </row>
    <row r="912" ht="15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  <c r="AA912" s="153"/>
      <c r="AB912" s="153"/>
      <c r="AC912" s="153"/>
      <c r="AD912" s="153"/>
      <c r="AE912" s="153"/>
      <c r="AF912" s="153"/>
      <c r="AG912" s="153"/>
    </row>
    <row r="913" ht="15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  <c r="AA913" s="153"/>
      <c r="AB913" s="153"/>
      <c r="AC913" s="153"/>
      <c r="AD913" s="153"/>
      <c r="AE913" s="153"/>
      <c r="AF913" s="153"/>
      <c r="AG913" s="153"/>
    </row>
    <row r="914" ht="15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  <c r="AA914" s="153"/>
      <c r="AB914" s="153"/>
      <c r="AC914" s="153"/>
      <c r="AD914" s="153"/>
      <c r="AE914" s="153"/>
      <c r="AF914" s="153"/>
      <c r="AG914" s="153"/>
    </row>
    <row r="915" ht="15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  <c r="AA915" s="153"/>
      <c r="AB915" s="153"/>
      <c r="AC915" s="153"/>
      <c r="AD915" s="153"/>
      <c r="AE915" s="153"/>
      <c r="AF915" s="153"/>
      <c r="AG915" s="153"/>
    </row>
    <row r="916" ht="15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  <c r="AA916" s="153"/>
      <c r="AB916" s="153"/>
      <c r="AC916" s="153"/>
      <c r="AD916" s="153"/>
      <c r="AE916" s="153"/>
      <c r="AF916" s="153"/>
      <c r="AG916" s="153"/>
    </row>
    <row r="917" ht="15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  <c r="AA917" s="153"/>
      <c r="AB917" s="153"/>
      <c r="AC917" s="153"/>
      <c r="AD917" s="153"/>
      <c r="AE917" s="153"/>
      <c r="AF917" s="153"/>
      <c r="AG917" s="153"/>
    </row>
    <row r="918" ht="15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  <c r="AA918" s="153"/>
      <c r="AB918" s="153"/>
      <c r="AC918" s="153"/>
      <c r="AD918" s="153"/>
      <c r="AE918" s="153"/>
      <c r="AF918" s="153"/>
      <c r="AG918" s="153"/>
    </row>
    <row r="919" ht="15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  <c r="AA919" s="153"/>
      <c r="AB919" s="153"/>
      <c r="AC919" s="153"/>
      <c r="AD919" s="153"/>
      <c r="AE919" s="153"/>
      <c r="AF919" s="153"/>
      <c r="AG919" s="153"/>
    </row>
    <row r="920" ht="15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  <c r="AA920" s="153"/>
      <c r="AB920" s="153"/>
      <c r="AC920" s="153"/>
      <c r="AD920" s="153"/>
      <c r="AE920" s="153"/>
      <c r="AF920" s="153"/>
      <c r="AG920" s="153"/>
    </row>
    <row r="921" ht="15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  <c r="AA921" s="153"/>
      <c r="AB921" s="153"/>
      <c r="AC921" s="153"/>
      <c r="AD921" s="153"/>
      <c r="AE921" s="153"/>
      <c r="AF921" s="153"/>
      <c r="AG921" s="153"/>
    </row>
    <row r="922" ht="15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  <c r="AA922" s="153"/>
      <c r="AB922" s="153"/>
      <c r="AC922" s="153"/>
      <c r="AD922" s="153"/>
      <c r="AE922" s="153"/>
      <c r="AF922" s="153"/>
      <c r="AG922" s="153"/>
    </row>
    <row r="923" ht="15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  <c r="AA923" s="153"/>
      <c r="AB923" s="153"/>
      <c r="AC923" s="153"/>
      <c r="AD923" s="153"/>
      <c r="AE923" s="153"/>
      <c r="AF923" s="153"/>
      <c r="AG923" s="153"/>
    </row>
    <row r="924" ht="15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  <c r="AA924" s="153"/>
      <c r="AB924" s="153"/>
      <c r="AC924" s="153"/>
      <c r="AD924" s="153"/>
      <c r="AE924" s="153"/>
      <c r="AF924" s="153"/>
      <c r="AG924" s="153"/>
    </row>
    <row r="925" ht="15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  <c r="AA925" s="153"/>
      <c r="AB925" s="153"/>
      <c r="AC925" s="153"/>
      <c r="AD925" s="153"/>
      <c r="AE925" s="153"/>
      <c r="AF925" s="153"/>
      <c r="AG925" s="153"/>
    </row>
    <row r="926" ht="15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  <c r="AA926" s="153"/>
      <c r="AB926" s="153"/>
      <c r="AC926" s="153"/>
      <c r="AD926" s="153"/>
      <c r="AE926" s="153"/>
      <c r="AF926" s="153"/>
      <c r="AG926" s="153"/>
    </row>
    <row r="927" ht="15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  <c r="AA927" s="153"/>
      <c r="AB927" s="153"/>
      <c r="AC927" s="153"/>
      <c r="AD927" s="153"/>
      <c r="AE927" s="153"/>
      <c r="AF927" s="153"/>
      <c r="AG927" s="153"/>
    </row>
    <row r="928" ht="15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  <c r="AA928" s="153"/>
      <c r="AB928" s="153"/>
      <c r="AC928" s="153"/>
      <c r="AD928" s="153"/>
      <c r="AE928" s="153"/>
      <c r="AF928" s="153"/>
      <c r="AG928" s="153"/>
    </row>
    <row r="929" ht="15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  <c r="AA929" s="153"/>
      <c r="AB929" s="153"/>
      <c r="AC929" s="153"/>
      <c r="AD929" s="153"/>
      <c r="AE929" s="153"/>
      <c r="AF929" s="153"/>
      <c r="AG929" s="153"/>
    </row>
    <row r="930" ht="15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  <c r="AA930" s="153"/>
      <c r="AB930" s="153"/>
      <c r="AC930" s="153"/>
      <c r="AD930" s="153"/>
      <c r="AE930" s="153"/>
      <c r="AF930" s="153"/>
      <c r="AG930" s="153"/>
    </row>
    <row r="931" ht="15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  <c r="AA931" s="153"/>
      <c r="AB931" s="153"/>
      <c r="AC931" s="153"/>
      <c r="AD931" s="153"/>
      <c r="AE931" s="153"/>
      <c r="AF931" s="153"/>
      <c r="AG931" s="153"/>
    </row>
    <row r="932" ht="15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  <c r="AA932" s="153"/>
      <c r="AB932" s="153"/>
      <c r="AC932" s="153"/>
      <c r="AD932" s="153"/>
      <c r="AE932" s="153"/>
      <c r="AF932" s="153"/>
      <c r="AG932" s="153"/>
    </row>
    <row r="933" ht="15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  <c r="AA933" s="153"/>
      <c r="AB933" s="153"/>
      <c r="AC933" s="153"/>
      <c r="AD933" s="153"/>
      <c r="AE933" s="153"/>
      <c r="AF933" s="153"/>
      <c r="AG933" s="153"/>
    </row>
    <row r="934" ht="15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  <c r="AA934" s="153"/>
      <c r="AB934" s="153"/>
      <c r="AC934" s="153"/>
      <c r="AD934" s="153"/>
      <c r="AE934" s="153"/>
      <c r="AF934" s="153"/>
      <c r="AG934" s="153"/>
    </row>
    <row r="935" ht="15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  <c r="AA935" s="153"/>
      <c r="AB935" s="153"/>
      <c r="AC935" s="153"/>
      <c r="AD935" s="153"/>
      <c r="AE935" s="153"/>
      <c r="AF935" s="153"/>
      <c r="AG935" s="153"/>
    </row>
    <row r="936" ht="15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  <c r="AA936" s="153"/>
      <c r="AB936" s="153"/>
      <c r="AC936" s="153"/>
      <c r="AD936" s="153"/>
      <c r="AE936" s="153"/>
      <c r="AF936" s="153"/>
      <c r="AG936" s="153"/>
    </row>
    <row r="937" ht="15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  <c r="AA937" s="153"/>
      <c r="AB937" s="153"/>
      <c r="AC937" s="153"/>
      <c r="AD937" s="153"/>
      <c r="AE937" s="153"/>
      <c r="AF937" s="153"/>
      <c r="AG937" s="153"/>
    </row>
    <row r="938" ht="15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  <c r="AA938" s="153"/>
      <c r="AB938" s="153"/>
      <c r="AC938" s="153"/>
      <c r="AD938" s="153"/>
      <c r="AE938" s="153"/>
      <c r="AF938" s="153"/>
      <c r="AG938" s="153"/>
    </row>
    <row r="939" ht="15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  <c r="AA939" s="153"/>
      <c r="AB939" s="153"/>
      <c r="AC939" s="153"/>
      <c r="AD939" s="153"/>
      <c r="AE939" s="153"/>
      <c r="AF939" s="153"/>
      <c r="AG939" s="153"/>
    </row>
    <row r="940" ht="15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  <c r="AA940" s="153"/>
      <c r="AB940" s="153"/>
      <c r="AC940" s="153"/>
      <c r="AD940" s="153"/>
      <c r="AE940" s="153"/>
      <c r="AF940" s="153"/>
      <c r="AG940" s="153"/>
    </row>
    <row r="941" ht="15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  <c r="AA941" s="153"/>
      <c r="AB941" s="153"/>
      <c r="AC941" s="153"/>
      <c r="AD941" s="153"/>
      <c r="AE941" s="153"/>
      <c r="AF941" s="153"/>
      <c r="AG941" s="153"/>
    </row>
    <row r="942" ht="15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  <c r="AA942" s="153"/>
      <c r="AB942" s="153"/>
      <c r="AC942" s="153"/>
      <c r="AD942" s="153"/>
      <c r="AE942" s="153"/>
      <c r="AF942" s="153"/>
      <c r="AG942" s="153"/>
    </row>
    <row r="943" ht="15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  <c r="AA943" s="153"/>
      <c r="AB943" s="153"/>
      <c r="AC943" s="153"/>
      <c r="AD943" s="153"/>
      <c r="AE943" s="153"/>
      <c r="AF943" s="153"/>
      <c r="AG943" s="153"/>
    </row>
    <row r="944" ht="15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  <c r="AA944" s="153"/>
      <c r="AB944" s="153"/>
      <c r="AC944" s="153"/>
      <c r="AD944" s="153"/>
      <c r="AE944" s="153"/>
      <c r="AF944" s="153"/>
      <c r="AG944" s="153"/>
    </row>
    <row r="945" ht="15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  <c r="AA945" s="153"/>
      <c r="AB945" s="153"/>
      <c r="AC945" s="153"/>
      <c r="AD945" s="153"/>
      <c r="AE945" s="153"/>
      <c r="AF945" s="153"/>
      <c r="AG945" s="153"/>
    </row>
    <row r="946" ht="15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  <c r="AA946" s="153"/>
      <c r="AB946" s="153"/>
      <c r="AC946" s="153"/>
      <c r="AD946" s="153"/>
      <c r="AE946" s="153"/>
      <c r="AF946" s="153"/>
      <c r="AG946" s="153"/>
    </row>
    <row r="947" ht="15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  <c r="AA947" s="153"/>
      <c r="AB947" s="153"/>
      <c r="AC947" s="153"/>
      <c r="AD947" s="153"/>
      <c r="AE947" s="153"/>
      <c r="AF947" s="153"/>
      <c r="AG947" s="153"/>
    </row>
    <row r="948" ht="15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  <c r="AA948" s="153"/>
      <c r="AB948" s="153"/>
      <c r="AC948" s="153"/>
      <c r="AD948" s="153"/>
      <c r="AE948" s="153"/>
      <c r="AF948" s="153"/>
      <c r="AG948" s="153"/>
    </row>
    <row r="949" ht="15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  <c r="AA949" s="153"/>
      <c r="AB949" s="153"/>
      <c r="AC949" s="153"/>
      <c r="AD949" s="153"/>
      <c r="AE949" s="153"/>
      <c r="AF949" s="153"/>
      <c r="AG949" s="153"/>
    </row>
    <row r="950" ht="15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  <c r="AA950" s="153"/>
      <c r="AB950" s="153"/>
      <c r="AC950" s="153"/>
      <c r="AD950" s="153"/>
      <c r="AE950" s="153"/>
      <c r="AF950" s="153"/>
      <c r="AG950" s="153"/>
    </row>
    <row r="951" ht="15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  <c r="AA951" s="153"/>
      <c r="AB951" s="153"/>
      <c r="AC951" s="153"/>
      <c r="AD951" s="153"/>
      <c r="AE951" s="153"/>
      <c r="AF951" s="153"/>
      <c r="AG951" s="153"/>
    </row>
    <row r="952" ht="15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  <c r="AA952" s="153"/>
      <c r="AB952" s="153"/>
      <c r="AC952" s="153"/>
      <c r="AD952" s="153"/>
      <c r="AE952" s="153"/>
      <c r="AF952" s="153"/>
      <c r="AG952" s="153"/>
    </row>
    <row r="953" ht="15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  <c r="AA953" s="153"/>
      <c r="AB953" s="153"/>
      <c r="AC953" s="153"/>
      <c r="AD953" s="153"/>
      <c r="AE953" s="153"/>
      <c r="AF953" s="153"/>
      <c r="AG953" s="153"/>
    </row>
    <row r="954" ht="15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  <c r="AA954" s="153"/>
      <c r="AB954" s="153"/>
      <c r="AC954" s="153"/>
      <c r="AD954" s="153"/>
      <c r="AE954" s="153"/>
      <c r="AF954" s="153"/>
      <c r="AG954" s="153"/>
    </row>
    <row r="955" ht="15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  <c r="AA955" s="153"/>
      <c r="AB955" s="153"/>
      <c r="AC955" s="153"/>
      <c r="AD955" s="153"/>
      <c r="AE955" s="153"/>
      <c r="AF955" s="153"/>
      <c r="AG955" s="153"/>
    </row>
    <row r="956" ht="15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  <c r="AA956" s="153"/>
      <c r="AB956" s="153"/>
      <c r="AC956" s="153"/>
      <c r="AD956" s="153"/>
      <c r="AE956" s="153"/>
      <c r="AF956" s="153"/>
      <c r="AG956" s="153"/>
    </row>
    <row r="957" ht="15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  <c r="AA957" s="153"/>
      <c r="AB957" s="153"/>
      <c r="AC957" s="153"/>
      <c r="AD957" s="153"/>
      <c r="AE957" s="153"/>
      <c r="AF957" s="153"/>
      <c r="AG957" s="153"/>
    </row>
    <row r="958" ht="15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  <c r="AA958" s="153"/>
      <c r="AB958" s="153"/>
      <c r="AC958" s="153"/>
      <c r="AD958" s="153"/>
      <c r="AE958" s="153"/>
      <c r="AF958" s="153"/>
      <c r="AG958" s="153"/>
    </row>
    <row r="959" ht="15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  <c r="AA959" s="153"/>
      <c r="AB959" s="153"/>
      <c r="AC959" s="153"/>
      <c r="AD959" s="153"/>
      <c r="AE959" s="153"/>
      <c r="AF959" s="153"/>
      <c r="AG959" s="153"/>
    </row>
    <row r="960" ht="15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  <c r="AA960" s="153"/>
      <c r="AB960" s="153"/>
      <c r="AC960" s="153"/>
      <c r="AD960" s="153"/>
      <c r="AE960" s="153"/>
      <c r="AF960" s="153"/>
      <c r="AG960" s="153"/>
    </row>
    <row r="961" ht="15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  <c r="AA961" s="153"/>
      <c r="AB961" s="153"/>
      <c r="AC961" s="153"/>
      <c r="AD961" s="153"/>
      <c r="AE961" s="153"/>
      <c r="AF961" s="153"/>
      <c r="AG961" s="153"/>
    </row>
    <row r="962" ht="15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  <c r="AA962" s="153"/>
      <c r="AB962" s="153"/>
      <c r="AC962" s="153"/>
      <c r="AD962" s="153"/>
      <c r="AE962" s="153"/>
      <c r="AF962" s="153"/>
      <c r="AG962" s="153"/>
    </row>
    <row r="963" ht="15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  <c r="AA963" s="153"/>
      <c r="AB963" s="153"/>
      <c r="AC963" s="153"/>
      <c r="AD963" s="153"/>
      <c r="AE963" s="153"/>
      <c r="AF963" s="153"/>
      <c r="AG963" s="153"/>
    </row>
    <row r="964" ht="15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  <c r="AA964" s="153"/>
      <c r="AB964" s="153"/>
      <c r="AC964" s="153"/>
      <c r="AD964" s="153"/>
      <c r="AE964" s="153"/>
      <c r="AF964" s="153"/>
      <c r="AG964" s="153"/>
    </row>
    <row r="965" ht="15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  <c r="AA965" s="153"/>
      <c r="AB965" s="153"/>
      <c r="AC965" s="153"/>
      <c r="AD965" s="153"/>
      <c r="AE965" s="153"/>
      <c r="AF965" s="153"/>
      <c r="AG965" s="153"/>
    </row>
    <row r="966" ht="15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  <c r="AA966" s="153"/>
      <c r="AB966" s="153"/>
      <c r="AC966" s="153"/>
      <c r="AD966" s="153"/>
      <c r="AE966" s="153"/>
      <c r="AF966" s="153"/>
      <c r="AG966" s="153"/>
    </row>
    <row r="967" ht="15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  <c r="AA967" s="153"/>
      <c r="AB967" s="153"/>
      <c r="AC967" s="153"/>
      <c r="AD967" s="153"/>
      <c r="AE967" s="153"/>
      <c r="AF967" s="153"/>
      <c r="AG967" s="153"/>
    </row>
    <row r="968" ht="15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  <c r="AA968" s="153"/>
      <c r="AB968" s="153"/>
      <c r="AC968" s="153"/>
      <c r="AD968" s="153"/>
      <c r="AE968" s="153"/>
      <c r="AF968" s="153"/>
      <c r="AG968" s="153"/>
    </row>
    <row r="969" ht="15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  <c r="AA969" s="153"/>
      <c r="AB969" s="153"/>
      <c r="AC969" s="153"/>
      <c r="AD969" s="153"/>
      <c r="AE969" s="153"/>
      <c r="AF969" s="153"/>
      <c r="AG969" s="153"/>
    </row>
    <row r="970" ht="15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  <c r="AA970" s="153"/>
      <c r="AB970" s="153"/>
      <c r="AC970" s="153"/>
      <c r="AD970" s="153"/>
      <c r="AE970" s="153"/>
      <c r="AF970" s="153"/>
      <c r="AG970" s="153"/>
    </row>
    <row r="971" ht="15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  <c r="AA971" s="153"/>
      <c r="AB971" s="153"/>
      <c r="AC971" s="153"/>
      <c r="AD971" s="153"/>
      <c r="AE971" s="153"/>
      <c r="AF971" s="153"/>
      <c r="AG971" s="153"/>
    </row>
    <row r="972" ht="15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  <c r="AA972" s="153"/>
      <c r="AB972" s="153"/>
      <c r="AC972" s="153"/>
      <c r="AD972" s="153"/>
      <c r="AE972" s="153"/>
      <c r="AF972" s="153"/>
      <c r="AG972" s="153"/>
    </row>
    <row r="973" ht="15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  <c r="AA973" s="153"/>
      <c r="AB973" s="153"/>
      <c r="AC973" s="153"/>
      <c r="AD973" s="153"/>
      <c r="AE973" s="153"/>
      <c r="AF973" s="153"/>
      <c r="AG973" s="153"/>
    </row>
    <row r="974" ht="15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  <c r="AA974" s="153"/>
      <c r="AB974" s="153"/>
      <c r="AC974" s="153"/>
      <c r="AD974" s="153"/>
      <c r="AE974" s="153"/>
      <c r="AF974" s="153"/>
      <c r="AG974" s="153"/>
    </row>
    <row r="975" ht="15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  <c r="AA975" s="153"/>
      <c r="AB975" s="153"/>
      <c r="AC975" s="153"/>
      <c r="AD975" s="153"/>
      <c r="AE975" s="153"/>
      <c r="AF975" s="153"/>
      <c r="AG975" s="153"/>
    </row>
    <row r="976" ht="15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  <c r="AA976" s="153"/>
      <c r="AB976" s="153"/>
      <c r="AC976" s="153"/>
      <c r="AD976" s="153"/>
      <c r="AE976" s="153"/>
      <c r="AF976" s="153"/>
      <c r="AG976" s="153"/>
    </row>
    <row r="977" ht="15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  <c r="AA977" s="153"/>
      <c r="AB977" s="153"/>
      <c r="AC977" s="153"/>
      <c r="AD977" s="153"/>
      <c r="AE977" s="153"/>
      <c r="AF977" s="153"/>
      <c r="AG977" s="153"/>
    </row>
    <row r="978" ht="15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  <c r="AA978" s="153"/>
      <c r="AB978" s="153"/>
      <c r="AC978" s="153"/>
      <c r="AD978" s="153"/>
      <c r="AE978" s="153"/>
      <c r="AF978" s="153"/>
      <c r="AG978" s="153"/>
    </row>
    <row r="979" ht="15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  <c r="AA979" s="153"/>
      <c r="AB979" s="153"/>
      <c r="AC979" s="153"/>
      <c r="AD979" s="153"/>
      <c r="AE979" s="153"/>
      <c r="AF979" s="153"/>
      <c r="AG979" s="153"/>
    </row>
    <row r="980" ht="15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  <c r="AA980" s="153"/>
      <c r="AB980" s="153"/>
      <c r="AC980" s="153"/>
      <c r="AD980" s="153"/>
      <c r="AE980" s="153"/>
      <c r="AF980" s="153"/>
      <c r="AG980" s="153"/>
    </row>
    <row r="981" ht="15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  <c r="AA981" s="153"/>
      <c r="AB981" s="153"/>
      <c r="AC981" s="153"/>
      <c r="AD981" s="153"/>
      <c r="AE981" s="153"/>
      <c r="AF981" s="153"/>
      <c r="AG981" s="153"/>
    </row>
    <row r="982" ht="15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  <c r="AA982" s="153"/>
      <c r="AB982" s="153"/>
      <c r="AC982" s="153"/>
      <c r="AD982" s="153"/>
      <c r="AE982" s="153"/>
      <c r="AF982" s="153"/>
      <c r="AG982" s="153"/>
    </row>
    <row r="983" ht="15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  <c r="AA983" s="153"/>
      <c r="AB983" s="153"/>
      <c r="AC983" s="153"/>
      <c r="AD983" s="153"/>
      <c r="AE983" s="153"/>
      <c r="AF983" s="153"/>
      <c r="AG983" s="153"/>
    </row>
    <row r="984" ht="15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  <c r="AA984" s="153"/>
      <c r="AB984" s="153"/>
      <c r="AC984" s="153"/>
      <c r="AD984" s="153"/>
      <c r="AE984" s="153"/>
      <c r="AF984" s="153"/>
      <c r="AG984" s="153"/>
    </row>
    <row r="985" ht="15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  <c r="AA985" s="153"/>
      <c r="AB985" s="153"/>
      <c r="AC985" s="153"/>
      <c r="AD985" s="153"/>
      <c r="AE985" s="153"/>
      <c r="AF985" s="153"/>
      <c r="AG985" s="153"/>
    </row>
    <row r="986" ht="15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  <c r="AA986" s="153"/>
      <c r="AB986" s="153"/>
      <c r="AC986" s="153"/>
      <c r="AD986" s="153"/>
      <c r="AE986" s="153"/>
      <c r="AF986" s="153"/>
      <c r="AG986" s="153"/>
    </row>
    <row r="987" ht="15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  <c r="AA987" s="153"/>
      <c r="AB987" s="153"/>
      <c r="AC987" s="153"/>
      <c r="AD987" s="153"/>
      <c r="AE987" s="153"/>
      <c r="AF987" s="153"/>
      <c r="AG987" s="153"/>
    </row>
    <row r="988" ht="15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  <c r="AA988" s="153"/>
      <c r="AB988" s="153"/>
      <c r="AC988" s="153"/>
      <c r="AD988" s="153"/>
      <c r="AE988" s="153"/>
      <c r="AF988" s="153"/>
      <c r="AG988" s="153"/>
    </row>
    <row r="989" ht="15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  <c r="AA989" s="153"/>
      <c r="AB989" s="153"/>
      <c r="AC989" s="153"/>
      <c r="AD989" s="153"/>
      <c r="AE989" s="153"/>
      <c r="AF989" s="153"/>
      <c r="AG989" s="153"/>
    </row>
    <row r="990" ht="15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  <c r="AA990" s="153"/>
      <c r="AB990" s="153"/>
      <c r="AC990" s="153"/>
      <c r="AD990" s="153"/>
      <c r="AE990" s="153"/>
      <c r="AF990" s="153"/>
      <c r="AG990" s="153"/>
    </row>
    <row r="991" ht="15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  <c r="AA991" s="153"/>
      <c r="AB991" s="153"/>
      <c r="AC991" s="153"/>
      <c r="AD991" s="153"/>
      <c r="AE991" s="153"/>
      <c r="AF991" s="153"/>
      <c r="AG991" s="153"/>
    </row>
    <row r="992" ht="15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  <c r="AA992" s="153"/>
      <c r="AB992" s="153"/>
      <c r="AC992" s="153"/>
      <c r="AD992" s="153"/>
      <c r="AE992" s="153"/>
      <c r="AF992" s="153"/>
      <c r="AG992" s="153"/>
    </row>
    <row r="993" ht="15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  <c r="AA993" s="153"/>
      <c r="AB993" s="153"/>
      <c r="AC993" s="153"/>
      <c r="AD993" s="153"/>
      <c r="AE993" s="153"/>
      <c r="AF993" s="153"/>
      <c r="AG993" s="153"/>
    </row>
    <row r="994" ht="15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  <c r="AA994" s="153"/>
      <c r="AB994" s="153"/>
      <c r="AC994" s="153"/>
      <c r="AD994" s="153"/>
      <c r="AE994" s="153"/>
      <c r="AF994" s="153"/>
      <c r="AG994" s="153"/>
    </row>
    <row r="995" ht="15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  <c r="AA995" s="153"/>
      <c r="AB995" s="153"/>
      <c r="AC995" s="153"/>
      <c r="AD995" s="153"/>
      <c r="AE995" s="153"/>
      <c r="AF995" s="153"/>
      <c r="AG995" s="153"/>
    </row>
    <row r="996" ht="15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  <c r="AA996" s="153"/>
      <c r="AB996" s="153"/>
      <c r="AC996" s="153"/>
      <c r="AD996" s="153"/>
      <c r="AE996" s="153"/>
      <c r="AF996" s="153"/>
      <c r="AG996" s="153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232</v>
      </c>
      <c r="D4" s="21" t="s">
        <v>34</v>
      </c>
      <c r="E4" s="22"/>
      <c r="F4" s="57">
        <v>46307.0</v>
      </c>
      <c r="G4" s="42"/>
      <c r="H4" s="31">
        <v>100000.0</v>
      </c>
      <c r="I4" s="24" t="s">
        <v>24</v>
      </c>
      <c r="J4" s="18"/>
      <c r="K4" s="18"/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19" t="s">
        <v>233</v>
      </c>
      <c r="D5" s="21" t="s">
        <v>22</v>
      </c>
      <c r="E5" s="69" t="s">
        <v>234</v>
      </c>
      <c r="F5" s="57">
        <v>46301.0</v>
      </c>
      <c r="G5" s="42"/>
      <c r="H5" s="31">
        <v>390000.0</v>
      </c>
      <c r="I5" s="24" t="s">
        <v>25</v>
      </c>
      <c r="J5" s="32" t="s">
        <v>26</v>
      </c>
      <c r="K5" s="32" t="s">
        <v>27</v>
      </c>
      <c r="L5" s="32" t="s">
        <v>29</v>
      </c>
      <c r="M5" s="32" t="s">
        <v>42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19" t="s">
        <v>235</v>
      </c>
      <c r="D6" s="21" t="s">
        <v>54</v>
      </c>
      <c r="E6" s="22"/>
      <c r="F6" s="57">
        <v>46303.0</v>
      </c>
      <c r="G6" s="42"/>
      <c r="H6" s="31">
        <v>100000.0</v>
      </c>
      <c r="I6" s="24" t="s">
        <v>24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48" t="s">
        <v>236</v>
      </c>
      <c r="D7" s="21" t="s">
        <v>22</v>
      </c>
      <c r="E7" s="22"/>
      <c r="F7" s="57">
        <v>46301.0</v>
      </c>
      <c r="G7" s="51"/>
      <c r="H7" s="52">
        <v>250000.0</v>
      </c>
      <c r="I7" s="24" t="s">
        <v>25</v>
      </c>
      <c r="J7" s="32" t="s">
        <v>26</v>
      </c>
      <c r="K7" s="32" t="s">
        <v>27</v>
      </c>
      <c r="L7" s="32" t="s">
        <v>29</v>
      </c>
      <c r="M7" s="32" t="s">
        <v>42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19" t="s">
        <v>237</v>
      </c>
      <c r="D8" s="21" t="s">
        <v>22</v>
      </c>
      <c r="E8" s="22"/>
      <c r="F8" s="57">
        <v>46301.0</v>
      </c>
      <c r="G8" s="42"/>
      <c r="H8" s="31">
        <v>250000.0</v>
      </c>
      <c r="I8" s="24" t="s">
        <v>25</v>
      </c>
      <c r="J8" s="32" t="s">
        <v>26</v>
      </c>
      <c r="K8" s="32" t="s">
        <v>27</v>
      </c>
      <c r="L8" s="32" t="s">
        <v>29</v>
      </c>
      <c r="M8" s="32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9" t="s">
        <v>238</v>
      </c>
      <c r="D9" s="21" t="s">
        <v>44</v>
      </c>
      <c r="E9" s="22"/>
      <c r="F9" s="57">
        <v>46301.0</v>
      </c>
      <c r="G9" s="56">
        <v>400000.0</v>
      </c>
      <c r="H9" s="96"/>
      <c r="I9" s="24" t="s">
        <v>25</v>
      </c>
      <c r="J9" s="32" t="s">
        <v>26</v>
      </c>
      <c r="K9" s="32" t="s">
        <v>27</v>
      </c>
      <c r="L9" s="32" t="s">
        <v>29</v>
      </c>
      <c r="M9" s="32" t="s">
        <v>42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239</v>
      </c>
      <c r="D10" s="21" t="s">
        <v>34</v>
      </c>
      <c r="E10" s="23"/>
      <c r="F10" s="57">
        <v>46306.0</v>
      </c>
      <c r="G10" s="51"/>
      <c r="H10" s="52">
        <v>100000.0</v>
      </c>
      <c r="I10" s="24" t="s">
        <v>24</v>
      </c>
      <c r="J10" s="18"/>
      <c r="K10" s="18"/>
      <c r="L10" s="32" t="s">
        <v>29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242</v>
      </c>
      <c r="D11" s="19" t="s">
        <v>22</v>
      </c>
      <c r="E11" s="17"/>
      <c r="F11" s="157">
        <v>46301.0</v>
      </c>
      <c r="G11" s="161">
        <v>250000.0</v>
      </c>
      <c r="H11" s="60"/>
      <c r="I11" s="32" t="s">
        <v>25</v>
      </c>
      <c r="J11" s="32" t="s">
        <v>26</v>
      </c>
      <c r="K11" s="32" t="s">
        <v>27</v>
      </c>
      <c r="L11" s="32" t="s">
        <v>29</v>
      </c>
      <c r="M11" s="32" t="s">
        <v>42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8" t="s">
        <v>243</v>
      </c>
      <c r="D12" s="19" t="s">
        <v>22</v>
      </c>
      <c r="E12" s="17"/>
      <c r="F12" s="32" t="s">
        <v>23</v>
      </c>
      <c r="G12" s="161">
        <v>330000.0</v>
      </c>
      <c r="H12" s="60"/>
      <c r="I12" s="32" t="s">
        <v>25</v>
      </c>
      <c r="J12" s="32" t="s">
        <v>26</v>
      </c>
      <c r="K12" s="32" t="s">
        <v>27</v>
      </c>
      <c r="L12" s="32" t="s">
        <v>28</v>
      </c>
      <c r="M12" s="32" t="s">
        <v>42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245</v>
      </c>
      <c r="D13" s="19" t="s">
        <v>43</v>
      </c>
      <c r="E13" s="17"/>
      <c r="F13" s="32" t="s">
        <v>221</v>
      </c>
      <c r="G13" s="159"/>
      <c r="H13" s="30">
        <v>100000.0</v>
      </c>
      <c r="I13" s="32" t="s">
        <v>25</v>
      </c>
      <c r="J13" s="32"/>
      <c r="K13" s="32"/>
      <c r="L13" s="32" t="s">
        <v>28</v>
      </c>
      <c r="M13" s="18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247</v>
      </c>
      <c r="D14" s="19" t="s">
        <v>22</v>
      </c>
      <c r="E14" s="17"/>
      <c r="F14" s="32" t="s">
        <v>23</v>
      </c>
      <c r="G14" s="161">
        <v>250000.0</v>
      </c>
      <c r="H14" s="60"/>
      <c r="I14" s="32" t="s">
        <v>25</v>
      </c>
      <c r="J14" s="32" t="s">
        <v>26</v>
      </c>
      <c r="K14" s="32" t="s">
        <v>27</v>
      </c>
      <c r="L14" s="32" t="s">
        <v>28</v>
      </c>
      <c r="M14" s="32" t="s">
        <v>59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248</v>
      </c>
      <c r="D15" s="19" t="s">
        <v>22</v>
      </c>
      <c r="E15" s="17"/>
      <c r="F15" s="32" t="s">
        <v>23</v>
      </c>
      <c r="G15" s="159"/>
      <c r="H15" s="30">
        <v>350000.0</v>
      </c>
      <c r="I15" s="32" t="s">
        <v>25</v>
      </c>
      <c r="J15" s="32" t="s">
        <v>26</v>
      </c>
      <c r="K15" s="32" t="s">
        <v>27</v>
      </c>
      <c r="L15" s="32" t="s">
        <v>28</v>
      </c>
      <c r="M15" s="32" t="s">
        <v>59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249</v>
      </c>
      <c r="D16" s="19" t="s">
        <v>22</v>
      </c>
      <c r="E16" s="17"/>
      <c r="F16" s="32" t="s">
        <v>23</v>
      </c>
      <c r="G16" s="159"/>
      <c r="H16" s="30">
        <v>330000.0</v>
      </c>
      <c r="I16" s="32" t="s">
        <v>25</v>
      </c>
      <c r="J16" s="32" t="s">
        <v>26</v>
      </c>
      <c r="K16" s="32" t="s">
        <v>27</v>
      </c>
      <c r="L16" s="32" t="s">
        <v>28</v>
      </c>
      <c r="M16" s="32" t="s">
        <v>59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250</v>
      </c>
      <c r="D17" s="19" t="s">
        <v>54</v>
      </c>
      <c r="E17" s="17"/>
      <c r="F17" s="32" t="s">
        <v>23</v>
      </c>
      <c r="G17" s="159"/>
      <c r="H17" s="30">
        <v>100000.0</v>
      </c>
      <c r="I17" s="32" t="s">
        <v>24</v>
      </c>
      <c r="J17" s="18"/>
      <c r="K17" s="18"/>
      <c r="L17" s="32" t="s">
        <v>28</v>
      </c>
      <c r="M17" s="18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250</v>
      </c>
      <c r="D18" s="19" t="s">
        <v>54</v>
      </c>
      <c r="E18" s="17"/>
      <c r="F18" s="32" t="s">
        <v>23</v>
      </c>
      <c r="G18" s="159"/>
      <c r="H18" s="30">
        <v>325000.0</v>
      </c>
      <c r="I18" s="32" t="s">
        <v>25</v>
      </c>
      <c r="J18" s="32" t="s">
        <v>26</v>
      </c>
      <c r="K18" s="32" t="s">
        <v>27</v>
      </c>
      <c r="L18" s="32" t="s">
        <v>28</v>
      </c>
      <c r="M18" s="32" t="s">
        <v>59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20" t="s">
        <v>252</v>
      </c>
      <c r="D19" s="19" t="s">
        <v>54</v>
      </c>
      <c r="E19" s="17"/>
      <c r="F19" s="32" t="s">
        <v>253</v>
      </c>
      <c r="G19" s="159"/>
      <c r="H19" s="30">
        <v>100000.0</v>
      </c>
      <c r="I19" s="32" t="s">
        <v>24</v>
      </c>
      <c r="J19" s="18"/>
      <c r="K19" s="18"/>
      <c r="L19" s="32" t="s">
        <v>28</v>
      </c>
      <c r="M19" s="18"/>
      <c r="N19" s="38"/>
      <c r="O19" s="38"/>
      <c r="P19" s="38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19">
        <f t="shared" ref="G20:H20" si="1">SUM(G4:G19)</f>
        <v>1230000</v>
      </c>
      <c r="H20" s="70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1</v>
      </c>
      <c r="C23" s="72" t="s">
        <v>7</v>
      </c>
      <c r="D23" s="72" t="s">
        <v>120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121</v>
      </c>
      <c r="O23" s="72" t="s">
        <v>2</v>
      </c>
      <c r="P23" s="1"/>
      <c r="Q23" s="1"/>
      <c r="R23" s="1"/>
    </row>
    <row r="24" ht="15.75" customHeight="1">
      <c r="A24" s="1"/>
      <c r="B24" s="73">
        <v>1.0</v>
      </c>
      <c r="C24" s="75" t="s">
        <v>124</v>
      </c>
      <c r="D24" s="76">
        <f>SUM(G20)</f>
        <v>1230000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128</v>
      </c>
      <c r="O24" s="80" t="s">
        <v>29</v>
      </c>
      <c r="P24" s="1"/>
      <c r="Q24" s="1"/>
      <c r="R24" s="1"/>
    </row>
    <row r="25" ht="15.75" customHeight="1">
      <c r="A25" s="1"/>
      <c r="B25" s="82">
        <v>2.0</v>
      </c>
      <c r="C25" s="103" t="s">
        <v>261</v>
      </c>
      <c r="D25" s="106">
        <v>-80000.0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132</v>
      </c>
      <c r="O25" s="86" t="s">
        <v>28</v>
      </c>
      <c r="P25" s="1"/>
      <c r="Q25" s="1"/>
      <c r="R25" s="1"/>
    </row>
    <row r="26" ht="15.75" customHeight="1">
      <c r="A26" s="1"/>
      <c r="B26" s="73">
        <v>3.0</v>
      </c>
      <c r="C26" s="107"/>
      <c r="D26" s="108"/>
      <c r="E26" s="77"/>
      <c r="F26" s="1"/>
      <c r="G26" s="1"/>
      <c r="H26" s="1"/>
      <c r="I26" s="1"/>
      <c r="J26" s="1"/>
      <c r="K26" s="1"/>
      <c r="L26" s="1"/>
      <c r="M26" s="1"/>
      <c r="N26" s="88" t="s">
        <v>136</v>
      </c>
      <c r="O26" s="89" t="s">
        <v>42</v>
      </c>
      <c r="P26" s="1"/>
      <c r="Q26" s="1"/>
      <c r="R26" s="1"/>
    </row>
    <row r="27" ht="15.75" customHeight="1">
      <c r="A27" s="1"/>
      <c r="B27" s="82">
        <v>4.0</v>
      </c>
      <c r="C27" s="92"/>
      <c r="D27" s="93"/>
      <c r="E27" s="77"/>
      <c r="F27" s="1"/>
      <c r="G27" s="1"/>
      <c r="H27" s="1"/>
      <c r="I27" s="1"/>
      <c r="J27" s="1"/>
      <c r="K27" s="1"/>
      <c r="L27" s="1"/>
      <c r="M27" s="1"/>
      <c r="N27" s="95" t="s">
        <v>147</v>
      </c>
      <c r="O27" s="86" t="s">
        <v>59</v>
      </c>
      <c r="P27" s="1"/>
      <c r="Q27" s="1"/>
      <c r="R27" s="1"/>
    </row>
    <row r="28" ht="15.75" customHeight="1">
      <c r="A28" s="1"/>
      <c r="B28" s="73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92"/>
      <c r="D29" s="93"/>
      <c r="E29" s="77"/>
      <c r="F29" s="1"/>
      <c r="G29" s="1"/>
      <c r="H29" s="1"/>
      <c r="I29" s="1"/>
      <c r="J29" s="1"/>
      <c r="K29" s="100" t="s">
        <v>150</v>
      </c>
      <c r="Q29" s="1"/>
      <c r="R29" s="1"/>
    </row>
    <row r="30" ht="15.75" customHeight="1">
      <c r="A30" s="1"/>
      <c r="B30" s="73">
        <v>7.0</v>
      </c>
      <c r="C30" s="75"/>
      <c r="D30" s="76"/>
      <c r="E30" s="77"/>
      <c r="F30" s="1"/>
      <c r="G30" s="1"/>
      <c r="H30" s="1"/>
      <c r="I30" s="1"/>
      <c r="J30" s="1"/>
      <c r="K30" s="101" t="s">
        <v>2</v>
      </c>
      <c r="L30" s="101" t="s">
        <v>153</v>
      </c>
      <c r="M30" s="101" t="s">
        <v>155</v>
      </c>
      <c r="N30" s="101" t="s">
        <v>156</v>
      </c>
      <c r="O30" s="101" t="s">
        <v>157</v>
      </c>
      <c r="P30" s="101" t="s">
        <v>158</v>
      </c>
      <c r="Q30" s="1"/>
      <c r="R30" s="1"/>
      <c r="AC30" s="102" t="s">
        <v>159</v>
      </c>
      <c r="AD30" s="102" t="s">
        <v>160</v>
      </c>
      <c r="AE30" s="102" t="s">
        <v>161</v>
      </c>
      <c r="AF30" s="102" t="s">
        <v>163</v>
      </c>
      <c r="AG30" s="102" t="s">
        <v>164</v>
      </c>
    </row>
    <row r="31" ht="15.75" customHeight="1">
      <c r="A31" s="1"/>
      <c r="B31" s="82">
        <v>8.0</v>
      </c>
      <c r="C31" s="92"/>
      <c r="D31" s="93"/>
      <c r="E31" s="77"/>
      <c r="F31" s="1"/>
      <c r="G31" s="1"/>
      <c r="H31" s="1"/>
      <c r="I31" s="1"/>
      <c r="J31" s="1"/>
      <c r="K31" s="104" t="str">
        <f t="shared" ref="K31:K34" si="2">IF(O24="","",O24)</f>
        <v>INDAH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2">
        <f t="shared" ref="AC31:AC36" si="3">IF(AG31="","",IF(COUNT(L31:P31)&lt;5,"",L31/5*20+M31/5*25+N31/5*25+O31/5*15+P31/5*15))</f>
        <v>100</v>
      </c>
      <c r="AD31" s="102" t="str">
        <f t="shared" ref="AD31:AD36" si="4">IF(AC31="","",IF(AC31&gt;=90,"Sangat Baik",IF(AC31&gt;=80,"Baik",IF(AC31&gt;=70,"Coaching","Underperform"))))</f>
        <v>Sangat Baik</v>
      </c>
      <c r="AE31" s="102" t="str">
        <f t="shared" ref="AE31:AE36" si="5">IF(AG31="","",IF(OR(AG31="INDAH",AG31="ADDEL",AG31="AMEL",AG31="PENTIL",AG31="JIJANG"),"Admin/CS","Fotografer"))</f>
        <v>Admin/CS</v>
      </c>
      <c r="AF31" s="102">
        <f t="shared" ref="AF31:AF36" si="6">IF(OR(AG31="",COUNT(L31:P31)&lt;5),"",1)</f>
        <v>1</v>
      </c>
      <c r="AG31" s="102" t="str">
        <f t="shared" ref="AG31:AG36" si="7">IFERROR(K31,"")</f>
        <v>INDAH</v>
      </c>
    </row>
    <row r="32" ht="15.75" customHeight="1">
      <c r="A32" s="1"/>
      <c r="B32" s="73">
        <v>9.0</v>
      </c>
      <c r="C32" s="75"/>
      <c r="D32" s="76"/>
      <c r="E32" s="77"/>
      <c r="F32" s="1"/>
      <c r="G32" s="1"/>
      <c r="H32" s="1"/>
      <c r="I32" s="1"/>
      <c r="J32" s="1"/>
      <c r="K32" s="104" t="str">
        <f t="shared" si="2"/>
        <v>AMEL</v>
      </c>
      <c r="L32" s="105">
        <v>4.0</v>
      </c>
      <c r="M32" s="105">
        <v>3.0</v>
      </c>
      <c r="N32" s="105">
        <v>5.0</v>
      </c>
      <c r="O32" s="105">
        <v>5.0</v>
      </c>
      <c r="P32" s="105">
        <v>4.0</v>
      </c>
      <c r="Q32" s="1"/>
      <c r="R32" s="1"/>
      <c r="AC32" s="102">
        <f t="shared" si="3"/>
        <v>83</v>
      </c>
      <c r="AD32" s="102" t="str">
        <f t="shared" si="4"/>
        <v>Baik</v>
      </c>
      <c r="AE32" s="102" t="str">
        <f t="shared" si="5"/>
        <v>Admin/CS</v>
      </c>
      <c r="AF32" s="102">
        <f t="shared" si="6"/>
        <v>1</v>
      </c>
      <c r="AG32" s="102" t="str">
        <f t="shared" si="7"/>
        <v>AMEL</v>
      </c>
    </row>
    <row r="33" ht="15.75" customHeight="1">
      <c r="A33" s="1"/>
      <c r="B33" s="82">
        <v>10.0</v>
      </c>
      <c r="C33" s="92"/>
      <c r="D33" s="93"/>
      <c r="E33" s="77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ADIF</v>
      </c>
    </row>
    <row r="34" ht="15.75" customHeight="1">
      <c r="A34" s="1"/>
      <c r="B34" s="114">
        <v>11.0</v>
      </c>
      <c r="C34" s="115"/>
      <c r="D34" s="116"/>
      <c r="E34" s="77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Fotografer</v>
      </c>
      <c r="AF34" s="102">
        <f t="shared" si="6"/>
        <v>1</v>
      </c>
      <c r="AG34" s="102" t="str">
        <f t="shared" si="7"/>
        <v>SAKA</v>
      </c>
    </row>
    <row r="35" ht="15.75" customHeight="1">
      <c r="A35" s="1"/>
      <c r="B35" s="1"/>
      <c r="C35" s="3"/>
      <c r="D35" s="117">
        <f>SUM(D24:D34)</f>
        <v>1150000</v>
      </c>
      <c r="E35" s="1"/>
      <c r="F35" s="1"/>
      <c r="G35" s="1"/>
      <c r="H35" s="1"/>
      <c r="I35" s="1"/>
      <c r="J35" s="1"/>
      <c r="K35" s="104"/>
      <c r="L35" s="118"/>
      <c r="M35" s="118"/>
      <c r="N35" s="118"/>
      <c r="O35" s="118"/>
      <c r="P35" s="118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4"/>
      <c r="L36" s="118"/>
      <c r="M36" s="118"/>
      <c r="N36" s="118"/>
      <c r="O36" s="118"/>
      <c r="P36" s="118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195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1" t="s">
        <v>198</v>
      </c>
      <c r="N39" s="1"/>
      <c r="O39" s="1"/>
      <c r="P39" s="1"/>
      <c r="Q39" s="1"/>
      <c r="R39" s="1"/>
    </row>
    <row r="40" ht="15.75" customHeight="1">
      <c r="K40" s="123" t="s">
        <v>8</v>
      </c>
      <c r="L40" s="123" t="s">
        <v>200</v>
      </c>
      <c r="M40" s="123" t="s">
        <v>201</v>
      </c>
    </row>
    <row r="41" ht="15.75" customHeight="1">
      <c r="K41" s="126" t="str">
        <f t="shared" ref="K41:K42" si="8">IF(O24="","",O24)</f>
        <v>INDAH</v>
      </c>
      <c r="L41" s="127">
        <v>4.0</v>
      </c>
      <c r="M41" s="129"/>
    </row>
    <row r="42" ht="15.75" customHeight="1">
      <c r="K42" s="126" t="str">
        <f t="shared" si="8"/>
        <v>AMEL</v>
      </c>
      <c r="L42" s="127">
        <v>3.0</v>
      </c>
      <c r="M42" s="129"/>
    </row>
    <row r="43" ht="15.75" customHeight="1"/>
    <row r="44" ht="19.5" customHeight="1">
      <c r="K44" s="132" t="s">
        <v>206</v>
      </c>
    </row>
    <row r="45" ht="19.5" customHeight="1">
      <c r="K45" s="134" t="s">
        <v>207</v>
      </c>
      <c r="M45" s="127">
        <v>26.0</v>
      </c>
    </row>
    <row r="46" ht="19.5" customHeight="1">
      <c r="K46" s="135" t="s">
        <v>208</v>
      </c>
      <c r="M46" s="138">
        <f>COUNTIF($I$4:$I$22,"DP")</f>
        <v>5</v>
      </c>
    </row>
    <row r="47" ht="19.5" customHeight="1">
      <c r="K47" s="135" t="s">
        <v>210</v>
      </c>
      <c r="M47" s="138">
        <f>COUNTIFS($I$4:$I$22,"&lt;&gt;DP",$I$4:$I$22,"&lt;&gt;")</f>
        <v>11</v>
      </c>
    </row>
    <row r="48" ht="19.5" customHeight="1">
      <c r="K48" s="139" t="s">
        <v>211</v>
      </c>
      <c r="M48" s="138">
        <f>M46+M47</f>
        <v>16</v>
      </c>
    </row>
    <row r="49" ht="19.5" customHeight="1">
      <c r="K49" s="134" t="s">
        <v>212</v>
      </c>
      <c r="M49" s="141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240</v>
      </c>
      <c r="D4" s="21" t="s">
        <v>241</v>
      </c>
      <c r="E4" s="22"/>
      <c r="F4" s="57">
        <v>46302.0</v>
      </c>
      <c r="G4" s="42"/>
      <c r="H4" s="31">
        <v>100000.0</v>
      </c>
      <c r="I4" s="24" t="s">
        <v>24</v>
      </c>
      <c r="J4" s="18"/>
      <c r="K4" s="18"/>
      <c r="L4" s="24" t="s">
        <v>29</v>
      </c>
      <c r="M4" s="17"/>
      <c r="N4" s="33"/>
      <c r="O4" s="33"/>
      <c r="P4" s="34"/>
      <c r="Q4" s="1"/>
      <c r="R4" s="1"/>
    </row>
    <row r="5" ht="15.75" customHeight="1">
      <c r="A5" s="1"/>
      <c r="B5" s="18">
        <v>2.0</v>
      </c>
      <c r="C5" s="19" t="s">
        <v>244</v>
      </c>
      <c r="D5" s="21" t="s">
        <v>241</v>
      </c>
      <c r="E5" s="22"/>
      <c r="F5" s="57">
        <v>46302.0</v>
      </c>
      <c r="G5" s="42"/>
      <c r="H5" s="31">
        <v>250000.0</v>
      </c>
      <c r="I5" s="24" t="s">
        <v>25</v>
      </c>
      <c r="J5" s="32" t="s">
        <v>26</v>
      </c>
      <c r="K5" s="32" t="s">
        <v>27</v>
      </c>
      <c r="L5" s="24" t="s">
        <v>29</v>
      </c>
      <c r="M5" s="24" t="s">
        <v>59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162" t="s">
        <v>246</v>
      </c>
      <c r="D6" s="21" t="s">
        <v>34</v>
      </c>
      <c r="E6" s="50"/>
      <c r="F6" s="57">
        <v>46271.0</v>
      </c>
      <c r="G6" s="51"/>
      <c r="H6" s="31">
        <v>225000.0</v>
      </c>
      <c r="I6" s="24" t="s">
        <v>25</v>
      </c>
      <c r="J6" s="32" t="s">
        <v>26</v>
      </c>
      <c r="K6" s="32" t="s">
        <v>26</v>
      </c>
      <c r="L6" s="24" t="s">
        <v>29</v>
      </c>
      <c r="M6" s="24" t="s">
        <v>59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19" t="s">
        <v>251</v>
      </c>
      <c r="D7" s="21" t="s">
        <v>22</v>
      </c>
      <c r="E7" s="22"/>
      <c r="F7" s="57">
        <v>46302.0</v>
      </c>
      <c r="G7" s="42"/>
      <c r="H7" s="31">
        <v>250000.0</v>
      </c>
      <c r="I7" s="24" t="s">
        <v>25</v>
      </c>
      <c r="J7" s="32" t="s">
        <v>26</v>
      </c>
      <c r="K7" s="32" t="s">
        <v>27</v>
      </c>
      <c r="L7" s="24" t="s">
        <v>29</v>
      </c>
      <c r="M7" s="24" t="s">
        <v>59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19" t="s">
        <v>254</v>
      </c>
      <c r="D8" s="21" t="s">
        <v>54</v>
      </c>
      <c r="E8" s="22"/>
      <c r="F8" s="163">
        <v>46302.0</v>
      </c>
      <c r="G8" s="42"/>
      <c r="H8" s="31">
        <v>175000.0</v>
      </c>
      <c r="I8" s="32" t="s">
        <v>25</v>
      </c>
      <c r="J8" s="32" t="s">
        <v>26</v>
      </c>
      <c r="K8" s="32" t="s">
        <v>26</v>
      </c>
      <c r="L8" s="32" t="s">
        <v>29</v>
      </c>
      <c r="M8" s="32" t="s">
        <v>59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9" t="s">
        <v>115</v>
      </c>
      <c r="D9" s="21" t="s">
        <v>86</v>
      </c>
      <c r="E9" s="164" t="s">
        <v>255</v>
      </c>
      <c r="F9" s="163">
        <v>46298.0</v>
      </c>
      <c r="G9" s="42"/>
      <c r="H9" s="31">
        <v>50000.0</v>
      </c>
      <c r="I9" s="32" t="s">
        <v>25</v>
      </c>
      <c r="J9" s="18"/>
      <c r="K9" s="18"/>
      <c r="L9" s="32" t="s">
        <v>29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256</v>
      </c>
      <c r="D10" s="21" t="s">
        <v>54</v>
      </c>
      <c r="E10" s="47"/>
      <c r="F10" s="163">
        <v>46312.0</v>
      </c>
      <c r="G10" s="42"/>
      <c r="H10" s="31">
        <v>100000.0</v>
      </c>
      <c r="I10" s="32" t="s">
        <v>24</v>
      </c>
      <c r="J10" s="18"/>
      <c r="K10" s="18"/>
      <c r="L10" s="32" t="s">
        <v>29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9" t="s">
        <v>257</v>
      </c>
      <c r="D11" s="21" t="s">
        <v>43</v>
      </c>
      <c r="E11" s="23"/>
      <c r="F11" s="24" t="s">
        <v>258</v>
      </c>
      <c r="G11" s="42"/>
      <c r="H11" s="31">
        <v>100000.0</v>
      </c>
      <c r="I11" s="32" t="s">
        <v>25</v>
      </c>
      <c r="J11" s="18"/>
      <c r="K11" s="18"/>
      <c r="L11" s="32" t="s">
        <v>28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9" t="s">
        <v>259</v>
      </c>
      <c r="D12" s="21" t="s">
        <v>67</v>
      </c>
      <c r="E12" s="22"/>
      <c r="F12" s="24" t="s">
        <v>221</v>
      </c>
      <c r="G12" s="42"/>
      <c r="H12" s="31">
        <v>100000.0</v>
      </c>
      <c r="I12" s="32" t="s">
        <v>24</v>
      </c>
      <c r="J12" s="18"/>
      <c r="K12" s="18"/>
      <c r="L12" s="32" t="s">
        <v>28</v>
      </c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9" t="s">
        <v>260</v>
      </c>
      <c r="D13" s="21" t="s">
        <v>34</v>
      </c>
      <c r="E13" s="22"/>
      <c r="F13" s="24" t="s">
        <v>253</v>
      </c>
      <c r="G13" s="64">
        <v>125000.0</v>
      </c>
      <c r="H13" s="37"/>
      <c r="I13" s="32" t="s">
        <v>25</v>
      </c>
      <c r="J13" s="32" t="s">
        <v>26</v>
      </c>
      <c r="K13" s="32" t="s">
        <v>40</v>
      </c>
      <c r="L13" s="32" t="s">
        <v>28</v>
      </c>
      <c r="M13" s="32" t="s">
        <v>59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9" t="s">
        <v>262</v>
      </c>
      <c r="D14" s="21" t="s">
        <v>54</v>
      </c>
      <c r="E14" s="22"/>
      <c r="F14" s="24" t="s">
        <v>263</v>
      </c>
      <c r="G14" s="42"/>
      <c r="H14" s="31">
        <v>100000.0</v>
      </c>
      <c r="I14" s="32" t="s">
        <v>24</v>
      </c>
      <c r="J14" s="18"/>
      <c r="K14" s="18"/>
      <c r="L14" s="32" t="s">
        <v>28</v>
      </c>
      <c r="M14" s="18"/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59"/>
      <c r="D15" s="61"/>
      <c r="E15" s="22"/>
      <c r="F15" s="165"/>
      <c r="G15" s="42"/>
      <c r="H15" s="37"/>
      <c r="I15" s="18"/>
      <c r="J15" s="18"/>
      <c r="K15" s="18"/>
      <c r="L15" s="18"/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59"/>
      <c r="D16" s="61"/>
      <c r="E16" s="22"/>
      <c r="F16" s="165"/>
      <c r="G16" s="42"/>
      <c r="H16" s="37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59"/>
      <c r="D17" s="61"/>
      <c r="E17" s="23"/>
      <c r="F17" s="165"/>
      <c r="G17" s="51"/>
      <c r="H17" s="96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78"/>
      <c r="D18" s="59"/>
      <c r="E18" s="17"/>
      <c r="F18" s="18"/>
      <c r="G18" s="159"/>
      <c r="H18" s="60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9">
        <f t="shared" ref="G19:H19" si="1">SUM(G4:G18)</f>
        <v>125000</v>
      </c>
      <c r="H19" s="70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1</v>
      </c>
      <c r="C22" s="72" t="s">
        <v>7</v>
      </c>
      <c r="D22" s="72" t="s">
        <v>120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121</v>
      </c>
      <c r="O22" s="72" t="s">
        <v>2</v>
      </c>
      <c r="P22" s="1"/>
      <c r="Q22" s="1"/>
      <c r="R22" s="1"/>
    </row>
    <row r="23" ht="15.75" customHeight="1">
      <c r="A23" s="1"/>
      <c r="B23" s="73">
        <v>1.0</v>
      </c>
      <c r="C23" s="75" t="s">
        <v>124</v>
      </c>
      <c r="D23" s="76">
        <f>SUM(G19)</f>
        <v>125000</v>
      </c>
      <c r="E23" s="77"/>
      <c r="F23" s="1"/>
      <c r="G23" s="1"/>
      <c r="H23" s="1"/>
      <c r="I23" s="1"/>
      <c r="J23" s="1"/>
      <c r="K23" s="1"/>
      <c r="L23" s="1"/>
      <c r="M23" s="1"/>
      <c r="N23" s="79" t="s">
        <v>128</v>
      </c>
      <c r="O23" s="80" t="s">
        <v>29</v>
      </c>
      <c r="P23" s="1"/>
      <c r="Q23" s="1"/>
      <c r="R23" s="1"/>
    </row>
    <row r="24" ht="15.75" customHeight="1">
      <c r="A24" s="1"/>
      <c r="B24" s="82">
        <v>2.0</v>
      </c>
      <c r="C24" s="83"/>
      <c r="D24" s="84"/>
      <c r="E24" s="77"/>
      <c r="F24" s="1"/>
      <c r="G24" s="1"/>
      <c r="H24" s="1"/>
      <c r="I24" s="1"/>
      <c r="J24" s="1"/>
      <c r="K24" s="1"/>
      <c r="L24" s="1"/>
      <c r="M24" s="1"/>
      <c r="N24" s="85" t="s">
        <v>132</v>
      </c>
      <c r="O24" s="86" t="s">
        <v>28</v>
      </c>
      <c r="P24" s="1"/>
      <c r="Q24" s="1"/>
      <c r="R24" s="1"/>
    </row>
    <row r="25" ht="15.75" customHeight="1">
      <c r="A25" s="1"/>
      <c r="B25" s="73">
        <v>3.0</v>
      </c>
      <c r="C25" s="107"/>
      <c r="D25" s="108"/>
      <c r="E25" s="77"/>
      <c r="F25" s="1"/>
      <c r="G25" s="1"/>
      <c r="H25" s="1"/>
      <c r="I25" s="1"/>
      <c r="J25" s="1"/>
      <c r="K25" s="1"/>
      <c r="L25" s="1"/>
      <c r="M25" s="1"/>
      <c r="N25" s="88" t="s">
        <v>136</v>
      </c>
      <c r="O25" s="89" t="s">
        <v>59</v>
      </c>
      <c r="P25" s="1"/>
      <c r="Q25" s="1"/>
      <c r="R25" s="1"/>
    </row>
    <row r="26" ht="15.75" customHeight="1">
      <c r="A26" s="1"/>
      <c r="B26" s="82">
        <v>4.0</v>
      </c>
      <c r="C26" s="92"/>
      <c r="D26" s="93"/>
      <c r="E26" s="77"/>
      <c r="F26" s="1"/>
      <c r="G26" s="1"/>
      <c r="H26" s="1"/>
      <c r="I26" s="1"/>
      <c r="J26" s="1"/>
      <c r="K26" s="1"/>
      <c r="L26" s="1"/>
      <c r="M26" s="1"/>
      <c r="N26" s="95" t="s">
        <v>147</v>
      </c>
      <c r="O26" s="86" t="s">
        <v>59</v>
      </c>
      <c r="P26" s="1"/>
      <c r="Q26" s="1"/>
      <c r="R26" s="1"/>
    </row>
    <row r="27" ht="15.75" customHeight="1">
      <c r="A27" s="1"/>
      <c r="B27" s="73">
        <v>5.0</v>
      </c>
      <c r="C27" s="75"/>
      <c r="D27" s="76"/>
      <c r="E27" s="77"/>
      <c r="F27" s="94"/>
      <c r="G27" s="3"/>
      <c r="H27" s="1"/>
      <c r="I27" s="1"/>
      <c r="J27" s="1"/>
      <c r="K27" s="1"/>
      <c r="L27" s="1"/>
      <c r="M27" s="1"/>
      <c r="N27" s="98"/>
      <c r="O27" s="1"/>
      <c r="P27" s="1"/>
      <c r="Q27" s="1"/>
      <c r="R27" s="1"/>
    </row>
    <row r="28" ht="15.75" customHeight="1">
      <c r="A28" s="1"/>
      <c r="B28" s="82">
        <v>6.0</v>
      </c>
      <c r="C28" s="92"/>
      <c r="D28" s="93"/>
      <c r="E28" s="77"/>
      <c r="F28" s="1"/>
      <c r="G28" s="1"/>
      <c r="H28" s="1"/>
      <c r="I28" s="1"/>
      <c r="J28" s="1"/>
      <c r="K28" s="100" t="s">
        <v>150</v>
      </c>
      <c r="Q28" s="1"/>
      <c r="R28" s="1"/>
    </row>
    <row r="29" ht="15.75" customHeight="1">
      <c r="A29" s="1"/>
      <c r="B29" s="73">
        <v>7.0</v>
      </c>
      <c r="C29" s="75"/>
      <c r="D29" s="76"/>
      <c r="E29" s="77"/>
      <c r="F29" s="1"/>
      <c r="G29" s="1"/>
      <c r="H29" s="1"/>
      <c r="I29" s="1"/>
      <c r="J29" s="1"/>
      <c r="K29" s="101" t="s">
        <v>2</v>
      </c>
      <c r="L29" s="101" t="s">
        <v>153</v>
      </c>
      <c r="M29" s="101" t="s">
        <v>155</v>
      </c>
      <c r="N29" s="101" t="s">
        <v>156</v>
      </c>
      <c r="O29" s="101" t="s">
        <v>157</v>
      </c>
      <c r="P29" s="101" t="s">
        <v>158</v>
      </c>
      <c r="Q29" s="1"/>
      <c r="R29" s="1"/>
      <c r="AC29" s="102" t="s">
        <v>159</v>
      </c>
      <c r="AD29" s="102" t="s">
        <v>160</v>
      </c>
      <c r="AE29" s="102" t="s">
        <v>161</v>
      </c>
      <c r="AF29" s="102" t="s">
        <v>163</v>
      </c>
      <c r="AG29" s="102" t="s">
        <v>164</v>
      </c>
    </row>
    <row r="30" ht="15.75" customHeight="1">
      <c r="A30" s="1"/>
      <c r="B30" s="82">
        <v>8.0</v>
      </c>
      <c r="C30" s="92"/>
      <c r="D30" s="93"/>
      <c r="E30" s="77"/>
      <c r="F30" s="1"/>
      <c r="G30" s="1"/>
      <c r="H30" s="1"/>
      <c r="I30" s="1"/>
      <c r="J30" s="1"/>
      <c r="K30" s="104" t="str">
        <f t="shared" ref="K30:K33" si="2">IF(O23="","",O23)</f>
        <v>INDAH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2">
        <f t="shared" ref="AC30:AC35" si="3">IF(AG30="","",IF(COUNT(L30:P30)&lt;5,"",L30/5*20+M30/5*25+N30/5*25+O30/5*15+P30/5*15))</f>
        <v>100</v>
      </c>
      <c r="AD30" s="102" t="str">
        <f t="shared" ref="AD30:AD35" si="4">IF(AC30="","",IF(AC30&gt;=90,"Sangat Baik",IF(AC30&gt;=80,"Baik",IF(AC30&gt;=70,"Coaching","Underperform"))))</f>
        <v>Sangat Baik</v>
      </c>
      <c r="AE30" s="102" t="str">
        <f t="shared" ref="AE30:AE35" si="5">IF(AG30="","",IF(OR(AG30="INDAH",AG30="ADDEL",AG30="AMEL",AG30="PENTIL",AG30="JIJANG"),"Admin/CS","Fotografer"))</f>
        <v>Admin/CS</v>
      </c>
      <c r="AF30" s="102">
        <f t="shared" ref="AF30:AF35" si="6">IF(OR(AG30="",COUNT(L30:P30)&lt;5),"",1)</f>
        <v>1</v>
      </c>
      <c r="AG30" s="102" t="str">
        <f t="shared" ref="AG30:AG35" si="7">IFERROR(K30,"")</f>
        <v>INDAH</v>
      </c>
    </row>
    <row r="31" ht="15.75" customHeight="1">
      <c r="A31" s="1"/>
      <c r="B31" s="73">
        <v>9.0</v>
      </c>
      <c r="C31" s="75"/>
      <c r="D31" s="76"/>
      <c r="E31" s="77"/>
      <c r="F31" s="1"/>
      <c r="G31" s="1"/>
      <c r="H31" s="1"/>
      <c r="I31" s="1"/>
      <c r="J31" s="1"/>
      <c r="K31" s="104" t="str">
        <f t="shared" si="2"/>
        <v>AMEL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Admin/CS</v>
      </c>
      <c r="AF31" s="102">
        <f t="shared" si="6"/>
        <v>1</v>
      </c>
      <c r="AG31" s="102" t="str">
        <f t="shared" si="7"/>
        <v>AMEL</v>
      </c>
    </row>
    <row r="32" ht="15.75" customHeight="1">
      <c r="A32" s="1"/>
      <c r="B32" s="82">
        <v>10.0</v>
      </c>
      <c r="C32" s="92"/>
      <c r="D32" s="93"/>
      <c r="E32" s="77"/>
      <c r="F32" s="1"/>
      <c r="G32" s="1"/>
      <c r="H32" s="1"/>
      <c r="I32" s="1"/>
      <c r="J32" s="1"/>
      <c r="K32" s="104" t="str">
        <f t="shared" si="2"/>
        <v>SAKA</v>
      </c>
      <c r="L32" s="105">
        <v>5.0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SAKA</v>
      </c>
    </row>
    <row r="33" ht="15.75" customHeight="1">
      <c r="A33" s="1"/>
      <c r="B33" s="114">
        <v>11.0</v>
      </c>
      <c r="C33" s="115"/>
      <c r="D33" s="116"/>
      <c r="E33" s="77"/>
      <c r="F33" s="1"/>
      <c r="G33" s="1"/>
      <c r="H33" s="1"/>
      <c r="I33" s="1"/>
      <c r="J33" s="1"/>
      <c r="K33" s="104" t="str">
        <f t="shared" si="2"/>
        <v>SAKA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SAKA</v>
      </c>
    </row>
    <row r="34" ht="15.75" customHeight="1">
      <c r="A34" s="1"/>
      <c r="B34" s="1"/>
      <c r="C34" s="3"/>
      <c r="D34" s="117">
        <f>SUM(D23:D33)</f>
        <v>125000</v>
      </c>
      <c r="E34" s="1"/>
      <c r="F34" s="1"/>
      <c r="G34" s="1"/>
      <c r="H34" s="1"/>
      <c r="I34" s="1"/>
      <c r="J34" s="1"/>
      <c r="K34" s="104"/>
      <c r="L34" s="118"/>
      <c r="M34" s="118"/>
      <c r="N34" s="118"/>
      <c r="O34" s="118"/>
      <c r="P34" s="118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4"/>
      <c r="L35" s="118"/>
      <c r="M35" s="118"/>
      <c r="N35" s="118"/>
      <c r="O35" s="118"/>
      <c r="P35" s="118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195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1" t="s">
        <v>198</v>
      </c>
      <c r="N38" s="1"/>
      <c r="O38" s="1"/>
      <c r="P38" s="1"/>
      <c r="Q38" s="1"/>
      <c r="R38" s="1"/>
    </row>
    <row r="39" ht="15.75" customHeight="1">
      <c r="K39" s="123" t="s">
        <v>8</v>
      </c>
      <c r="L39" s="123" t="s">
        <v>200</v>
      </c>
      <c r="M39" s="123" t="s">
        <v>201</v>
      </c>
    </row>
    <row r="40" ht="15.75" customHeight="1">
      <c r="K40" s="126" t="str">
        <f t="shared" ref="K40:K41" si="8">IF(O23="","",O23)</f>
        <v>INDAH</v>
      </c>
      <c r="L40" s="127">
        <v>2.0</v>
      </c>
      <c r="M40" s="127" t="s">
        <v>264</v>
      </c>
    </row>
    <row r="41" ht="15.75" customHeight="1">
      <c r="K41" s="126" t="str">
        <f t="shared" si="8"/>
        <v>AMEL</v>
      </c>
      <c r="L41" s="127">
        <v>3.0</v>
      </c>
      <c r="M41" s="127" t="s">
        <v>265</v>
      </c>
    </row>
    <row r="42" ht="15.75" customHeight="1"/>
    <row r="43" ht="19.5" customHeight="1">
      <c r="K43" s="132" t="s">
        <v>206</v>
      </c>
    </row>
    <row r="44" ht="19.5" customHeight="1">
      <c r="K44" s="134" t="s">
        <v>207</v>
      </c>
      <c r="M44" s="127">
        <v>21.0</v>
      </c>
    </row>
    <row r="45" ht="19.5" customHeight="1">
      <c r="K45" s="135" t="s">
        <v>208</v>
      </c>
      <c r="M45" s="138">
        <f>COUNTIF($I$4:$I$21,"DP")</f>
        <v>4</v>
      </c>
    </row>
    <row r="46" ht="19.5" customHeight="1">
      <c r="K46" s="135" t="s">
        <v>210</v>
      </c>
      <c r="M46" s="138">
        <f>COUNTIFS($I$4:$I$21,"&lt;&gt;DP",$I$4:$I$21,"&lt;&gt;")</f>
        <v>7</v>
      </c>
    </row>
    <row r="47" ht="19.5" customHeight="1">
      <c r="K47" s="139" t="s">
        <v>211</v>
      </c>
      <c r="M47" s="138">
        <f>M45+M46</f>
        <v>11</v>
      </c>
    </row>
    <row r="48" ht="19.5" customHeight="1">
      <c r="K48" s="134" t="s">
        <v>212</v>
      </c>
      <c r="M48" s="141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61</v>
      </c>
      <c r="D4" s="21" t="s">
        <v>35</v>
      </c>
      <c r="E4" s="23"/>
      <c r="F4" s="24" t="s">
        <v>38</v>
      </c>
      <c r="G4" s="28"/>
      <c r="H4" s="167">
        <v>100000.0</v>
      </c>
      <c r="I4" s="24" t="s">
        <v>25</v>
      </c>
      <c r="J4" s="24" t="s">
        <v>26</v>
      </c>
      <c r="K4" s="24" t="s">
        <v>26</v>
      </c>
      <c r="L4" s="24" t="s">
        <v>28</v>
      </c>
      <c r="M4" s="17"/>
      <c r="N4" s="18"/>
      <c r="O4" s="18"/>
      <c r="P4" s="99"/>
      <c r="Q4" s="1"/>
      <c r="R4" s="1"/>
    </row>
    <row r="5" ht="15.75" customHeight="1">
      <c r="A5" s="1"/>
      <c r="B5" s="18">
        <v>2.0</v>
      </c>
      <c r="C5" s="19" t="s">
        <v>266</v>
      </c>
      <c r="D5" s="21" t="s">
        <v>267</v>
      </c>
      <c r="E5" s="23"/>
      <c r="F5" s="24" t="s">
        <v>38</v>
      </c>
      <c r="G5" s="35">
        <v>50000.0</v>
      </c>
      <c r="H5" s="168"/>
      <c r="I5" s="24" t="s">
        <v>25</v>
      </c>
      <c r="J5" s="24" t="s">
        <v>26</v>
      </c>
      <c r="K5" s="24" t="s">
        <v>27</v>
      </c>
      <c r="L5" s="24" t="s">
        <v>28</v>
      </c>
      <c r="M5" s="24" t="s">
        <v>42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268</v>
      </c>
      <c r="D6" s="21" t="s">
        <v>231</v>
      </c>
      <c r="E6" s="23"/>
      <c r="F6" s="24" t="s">
        <v>269</v>
      </c>
      <c r="G6" s="28"/>
      <c r="H6" s="167">
        <v>20000.0</v>
      </c>
      <c r="I6" s="24" t="s">
        <v>25</v>
      </c>
      <c r="J6" s="24" t="s">
        <v>40</v>
      </c>
      <c r="K6" s="24" t="s">
        <v>40</v>
      </c>
      <c r="L6" s="24" t="s">
        <v>28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270</v>
      </c>
      <c r="D7" s="21" t="s">
        <v>54</v>
      </c>
      <c r="E7" s="23"/>
      <c r="F7" s="24" t="s">
        <v>263</v>
      </c>
      <c r="G7" s="28"/>
      <c r="H7" s="167">
        <v>550000.0</v>
      </c>
      <c r="I7" s="24" t="s">
        <v>25</v>
      </c>
      <c r="J7" s="24" t="s">
        <v>26</v>
      </c>
      <c r="K7" s="24" t="s">
        <v>27</v>
      </c>
      <c r="L7" s="24" t="s">
        <v>28</v>
      </c>
      <c r="M7" s="24" t="s">
        <v>42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271</v>
      </c>
      <c r="D8" s="21" t="s">
        <v>54</v>
      </c>
      <c r="E8" s="23"/>
      <c r="F8" s="24" t="s">
        <v>258</v>
      </c>
      <c r="G8" s="40"/>
      <c r="H8" s="169">
        <v>100000.0</v>
      </c>
      <c r="I8" s="24" t="s">
        <v>24</v>
      </c>
      <c r="J8" s="17"/>
      <c r="K8" s="17"/>
      <c r="L8" s="24" t="s">
        <v>28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9" t="s">
        <v>272</v>
      </c>
      <c r="D9" s="21" t="s">
        <v>22</v>
      </c>
      <c r="E9" s="50"/>
      <c r="F9" s="24" t="s">
        <v>263</v>
      </c>
      <c r="G9" s="28"/>
      <c r="H9" s="167">
        <v>290000.0</v>
      </c>
      <c r="I9" s="24" t="s">
        <v>25</v>
      </c>
      <c r="J9" s="24" t="s">
        <v>26</v>
      </c>
      <c r="K9" s="24" t="s">
        <v>27</v>
      </c>
      <c r="L9" s="24" t="s">
        <v>28</v>
      </c>
      <c r="M9" s="24" t="s">
        <v>42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9" t="s">
        <v>273</v>
      </c>
      <c r="D10" s="21" t="s">
        <v>43</v>
      </c>
      <c r="E10" s="50"/>
      <c r="F10" s="24" t="s">
        <v>263</v>
      </c>
      <c r="G10" s="28"/>
      <c r="H10" s="167">
        <v>100000.0</v>
      </c>
      <c r="I10" s="24" t="s">
        <v>25</v>
      </c>
      <c r="J10" s="17"/>
      <c r="K10" s="17"/>
      <c r="L10" s="24" t="s">
        <v>28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9" t="s">
        <v>235</v>
      </c>
      <c r="D11" s="21" t="s">
        <v>54</v>
      </c>
      <c r="E11" s="23"/>
      <c r="F11" s="24" t="s">
        <v>263</v>
      </c>
      <c r="G11" s="28"/>
      <c r="H11" s="167">
        <v>100000.0</v>
      </c>
      <c r="I11" s="24" t="s">
        <v>25</v>
      </c>
      <c r="J11" s="24" t="s">
        <v>26</v>
      </c>
      <c r="K11" s="24" t="s">
        <v>26</v>
      </c>
      <c r="L11" s="24" t="s">
        <v>28</v>
      </c>
      <c r="M11" s="24" t="s">
        <v>42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9" t="s">
        <v>274</v>
      </c>
      <c r="D12" s="21" t="s">
        <v>22</v>
      </c>
      <c r="E12" s="23"/>
      <c r="F12" s="24" t="s">
        <v>263</v>
      </c>
      <c r="G12" s="35">
        <v>350000.0</v>
      </c>
      <c r="H12" s="168"/>
      <c r="I12" s="24" t="s">
        <v>25</v>
      </c>
      <c r="J12" s="24" t="s">
        <v>26</v>
      </c>
      <c r="K12" s="24" t="s">
        <v>27</v>
      </c>
      <c r="L12" s="24" t="s">
        <v>28</v>
      </c>
      <c r="M12" s="24" t="s">
        <v>59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9" t="s">
        <v>275</v>
      </c>
      <c r="D13" s="21" t="s">
        <v>75</v>
      </c>
      <c r="E13" s="23"/>
      <c r="F13" s="24" t="s">
        <v>263</v>
      </c>
      <c r="G13" s="28"/>
      <c r="H13" s="167">
        <v>100000.0</v>
      </c>
      <c r="I13" s="24" t="s">
        <v>24</v>
      </c>
      <c r="J13" s="17"/>
      <c r="K13" s="17"/>
      <c r="L13" s="24" t="s">
        <v>28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9" t="s">
        <v>277</v>
      </c>
      <c r="D14" s="21" t="s">
        <v>278</v>
      </c>
      <c r="E14" s="23"/>
      <c r="F14" s="24" t="s">
        <v>263</v>
      </c>
      <c r="G14" s="28"/>
      <c r="H14" s="167">
        <v>200000.0</v>
      </c>
      <c r="I14" s="24" t="s">
        <v>25</v>
      </c>
      <c r="J14" s="24" t="s">
        <v>26</v>
      </c>
      <c r="K14" s="24" t="s">
        <v>27</v>
      </c>
      <c r="L14" s="24" t="s">
        <v>28</v>
      </c>
      <c r="M14" s="24" t="s">
        <v>59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9" t="s">
        <v>280</v>
      </c>
      <c r="D15" s="21" t="s">
        <v>75</v>
      </c>
      <c r="E15" s="23"/>
      <c r="F15" s="24" t="s">
        <v>263</v>
      </c>
      <c r="G15" s="28"/>
      <c r="H15" s="167">
        <v>150000.0</v>
      </c>
      <c r="I15" s="24" t="s">
        <v>25</v>
      </c>
      <c r="J15" s="24" t="s">
        <v>26</v>
      </c>
      <c r="K15" s="24" t="s">
        <v>27</v>
      </c>
      <c r="L15" s="24" t="s">
        <v>28</v>
      </c>
      <c r="M15" s="24" t="s">
        <v>59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9" t="s">
        <v>281</v>
      </c>
      <c r="D16" s="21" t="s">
        <v>54</v>
      </c>
      <c r="E16" s="23"/>
      <c r="F16" s="24" t="s">
        <v>258</v>
      </c>
      <c r="G16" s="28"/>
      <c r="H16" s="167">
        <v>100000.0</v>
      </c>
      <c r="I16" s="24" t="s">
        <v>24</v>
      </c>
      <c r="J16" s="17"/>
      <c r="K16" s="17"/>
      <c r="L16" s="24" t="s">
        <v>28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9" t="s">
        <v>277</v>
      </c>
      <c r="D17" s="21" t="s">
        <v>283</v>
      </c>
      <c r="E17" s="23"/>
      <c r="F17" s="24" t="s">
        <v>263</v>
      </c>
      <c r="G17" s="28"/>
      <c r="H17" s="167">
        <v>400000.0</v>
      </c>
      <c r="I17" s="24" t="s">
        <v>25</v>
      </c>
      <c r="J17" s="24" t="s">
        <v>26</v>
      </c>
      <c r="K17" s="24" t="s">
        <v>27</v>
      </c>
      <c r="L17" s="24" t="s">
        <v>28</v>
      </c>
      <c r="M17" s="24" t="s">
        <v>59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4" t="s">
        <v>285</v>
      </c>
      <c r="D18" s="21" t="s">
        <v>278</v>
      </c>
      <c r="E18" s="164">
        <v>2.0</v>
      </c>
      <c r="F18" s="24" t="s">
        <v>221</v>
      </c>
      <c r="G18" s="28"/>
      <c r="H18" s="167">
        <v>100000.0</v>
      </c>
      <c r="I18" s="24" t="s">
        <v>25</v>
      </c>
      <c r="J18" s="17"/>
      <c r="K18" s="17"/>
      <c r="L18" s="24" t="s">
        <v>28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9" t="s">
        <v>273</v>
      </c>
      <c r="D19" s="21" t="s">
        <v>267</v>
      </c>
      <c r="E19" s="23"/>
      <c r="F19" s="24" t="s">
        <v>263</v>
      </c>
      <c r="G19" s="28"/>
      <c r="H19" s="167">
        <v>50000.0</v>
      </c>
      <c r="I19" s="24" t="s">
        <v>25</v>
      </c>
      <c r="J19" s="24" t="s">
        <v>26</v>
      </c>
      <c r="K19" s="24" t="s">
        <v>27</v>
      </c>
      <c r="L19" s="24" t="s">
        <v>28</v>
      </c>
      <c r="M19" s="24" t="s">
        <v>59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19">
        <f t="shared" ref="G20:H20" si="1">SUM(G4:G19)</f>
        <v>400000</v>
      </c>
      <c r="H20" s="70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71" t="s">
        <v>1</v>
      </c>
      <c r="C23" s="72" t="s">
        <v>7</v>
      </c>
      <c r="D23" s="72" t="s">
        <v>120</v>
      </c>
      <c r="E23" s="1"/>
      <c r="F23" s="1"/>
      <c r="G23" s="1"/>
      <c r="H23" s="1"/>
      <c r="I23" s="1"/>
      <c r="J23" s="1"/>
      <c r="K23" s="1"/>
      <c r="L23" s="1"/>
      <c r="M23" s="1"/>
      <c r="N23" s="72" t="s">
        <v>121</v>
      </c>
      <c r="O23" s="72" t="s">
        <v>2</v>
      </c>
      <c r="P23" s="1"/>
      <c r="Q23" s="1"/>
      <c r="R23" s="1"/>
    </row>
    <row r="24" ht="15.75" customHeight="1">
      <c r="A24" s="1"/>
      <c r="B24" s="73">
        <v>1.0</v>
      </c>
      <c r="C24" s="75" t="s">
        <v>124</v>
      </c>
      <c r="D24" s="76">
        <f>SUM(G20)</f>
        <v>400000</v>
      </c>
      <c r="E24" s="77"/>
      <c r="F24" s="1"/>
      <c r="G24" s="1"/>
      <c r="H24" s="1"/>
      <c r="I24" s="1"/>
      <c r="J24" s="1"/>
      <c r="K24" s="1"/>
      <c r="L24" s="1"/>
      <c r="M24" s="1"/>
      <c r="N24" s="79" t="s">
        <v>128</v>
      </c>
      <c r="O24" s="80" t="s">
        <v>28</v>
      </c>
      <c r="P24" s="1"/>
      <c r="Q24" s="1"/>
      <c r="R24" s="1"/>
    </row>
    <row r="25" ht="15.75" customHeight="1">
      <c r="A25" s="1"/>
      <c r="B25" s="82">
        <v>2.0</v>
      </c>
      <c r="C25" s="103" t="s">
        <v>209</v>
      </c>
      <c r="D25" s="106">
        <v>-12000.0</v>
      </c>
      <c r="E25" s="77"/>
      <c r="F25" s="1"/>
      <c r="G25" s="1"/>
      <c r="H25" s="1"/>
      <c r="I25" s="1"/>
      <c r="J25" s="1"/>
      <c r="K25" s="1"/>
      <c r="L25" s="1"/>
      <c r="M25" s="1"/>
      <c r="N25" s="85" t="s">
        <v>132</v>
      </c>
      <c r="O25" s="86" t="s">
        <v>28</v>
      </c>
      <c r="P25" s="1"/>
      <c r="Q25" s="1"/>
      <c r="R25" s="1"/>
    </row>
    <row r="26" ht="15.75" customHeight="1">
      <c r="A26" s="1"/>
      <c r="B26" s="73">
        <v>3.0</v>
      </c>
      <c r="C26" s="171" t="s">
        <v>261</v>
      </c>
      <c r="D26" s="172">
        <v>-88000.0</v>
      </c>
      <c r="E26" s="77"/>
      <c r="F26" s="1"/>
      <c r="G26" s="1"/>
      <c r="H26" s="1"/>
      <c r="I26" s="1"/>
      <c r="J26" s="1"/>
      <c r="K26" s="1"/>
      <c r="L26" s="1"/>
      <c r="M26" s="1"/>
      <c r="N26" s="88" t="s">
        <v>136</v>
      </c>
      <c r="O26" s="89" t="s">
        <v>42</v>
      </c>
      <c r="P26" s="1"/>
      <c r="Q26" s="1"/>
      <c r="R26" s="1"/>
    </row>
    <row r="27" ht="15.75" customHeight="1">
      <c r="A27" s="1"/>
      <c r="B27" s="82">
        <v>4.0</v>
      </c>
      <c r="C27" s="173" t="s">
        <v>296</v>
      </c>
      <c r="D27" s="143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95" t="s">
        <v>147</v>
      </c>
      <c r="O27" s="86" t="s">
        <v>59</v>
      </c>
      <c r="P27" s="1"/>
      <c r="Q27" s="1"/>
      <c r="R27" s="1"/>
    </row>
    <row r="28" ht="15.75" customHeight="1">
      <c r="A28" s="1"/>
      <c r="B28" s="73">
        <v>5.0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98"/>
      <c r="O28" s="1"/>
      <c r="P28" s="1"/>
      <c r="Q28" s="1"/>
      <c r="R28" s="1"/>
    </row>
    <row r="29" ht="15.75" customHeight="1">
      <c r="A29" s="1"/>
      <c r="B29" s="82">
        <v>6.0</v>
      </c>
      <c r="C29" s="92"/>
      <c r="D29" s="93"/>
      <c r="E29" s="77"/>
      <c r="F29" s="1"/>
      <c r="G29" s="1"/>
      <c r="H29" s="1"/>
      <c r="I29" s="1"/>
      <c r="J29" s="1"/>
      <c r="K29" s="100" t="s">
        <v>150</v>
      </c>
      <c r="Q29" s="1"/>
      <c r="R29" s="1"/>
    </row>
    <row r="30" ht="15.75" customHeight="1">
      <c r="A30" s="1"/>
      <c r="B30" s="73">
        <v>7.0</v>
      </c>
      <c r="C30" s="75"/>
      <c r="D30" s="76"/>
      <c r="E30" s="77"/>
      <c r="F30" s="1"/>
      <c r="G30" s="1"/>
      <c r="H30" s="1"/>
      <c r="I30" s="1"/>
      <c r="J30" s="1"/>
      <c r="K30" s="101" t="s">
        <v>2</v>
      </c>
      <c r="L30" s="101" t="s">
        <v>153</v>
      </c>
      <c r="M30" s="101" t="s">
        <v>155</v>
      </c>
      <c r="N30" s="101" t="s">
        <v>156</v>
      </c>
      <c r="O30" s="101" t="s">
        <v>157</v>
      </c>
      <c r="P30" s="101" t="s">
        <v>158</v>
      </c>
      <c r="Q30" s="1"/>
      <c r="R30" s="1"/>
      <c r="AC30" s="102" t="s">
        <v>159</v>
      </c>
      <c r="AD30" s="102" t="s">
        <v>160</v>
      </c>
      <c r="AE30" s="102" t="s">
        <v>161</v>
      </c>
      <c r="AF30" s="102" t="s">
        <v>163</v>
      </c>
      <c r="AG30" s="102" t="s">
        <v>164</v>
      </c>
    </row>
    <row r="31" ht="15.75" customHeight="1">
      <c r="A31" s="1"/>
      <c r="B31" s="82">
        <v>8.0</v>
      </c>
      <c r="C31" s="92"/>
      <c r="D31" s="93"/>
      <c r="E31" s="77"/>
      <c r="F31" s="1"/>
      <c r="G31" s="1"/>
      <c r="H31" s="1"/>
      <c r="I31" s="1"/>
      <c r="J31" s="1"/>
      <c r="K31" s="104" t="str">
        <f t="shared" ref="K31:K34" si="2">IF(O24="","",O24)</f>
        <v>AMEL</v>
      </c>
      <c r="L31" s="105">
        <v>5.0</v>
      </c>
      <c r="M31" s="105">
        <v>5.0</v>
      </c>
      <c r="N31" s="105">
        <v>4.0</v>
      </c>
      <c r="O31" s="105">
        <v>4.0</v>
      </c>
      <c r="P31" s="105">
        <v>5.0</v>
      </c>
      <c r="Q31" s="1"/>
      <c r="R31" s="1"/>
      <c r="AC31" s="102">
        <f t="shared" ref="AC31:AC36" si="3">IF(AG31="","",IF(COUNT(L31:P31)&lt;5,"",L31/5*20+M31/5*25+N31/5*25+O31/5*15+P31/5*15))</f>
        <v>92</v>
      </c>
      <c r="AD31" s="102" t="str">
        <f t="shared" ref="AD31:AD36" si="4">IF(AC31="","",IF(AC31&gt;=90,"Sangat Baik",IF(AC31&gt;=80,"Baik",IF(AC31&gt;=70,"Coaching","Underperform"))))</f>
        <v>Sangat Baik</v>
      </c>
      <c r="AE31" s="102" t="str">
        <f t="shared" ref="AE31:AE36" si="5">IF(AG31="","",IF(OR(AG31="INDAH",AG31="ADDEL",AG31="AMEL",AG31="PENTIL",AG31="JIJANG"),"Admin/CS","Fotografer"))</f>
        <v>Admin/CS</v>
      </c>
      <c r="AF31" s="102">
        <f t="shared" ref="AF31:AF36" si="6">IF(OR(AG31="",COUNT(L31:P31)&lt;5),"",1)</f>
        <v>1</v>
      </c>
      <c r="AG31" s="102" t="str">
        <f t="shared" ref="AG31:AG36" si="7">IFERROR(K31,"")</f>
        <v>AMEL</v>
      </c>
    </row>
    <row r="32" ht="15.75" customHeight="1">
      <c r="A32" s="1"/>
      <c r="B32" s="73">
        <v>9.0</v>
      </c>
      <c r="C32" s="75"/>
      <c r="D32" s="76"/>
      <c r="E32" s="77"/>
      <c r="F32" s="1"/>
      <c r="G32" s="1"/>
      <c r="H32" s="1"/>
      <c r="I32" s="1"/>
      <c r="J32" s="1"/>
      <c r="K32" s="104" t="str">
        <f t="shared" si="2"/>
        <v>AMEL</v>
      </c>
      <c r="L32" s="105">
        <v>5.0</v>
      </c>
      <c r="M32" s="105">
        <v>5.0</v>
      </c>
      <c r="N32" s="105">
        <v>4.0</v>
      </c>
      <c r="O32" s="105">
        <v>4.0</v>
      </c>
      <c r="P32" s="105">
        <v>5.0</v>
      </c>
      <c r="Q32" s="1"/>
      <c r="R32" s="1"/>
      <c r="AC32" s="102">
        <f t="shared" si="3"/>
        <v>92</v>
      </c>
      <c r="AD32" s="102" t="str">
        <f t="shared" si="4"/>
        <v>Sangat Baik</v>
      </c>
      <c r="AE32" s="102" t="str">
        <f t="shared" si="5"/>
        <v>Admin/CS</v>
      </c>
      <c r="AF32" s="102">
        <f t="shared" si="6"/>
        <v>1</v>
      </c>
      <c r="AG32" s="102" t="str">
        <f t="shared" si="7"/>
        <v>AMEL</v>
      </c>
    </row>
    <row r="33" ht="15.75" customHeight="1">
      <c r="A33" s="1"/>
      <c r="B33" s="82">
        <v>10.0</v>
      </c>
      <c r="C33" s="92"/>
      <c r="D33" s="93"/>
      <c r="E33" s="77"/>
      <c r="F33" s="1"/>
      <c r="G33" s="1"/>
      <c r="H33" s="1"/>
      <c r="I33" s="1"/>
      <c r="J33" s="1"/>
      <c r="K33" s="104" t="str">
        <f t="shared" si="2"/>
        <v>ADIF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ADIF</v>
      </c>
    </row>
    <row r="34" ht="15.75" customHeight="1">
      <c r="A34" s="1"/>
      <c r="B34" s="114">
        <v>11.0</v>
      </c>
      <c r="C34" s="115"/>
      <c r="D34" s="116"/>
      <c r="E34" s="77"/>
      <c r="F34" s="1"/>
      <c r="G34" s="1"/>
      <c r="H34" s="1"/>
      <c r="I34" s="1"/>
      <c r="J34" s="1"/>
      <c r="K34" s="104" t="str">
        <f t="shared" si="2"/>
        <v>SAKA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Fotografer</v>
      </c>
      <c r="AF34" s="102">
        <f t="shared" si="6"/>
        <v>1</v>
      </c>
      <c r="AG34" s="102" t="str">
        <f t="shared" si="7"/>
        <v>SAKA</v>
      </c>
    </row>
    <row r="35" ht="15.75" customHeight="1">
      <c r="A35" s="1"/>
      <c r="B35" s="1"/>
      <c r="C35" s="3"/>
      <c r="D35" s="117">
        <f>SUM(D24:D34)</f>
        <v>250000</v>
      </c>
      <c r="E35" s="1"/>
      <c r="F35" s="1"/>
      <c r="G35" s="1"/>
      <c r="H35" s="1"/>
      <c r="I35" s="1"/>
      <c r="J35" s="1"/>
      <c r="K35" s="104"/>
      <c r="L35" s="118"/>
      <c r="M35" s="118"/>
      <c r="N35" s="118"/>
      <c r="O35" s="118"/>
      <c r="P35" s="118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4"/>
      <c r="L36" s="118"/>
      <c r="M36" s="118"/>
      <c r="N36" s="118"/>
      <c r="O36" s="118"/>
      <c r="P36" s="118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0" t="s">
        <v>195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1" t="s">
        <v>198</v>
      </c>
      <c r="N39" s="1"/>
      <c r="O39" s="1"/>
      <c r="P39" s="1"/>
      <c r="Q39" s="1"/>
      <c r="R39" s="1"/>
    </row>
    <row r="40" ht="15.75" customHeight="1">
      <c r="K40" s="123" t="s">
        <v>8</v>
      </c>
      <c r="L40" s="123" t="s">
        <v>200</v>
      </c>
      <c r="M40" s="123" t="s">
        <v>201</v>
      </c>
    </row>
    <row r="41" ht="15.75" customHeight="1">
      <c r="K41" s="126" t="str">
        <f t="shared" ref="K41:K42" si="8">IF(O24="","",O24)</f>
        <v>AMEL</v>
      </c>
      <c r="L41" s="127">
        <v>5.0</v>
      </c>
      <c r="M41" s="129"/>
    </row>
    <row r="42" ht="15.75" customHeight="1">
      <c r="K42" s="126" t="str">
        <f t="shared" si="8"/>
        <v>AMEL</v>
      </c>
      <c r="L42" s="129"/>
      <c r="M42" s="129"/>
    </row>
    <row r="43" ht="15.75" customHeight="1"/>
    <row r="44" ht="19.5" customHeight="1">
      <c r="K44" s="132" t="s">
        <v>206</v>
      </c>
    </row>
    <row r="45" ht="19.5" customHeight="1">
      <c r="K45" s="134" t="s">
        <v>207</v>
      </c>
      <c r="M45" s="127">
        <v>20.0</v>
      </c>
    </row>
    <row r="46" ht="19.5" customHeight="1">
      <c r="K46" s="135" t="s">
        <v>208</v>
      </c>
      <c r="M46" s="138">
        <f>COUNTIF($I$4:$I$22,"DP")</f>
        <v>3</v>
      </c>
    </row>
    <row r="47" ht="19.5" customHeight="1">
      <c r="K47" s="135" t="s">
        <v>210</v>
      </c>
      <c r="M47" s="138">
        <f>COUNTIFS($I$4:$I$22,"&lt;&gt;DP",$I$4:$I$22,"&lt;&gt;")</f>
        <v>13</v>
      </c>
    </row>
    <row r="48" ht="19.5" customHeight="1">
      <c r="K48" s="139" t="s">
        <v>211</v>
      </c>
      <c r="M48" s="138">
        <f>M46+M47</f>
        <v>16</v>
      </c>
    </row>
    <row r="49" ht="19.5" customHeight="1">
      <c r="K49" s="134" t="s">
        <v>212</v>
      </c>
      <c r="M49" s="141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273</v>
      </c>
      <c r="D4" s="21" t="s">
        <v>77</v>
      </c>
      <c r="E4" s="23"/>
      <c r="F4" s="17"/>
      <c r="G4" s="28"/>
      <c r="H4" s="167">
        <v>140000.0</v>
      </c>
      <c r="I4" s="24" t="s">
        <v>25</v>
      </c>
      <c r="J4" s="24" t="s">
        <v>26</v>
      </c>
      <c r="K4" s="24" t="s">
        <v>26</v>
      </c>
      <c r="L4" s="24" t="s">
        <v>28</v>
      </c>
      <c r="M4" s="17"/>
      <c r="N4" s="33"/>
      <c r="O4" s="33"/>
      <c r="P4" s="34"/>
      <c r="Q4" s="1"/>
      <c r="R4" s="1"/>
    </row>
    <row r="5" ht="15.75" customHeight="1">
      <c r="A5" s="1"/>
      <c r="B5" s="18">
        <v>2.0</v>
      </c>
      <c r="C5" s="19" t="s">
        <v>276</v>
      </c>
      <c r="D5" s="21" t="s">
        <v>22</v>
      </c>
      <c r="E5" s="50"/>
      <c r="F5" s="24" t="s">
        <v>47</v>
      </c>
      <c r="G5" s="28"/>
      <c r="H5" s="167">
        <v>100000.0</v>
      </c>
      <c r="I5" s="24" t="s">
        <v>24</v>
      </c>
      <c r="J5" s="24" t="s">
        <v>40</v>
      </c>
      <c r="K5" s="24" t="s">
        <v>40</v>
      </c>
      <c r="L5" s="24" t="s">
        <v>28</v>
      </c>
      <c r="M5" s="17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9" t="s">
        <v>279</v>
      </c>
      <c r="D6" s="21" t="s">
        <v>75</v>
      </c>
      <c r="E6" s="23"/>
      <c r="F6" s="24" t="s">
        <v>51</v>
      </c>
      <c r="G6" s="28"/>
      <c r="H6" s="167">
        <v>100000.0</v>
      </c>
      <c r="I6" s="24" t="s">
        <v>24</v>
      </c>
      <c r="J6" s="24" t="s">
        <v>40</v>
      </c>
      <c r="K6" s="24" t="s">
        <v>40</v>
      </c>
      <c r="L6" s="24" t="s">
        <v>28</v>
      </c>
      <c r="M6" s="17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9" t="s">
        <v>259</v>
      </c>
      <c r="D7" s="21" t="s">
        <v>67</v>
      </c>
      <c r="E7" s="164" t="s">
        <v>282</v>
      </c>
      <c r="F7" s="24" t="s">
        <v>221</v>
      </c>
      <c r="G7" s="28"/>
      <c r="H7" s="167">
        <v>350000.0</v>
      </c>
      <c r="I7" s="24" t="s">
        <v>25</v>
      </c>
      <c r="J7" s="24" t="s">
        <v>40</v>
      </c>
      <c r="K7" s="24" t="s">
        <v>40</v>
      </c>
      <c r="L7" s="24" t="s">
        <v>28</v>
      </c>
      <c r="M7" s="17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9" t="s">
        <v>284</v>
      </c>
      <c r="D8" s="21" t="s">
        <v>43</v>
      </c>
      <c r="E8" s="23"/>
      <c r="F8" s="24" t="s">
        <v>51</v>
      </c>
      <c r="G8" s="28"/>
      <c r="H8" s="167">
        <v>100000.0</v>
      </c>
      <c r="I8" s="24" t="s">
        <v>25</v>
      </c>
      <c r="J8" s="24" t="s">
        <v>40</v>
      </c>
      <c r="K8" s="24" t="s">
        <v>40</v>
      </c>
      <c r="L8" s="24" t="s">
        <v>28</v>
      </c>
      <c r="M8" s="17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9" t="s">
        <v>286</v>
      </c>
      <c r="D9" s="21" t="s">
        <v>278</v>
      </c>
      <c r="E9" s="23"/>
      <c r="F9" s="24" t="s">
        <v>221</v>
      </c>
      <c r="G9" s="28"/>
      <c r="H9" s="167">
        <v>50000.0</v>
      </c>
      <c r="I9" s="24" t="s">
        <v>25</v>
      </c>
      <c r="J9" s="24" t="s">
        <v>26</v>
      </c>
      <c r="K9" s="24" t="s">
        <v>27</v>
      </c>
      <c r="L9" s="24" t="s">
        <v>28</v>
      </c>
      <c r="M9" s="24" t="s">
        <v>42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287</v>
      </c>
      <c r="D10" s="21" t="s">
        <v>22</v>
      </c>
      <c r="E10" s="23"/>
      <c r="F10" s="57">
        <v>46312.0</v>
      </c>
      <c r="G10" s="40"/>
      <c r="H10" s="169">
        <v>100000.0</v>
      </c>
      <c r="I10" s="24" t="s">
        <v>24</v>
      </c>
      <c r="J10" s="17"/>
      <c r="K10" s="17"/>
      <c r="L10" s="24" t="s">
        <v>29</v>
      </c>
      <c r="M10" s="17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9" t="s">
        <v>288</v>
      </c>
      <c r="D11" s="21" t="s">
        <v>34</v>
      </c>
      <c r="E11" s="23"/>
      <c r="F11" s="57">
        <v>46304.0</v>
      </c>
      <c r="G11" s="40"/>
      <c r="H11" s="169">
        <v>100000.0</v>
      </c>
      <c r="I11" s="24" t="s">
        <v>24</v>
      </c>
      <c r="J11" s="17"/>
      <c r="K11" s="17"/>
      <c r="L11" s="24" t="s">
        <v>29</v>
      </c>
      <c r="M11" s="17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9" t="s">
        <v>289</v>
      </c>
      <c r="D12" s="21" t="s">
        <v>54</v>
      </c>
      <c r="E12" s="164" t="s">
        <v>197</v>
      </c>
      <c r="F12" s="57">
        <v>46304.0</v>
      </c>
      <c r="G12" s="40"/>
      <c r="H12" s="169">
        <v>175000.0</v>
      </c>
      <c r="I12" s="24" t="s">
        <v>25</v>
      </c>
      <c r="J12" s="24" t="s">
        <v>26</v>
      </c>
      <c r="K12" s="24" t="s">
        <v>26</v>
      </c>
      <c r="L12" s="24" t="s">
        <v>29</v>
      </c>
      <c r="M12" s="24" t="s">
        <v>42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9" t="s">
        <v>290</v>
      </c>
      <c r="D13" s="21" t="s">
        <v>54</v>
      </c>
      <c r="E13" s="23"/>
      <c r="F13" s="57">
        <v>46307.0</v>
      </c>
      <c r="G13" s="28"/>
      <c r="H13" s="167">
        <v>100000.0</v>
      </c>
      <c r="I13" s="24" t="s">
        <v>24</v>
      </c>
      <c r="J13" s="17"/>
      <c r="K13" s="17"/>
      <c r="L13" s="24" t="s">
        <v>29</v>
      </c>
      <c r="M13" s="17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9" t="s">
        <v>291</v>
      </c>
      <c r="D14" s="21" t="s">
        <v>278</v>
      </c>
      <c r="E14" s="23"/>
      <c r="F14" s="57">
        <v>46304.0</v>
      </c>
      <c r="G14" s="35">
        <v>0.0</v>
      </c>
      <c r="H14" s="167">
        <v>0.0</v>
      </c>
      <c r="I14" s="24" t="s">
        <v>25</v>
      </c>
      <c r="J14" s="24" t="s">
        <v>26</v>
      </c>
      <c r="K14" s="24" t="s">
        <v>26</v>
      </c>
      <c r="L14" s="24" t="s">
        <v>29</v>
      </c>
      <c r="M14" s="24" t="s">
        <v>42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19" t="s">
        <v>292</v>
      </c>
      <c r="D15" s="21" t="s">
        <v>293</v>
      </c>
      <c r="E15" s="23"/>
      <c r="F15" s="17"/>
      <c r="G15" s="28"/>
      <c r="H15" s="167">
        <v>125000.0</v>
      </c>
      <c r="I15" s="24" t="s">
        <v>25</v>
      </c>
      <c r="J15" s="17"/>
      <c r="K15" s="17"/>
      <c r="L15" s="24" t="s">
        <v>29</v>
      </c>
      <c r="M15" s="17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19" t="s">
        <v>288</v>
      </c>
      <c r="D16" s="21" t="s">
        <v>34</v>
      </c>
      <c r="E16" s="23"/>
      <c r="F16" s="57">
        <v>46304.0</v>
      </c>
      <c r="G16" s="28"/>
      <c r="H16" s="167">
        <v>100000.0</v>
      </c>
      <c r="I16" s="24" t="s">
        <v>25</v>
      </c>
      <c r="J16" s="24" t="s">
        <v>26</v>
      </c>
      <c r="K16" s="24" t="s">
        <v>26</v>
      </c>
      <c r="L16" s="24" t="s">
        <v>29</v>
      </c>
      <c r="M16" s="24" t="s">
        <v>42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19" t="s">
        <v>294</v>
      </c>
      <c r="D17" s="21" t="s">
        <v>75</v>
      </c>
      <c r="E17" s="23"/>
      <c r="F17" s="57">
        <v>46316.0</v>
      </c>
      <c r="G17" s="28"/>
      <c r="H17" s="167">
        <v>100000.0</v>
      </c>
      <c r="I17" s="24" t="s">
        <v>24</v>
      </c>
      <c r="J17" s="17"/>
      <c r="K17" s="17"/>
      <c r="L17" s="24" t="s">
        <v>29</v>
      </c>
      <c r="M17" s="17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19" t="s">
        <v>220</v>
      </c>
      <c r="D18" s="21" t="s">
        <v>54</v>
      </c>
      <c r="E18" s="23"/>
      <c r="F18" s="57">
        <v>46304.0</v>
      </c>
      <c r="G18" s="35">
        <v>200000.0</v>
      </c>
      <c r="H18" s="168"/>
      <c r="I18" s="24" t="s">
        <v>25</v>
      </c>
      <c r="J18" s="24" t="s">
        <v>26</v>
      </c>
      <c r="K18" s="24" t="s">
        <v>26</v>
      </c>
      <c r="L18" s="24" t="s">
        <v>29</v>
      </c>
      <c r="M18" s="24" t="s">
        <v>42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19" t="s">
        <v>295</v>
      </c>
      <c r="D19" s="21" t="s">
        <v>283</v>
      </c>
      <c r="E19" s="23"/>
      <c r="F19" s="57">
        <v>46324.0</v>
      </c>
      <c r="G19" s="28"/>
      <c r="H19" s="167">
        <v>100000.0</v>
      </c>
      <c r="I19" s="24" t="s">
        <v>24</v>
      </c>
      <c r="J19" s="17"/>
      <c r="K19" s="17"/>
      <c r="L19" s="24" t="s">
        <v>29</v>
      </c>
      <c r="M19" s="17"/>
      <c r="N19" s="38"/>
      <c r="O19" s="38"/>
      <c r="P19" s="38"/>
      <c r="Q19" s="1"/>
      <c r="R19" s="1"/>
    </row>
    <row r="20" ht="15.75" customHeight="1">
      <c r="A20" s="1"/>
      <c r="B20" s="18"/>
      <c r="C20" s="19" t="s">
        <v>297</v>
      </c>
      <c r="D20" s="21" t="s">
        <v>182</v>
      </c>
      <c r="E20" s="164"/>
      <c r="F20" s="24" t="s">
        <v>298</v>
      </c>
      <c r="G20" s="28"/>
      <c r="H20" s="167">
        <v>100000.0</v>
      </c>
      <c r="I20" s="24" t="s">
        <v>24</v>
      </c>
      <c r="J20" s="17"/>
      <c r="K20" s="17"/>
      <c r="L20" s="24" t="s">
        <v>29</v>
      </c>
      <c r="M20" s="17"/>
      <c r="N20" s="38"/>
      <c r="O20" s="38"/>
      <c r="P20" s="38"/>
      <c r="Q20" s="1"/>
      <c r="R20" s="1"/>
    </row>
    <row r="21" ht="15.75" customHeight="1">
      <c r="A21" s="1"/>
      <c r="B21" s="18"/>
      <c r="C21" s="19" t="s">
        <v>299</v>
      </c>
      <c r="D21" s="21" t="s">
        <v>86</v>
      </c>
      <c r="E21" s="164" t="s">
        <v>300</v>
      </c>
      <c r="F21" s="17"/>
      <c r="G21" s="28"/>
      <c r="H21" s="167">
        <v>90000.0</v>
      </c>
      <c r="I21" s="24" t="s">
        <v>25</v>
      </c>
      <c r="J21" s="17"/>
      <c r="K21" s="17"/>
      <c r="L21" s="24" t="s">
        <v>29</v>
      </c>
      <c r="M21" s="17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9">
        <f t="shared" ref="G22:H22" si="1">SUM(G4:G21)</f>
        <v>200000</v>
      </c>
      <c r="H22" s="70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2" t="s">
        <v>7</v>
      </c>
      <c r="D25" s="72" t="s">
        <v>120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121</v>
      </c>
      <c r="O25" s="72" t="s">
        <v>2</v>
      </c>
      <c r="P25" s="1"/>
      <c r="Q25" s="1"/>
      <c r="R25" s="1"/>
    </row>
    <row r="26" ht="15.75" customHeight="1">
      <c r="A26" s="1"/>
      <c r="B26" s="73">
        <v>1.0</v>
      </c>
      <c r="C26" s="75" t="s">
        <v>124</v>
      </c>
      <c r="D26" s="76">
        <f>SUM(G22)</f>
        <v>200000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128</v>
      </c>
      <c r="O26" s="80" t="s">
        <v>28</v>
      </c>
      <c r="P26" s="1"/>
      <c r="Q26" s="1"/>
      <c r="R26" s="1"/>
    </row>
    <row r="27" ht="15.75" customHeight="1">
      <c r="A27" s="1"/>
      <c r="B27" s="82">
        <v>2.0</v>
      </c>
      <c r="C27" s="103" t="s">
        <v>301</v>
      </c>
      <c r="D27" s="106">
        <v>-50000.0</v>
      </c>
      <c r="E27" s="77"/>
      <c r="F27" s="1"/>
      <c r="G27" s="1"/>
      <c r="H27" s="1"/>
      <c r="I27" s="1"/>
      <c r="J27" s="1"/>
      <c r="K27" s="1"/>
      <c r="L27" s="1"/>
      <c r="M27" s="1"/>
      <c r="N27" s="85" t="s">
        <v>132</v>
      </c>
      <c r="O27" s="86" t="s">
        <v>29</v>
      </c>
      <c r="P27" s="1"/>
      <c r="Q27" s="1"/>
      <c r="R27" s="1"/>
    </row>
    <row r="28" ht="15.75" customHeight="1">
      <c r="A28" s="1"/>
      <c r="B28" s="73">
        <v>3.0</v>
      </c>
      <c r="C28" s="171" t="s">
        <v>302</v>
      </c>
      <c r="D28" s="172">
        <v>-46000.0</v>
      </c>
      <c r="E28" s="77"/>
      <c r="F28" s="1"/>
      <c r="G28" s="1"/>
      <c r="H28" s="1"/>
      <c r="I28" s="1"/>
      <c r="J28" s="1"/>
      <c r="K28" s="1"/>
      <c r="L28" s="1"/>
      <c r="M28" s="1"/>
      <c r="N28" s="88" t="s">
        <v>136</v>
      </c>
      <c r="O28" s="89" t="s">
        <v>42</v>
      </c>
      <c r="P28" s="1"/>
      <c r="Q28" s="1"/>
      <c r="R28" s="1"/>
    </row>
    <row r="29" ht="15.75" customHeight="1">
      <c r="A29" s="1"/>
      <c r="B29" s="82">
        <v>4.0</v>
      </c>
      <c r="C29" s="92"/>
      <c r="D29" s="93"/>
      <c r="E29" s="77"/>
      <c r="F29" s="1"/>
      <c r="G29" s="1"/>
      <c r="H29" s="1"/>
      <c r="I29" s="1"/>
      <c r="J29" s="1"/>
      <c r="K29" s="1"/>
      <c r="L29" s="1"/>
      <c r="M29" s="1"/>
      <c r="N29" s="95" t="s">
        <v>147</v>
      </c>
      <c r="O29" s="86" t="s">
        <v>42</v>
      </c>
      <c r="P29" s="1"/>
      <c r="Q29" s="1"/>
      <c r="R29" s="1"/>
    </row>
    <row r="30" ht="15.75" customHeight="1">
      <c r="A30" s="1"/>
      <c r="B30" s="73">
        <v>5.0</v>
      </c>
      <c r="C30" s="75"/>
      <c r="D30" s="76"/>
      <c r="E30" s="77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2"/>
      <c r="D31" s="93"/>
      <c r="E31" s="77"/>
      <c r="F31" s="1"/>
      <c r="G31" s="1"/>
      <c r="H31" s="1"/>
      <c r="I31" s="1"/>
      <c r="J31" s="1"/>
      <c r="K31" s="100" t="s">
        <v>150</v>
      </c>
      <c r="Q31" s="1"/>
      <c r="R31" s="1"/>
    </row>
    <row r="32" ht="15.75" customHeight="1">
      <c r="A32" s="1"/>
      <c r="B32" s="73">
        <v>7.0</v>
      </c>
      <c r="C32" s="75"/>
      <c r="D32" s="76"/>
      <c r="E32" s="77"/>
      <c r="F32" s="1"/>
      <c r="G32" s="1"/>
      <c r="H32" s="1"/>
      <c r="I32" s="1"/>
      <c r="J32" s="1"/>
      <c r="K32" s="101" t="s">
        <v>2</v>
      </c>
      <c r="L32" s="101" t="s">
        <v>153</v>
      </c>
      <c r="M32" s="101" t="s">
        <v>155</v>
      </c>
      <c r="N32" s="101" t="s">
        <v>156</v>
      </c>
      <c r="O32" s="101" t="s">
        <v>157</v>
      </c>
      <c r="P32" s="101" t="s">
        <v>158</v>
      </c>
      <c r="Q32" s="1"/>
      <c r="R32" s="1"/>
      <c r="AC32" s="102" t="s">
        <v>159</v>
      </c>
      <c r="AD32" s="102" t="s">
        <v>160</v>
      </c>
      <c r="AE32" s="102" t="s">
        <v>161</v>
      </c>
      <c r="AF32" s="102" t="s">
        <v>163</v>
      </c>
      <c r="AG32" s="102" t="s">
        <v>164</v>
      </c>
    </row>
    <row r="33" ht="15.75" customHeight="1">
      <c r="A33" s="1"/>
      <c r="B33" s="82">
        <v>8.0</v>
      </c>
      <c r="C33" s="92"/>
      <c r="D33" s="93"/>
      <c r="E33" s="77"/>
      <c r="F33" s="1"/>
      <c r="G33" s="1"/>
      <c r="H33" s="1"/>
      <c r="I33" s="1"/>
      <c r="J33" s="1"/>
      <c r="K33" s="104" t="str">
        <f t="shared" ref="K33:K36" si="2">IF(O26="","",O26)</f>
        <v>AMEL</v>
      </c>
      <c r="L33" s="105">
        <v>4.0</v>
      </c>
      <c r="M33" s="105">
        <v>5.0</v>
      </c>
      <c r="N33" s="105">
        <v>4.0</v>
      </c>
      <c r="O33" s="105">
        <v>5.0</v>
      </c>
      <c r="P33" s="105">
        <v>4.0</v>
      </c>
      <c r="Q33" s="1"/>
      <c r="R33" s="1"/>
      <c r="AC33" s="102">
        <f t="shared" ref="AC33:AC38" si="3">IF(AG33="","",IF(COUNT(L33:P33)&lt;5,"",L33/5*20+M33/5*25+N33/5*25+O33/5*15+P33/5*15))</f>
        <v>88</v>
      </c>
      <c r="AD33" s="102" t="str">
        <f t="shared" ref="AD33:AD38" si="4">IF(AC33="","",IF(AC33&gt;=90,"Sangat Baik",IF(AC33&gt;=80,"Baik",IF(AC33&gt;=70,"Coaching","Underperform"))))</f>
        <v>Baik</v>
      </c>
      <c r="AE33" s="102" t="str">
        <f t="shared" ref="AE33:AE38" si="5">IF(AG33="","",IF(OR(AG33="INDAH",AG33="ADDEL",AG33="AMEL",AG33="PENTIL",AG33="JIJANG"),"Admin/CS","Fotografer"))</f>
        <v>Admin/CS</v>
      </c>
      <c r="AF33" s="102">
        <f t="shared" ref="AF33:AF38" si="6">IF(OR(AG33="",COUNT(L33:P33)&lt;5),"",1)</f>
        <v>1</v>
      </c>
      <c r="AG33" s="102" t="str">
        <f t="shared" ref="AG33:AG38" si="7">IFERROR(K33,"")</f>
        <v>AMEL</v>
      </c>
    </row>
    <row r="34" ht="15.75" customHeight="1">
      <c r="A34" s="1"/>
      <c r="B34" s="73">
        <v>9.0</v>
      </c>
      <c r="C34" s="75"/>
      <c r="D34" s="76"/>
      <c r="E34" s="77"/>
      <c r="F34" s="1"/>
      <c r="G34" s="1"/>
      <c r="H34" s="1"/>
      <c r="I34" s="1"/>
      <c r="J34" s="1"/>
      <c r="K34" s="104" t="str">
        <f t="shared" si="2"/>
        <v>INDAH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Admin/CS</v>
      </c>
      <c r="AF34" s="102">
        <f t="shared" si="6"/>
        <v>1</v>
      </c>
      <c r="AG34" s="102" t="str">
        <f t="shared" si="7"/>
        <v>INDAH</v>
      </c>
    </row>
    <row r="35" ht="15.75" customHeight="1">
      <c r="A35" s="1"/>
      <c r="B35" s="82">
        <v>10.0</v>
      </c>
      <c r="C35" s="92"/>
      <c r="D35" s="93"/>
      <c r="E35" s="77"/>
      <c r="F35" s="1"/>
      <c r="G35" s="1"/>
      <c r="H35" s="1"/>
      <c r="I35" s="1"/>
      <c r="J35" s="1"/>
      <c r="K35" s="104" t="str">
        <f t="shared" si="2"/>
        <v>ADIF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2">
        <f t="shared" si="3"/>
        <v>100</v>
      </c>
      <c r="AD35" s="102" t="str">
        <f t="shared" si="4"/>
        <v>Sangat Baik</v>
      </c>
      <c r="AE35" s="102" t="str">
        <f t="shared" si="5"/>
        <v>Fotografer</v>
      </c>
      <c r="AF35" s="102">
        <f t="shared" si="6"/>
        <v>1</v>
      </c>
      <c r="AG35" s="102" t="str">
        <f t="shared" si="7"/>
        <v>ADIF</v>
      </c>
    </row>
    <row r="36" ht="15.75" customHeight="1">
      <c r="A36" s="1"/>
      <c r="B36" s="114">
        <v>11.0</v>
      </c>
      <c r="C36" s="115"/>
      <c r="D36" s="116"/>
      <c r="E36" s="77"/>
      <c r="F36" s="1"/>
      <c r="G36" s="1"/>
      <c r="H36" s="1"/>
      <c r="I36" s="1"/>
      <c r="J36" s="1"/>
      <c r="K36" s="104" t="str">
        <f t="shared" si="2"/>
        <v>ADIF</v>
      </c>
      <c r="L36" s="105">
        <v>5.0</v>
      </c>
      <c r="M36" s="105">
        <v>5.0</v>
      </c>
      <c r="N36" s="105">
        <v>5.0</v>
      </c>
      <c r="O36" s="105">
        <v>5.0</v>
      </c>
      <c r="P36" s="105">
        <v>5.0</v>
      </c>
      <c r="Q36" s="1"/>
      <c r="R36" s="1"/>
      <c r="AC36" s="102">
        <f t="shared" si="3"/>
        <v>100</v>
      </c>
      <c r="AD36" s="102" t="str">
        <f t="shared" si="4"/>
        <v>Sangat Baik</v>
      </c>
      <c r="AE36" s="102" t="str">
        <f t="shared" si="5"/>
        <v>Fotografer</v>
      </c>
      <c r="AF36" s="102">
        <f t="shared" si="6"/>
        <v>1</v>
      </c>
      <c r="AG36" s="102" t="str">
        <f t="shared" si="7"/>
        <v>ADIF</v>
      </c>
    </row>
    <row r="37" ht="15.75" customHeight="1">
      <c r="A37" s="1"/>
      <c r="B37" s="1"/>
      <c r="C37" s="3"/>
      <c r="D37" s="117">
        <f>SUM(D26:D36)</f>
        <v>104000</v>
      </c>
      <c r="E37" s="1"/>
      <c r="F37" s="1"/>
      <c r="G37" s="1"/>
      <c r="H37" s="1"/>
      <c r="I37" s="1"/>
      <c r="J37" s="1"/>
      <c r="K37" s="104"/>
      <c r="L37" s="118"/>
      <c r="M37" s="118"/>
      <c r="N37" s="118"/>
      <c r="O37" s="118"/>
      <c r="P37" s="118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4"/>
      <c r="L38" s="118"/>
      <c r="M38" s="118"/>
      <c r="N38" s="118"/>
      <c r="O38" s="118"/>
      <c r="P38" s="118"/>
      <c r="Q38" s="1"/>
      <c r="R38" s="1"/>
      <c r="AC38" s="102" t="str">
        <f t="shared" si="3"/>
        <v/>
      </c>
      <c r="AD38" s="102" t="str">
        <f t="shared" si="4"/>
        <v/>
      </c>
      <c r="AE38" s="102" t="str">
        <f t="shared" si="5"/>
        <v/>
      </c>
      <c r="AF38" s="102" t="str">
        <f t="shared" si="6"/>
        <v/>
      </c>
      <c r="AG38" s="10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195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1" t="s">
        <v>198</v>
      </c>
      <c r="N41" s="1"/>
      <c r="O41" s="1"/>
      <c r="P41" s="1"/>
      <c r="Q41" s="1"/>
      <c r="R41" s="1"/>
    </row>
    <row r="42" ht="15.75" customHeight="1">
      <c r="K42" s="123" t="s">
        <v>8</v>
      </c>
      <c r="L42" s="123" t="s">
        <v>200</v>
      </c>
      <c r="M42" s="123" t="s">
        <v>201</v>
      </c>
    </row>
    <row r="43" ht="15.75" customHeight="1">
      <c r="K43" s="126" t="str">
        <f t="shared" ref="K43:K44" si="8">IF(O26="","",O26)</f>
        <v>AMEL</v>
      </c>
      <c r="L43" s="127">
        <v>7.0</v>
      </c>
      <c r="M43" s="129"/>
    </row>
    <row r="44" ht="15.75" customHeight="1">
      <c r="K44" s="126" t="str">
        <f t="shared" si="8"/>
        <v>INDAH</v>
      </c>
      <c r="L44" s="127">
        <v>7.0</v>
      </c>
      <c r="M44" s="129"/>
    </row>
    <row r="45" ht="15.75" customHeight="1"/>
    <row r="46" ht="19.5" customHeight="1">
      <c r="K46" s="132" t="s">
        <v>206</v>
      </c>
    </row>
    <row r="47" ht="19.5" customHeight="1">
      <c r="K47" s="134" t="s">
        <v>207</v>
      </c>
      <c r="M47" s="127">
        <v>38.0</v>
      </c>
    </row>
    <row r="48" ht="19.5" customHeight="1">
      <c r="K48" s="135" t="s">
        <v>208</v>
      </c>
      <c r="M48" s="138">
        <f>COUNTIF($I$4:$I$24,"DP")</f>
        <v>8</v>
      </c>
    </row>
    <row r="49" ht="19.5" customHeight="1">
      <c r="K49" s="135" t="s">
        <v>210</v>
      </c>
      <c r="M49" s="138">
        <f>COUNTIFS($I$4:$I$24,"&lt;&gt;DP",$I$4:$I$24,"&lt;&gt;")</f>
        <v>10</v>
      </c>
    </row>
    <row r="50" ht="19.5" customHeight="1">
      <c r="K50" s="139" t="s">
        <v>211</v>
      </c>
      <c r="M50" s="138">
        <f>M48+M49</f>
        <v>18</v>
      </c>
    </row>
    <row r="51" ht="19.5" customHeight="1">
      <c r="K51" s="134" t="s">
        <v>212</v>
      </c>
      <c r="M51" s="141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303</v>
      </c>
      <c r="D4" s="21" t="s">
        <v>22</v>
      </c>
      <c r="E4" s="23"/>
      <c r="F4" s="57">
        <v>46306.0</v>
      </c>
      <c r="G4" s="42"/>
      <c r="H4" s="31">
        <v>100000.0</v>
      </c>
      <c r="I4" s="24" t="s">
        <v>24</v>
      </c>
      <c r="J4" s="17"/>
      <c r="K4" s="17"/>
      <c r="L4" s="24" t="s">
        <v>29</v>
      </c>
      <c r="M4" s="17"/>
      <c r="N4" s="33"/>
      <c r="O4" s="33"/>
      <c r="P4" s="34"/>
      <c r="Q4" s="1"/>
      <c r="R4" s="1"/>
    </row>
    <row r="5" ht="15.75" customHeight="1">
      <c r="A5" s="1"/>
      <c r="B5" s="18">
        <v>2.0</v>
      </c>
      <c r="C5" s="19" t="s">
        <v>304</v>
      </c>
      <c r="D5" s="21" t="s">
        <v>34</v>
      </c>
      <c r="E5" s="23"/>
      <c r="F5" s="57">
        <v>46305.0</v>
      </c>
      <c r="G5" s="42"/>
      <c r="H5" s="31">
        <v>100000.0</v>
      </c>
      <c r="I5" s="24" t="s">
        <v>24</v>
      </c>
      <c r="J5" s="17"/>
      <c r="K5" s="17"/>
      <c r="L5" s="24" t="s">
        <v>29</v>
      </c>
      <c r="M5" s="17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9" t="s">
        <v>305</v>
      </c>
      <c r="D6" s="21" t="s">
        <v>306</v>
      </c>
      <c r="E6" s="23"/>
      <c r="F6" s="57">
        <v>46305.0</v>
      </c>
      <c r="G6" s="51"/>
      <c r="H6" s="31">
        <v>50000.0</v>
      </c>
      <c r="I6" s="24" t="s">
        <v>25</v>
      </c>
      <c r="J6" s="24" t="s">
        <v>26</v>
      </c>
      <c r="K6" s="24" t="s">
        <v>27</v>
      </c>
      <c r="L6" s="24" t="s">
        <v>29</v>
      </c>
      <c r="M6" s="24" t="s">
        <v>42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19" t="s">
        <v>307</v>
      </c>
      <c r="D7" s="21" t="s">
        <v>75</v>
      </c>
      <c r="E7" s="23"/>
      <c r="F7" s="57">
        <v>46305.0</v>
      </c>
      <c r="G7" s="64">
        <v>0.0</v>
      </c>
      <c r="H7" s="31">
        <v>0.0</v>
      </c>
      <c r="I7" s="24" t="s">
        <v>25</v>
      </c>
      <c r="J7" s="24" t="s">
        <v>26</v>
      </c>
      <c r="K7" s="24" t="s">
        <v>26</v>
      </c>
      <c r="L7" s="24" t="s">
        <v>29</v>
      </c>
      <c r="M7" s="24" t="s">
        <v>42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19" t="s">
        <v>308</v>
      </c>
      <c r="D8" s="21" t="s">
        <v>241</v>
      </c>
      <c r="E8" s="164" t="s">
        <v>309</v>
      </c>
      <c r="F8" s="57">
        <v>46305.0</v>
      </c>
      <c r="G8" s="42"/>
      <c r="H8" s="31">
        <v>490000.0</v>
      </c>
      <c r="I8" s="24" t="s">
        <v>25</v>
      </c>
      <c r="J8" s="24" t="s">
        <v>26</v>
      </c>
      <c r="K8" s="24" t="s">
        <v>27</v>
      </c>
      <c r="L8" s="24" t="s">
        <v>29</v>
      </c>
      <c r="M8" s="24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9" t="s">
        <v>310</v>
      </c>
      <c r="D9" s="21" t="s">
        <v>75</v>
      </c>
      <c r="E9" s="23"/>
      <c r="F9" s="57">
        <v>46305.0</v>
      </c>
      <c r="G9" s="42"/>
      <c r="H9" s="31">
        <v>100000.0</v>
      </c>
      <c r="I9" s="24" t="s">
        <v>24</v>
      </c>
      <c r="J9" s="17"/>
      <c r="K9" s="17"/>
      <c r="L9" s="24" t="s">
        <v>29</v>
      </c>
      <c r="M9" s="17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297</v>
      </c>
      <c r="D10" s="21" t="s">
        <v>182</v>
      </c>
      <c r="E10" s="23"/>
      <c r="F10" s="57">
        <v>46305.0</v>
      </c>
      <c r="G10" s="56">
        <v>100000.0</v>
      </c>
      <c r="H10" s="96"/>
      <c r="I10" s="24" t="s">
        <v>25</v>
      </c>
      <c r="J10" s="24" t="s">
        <v>26</v>
      </c>
      <c r="K10" s="24" t="s">
        <v>27</v>
      </c>
      <c r="L10" s="24" t="s">
        <v>29</v>
      </c>
      <c r="M10" s="24" t="s">
        <v>42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9" t="s">
        <v>304</v>
      </c>
      <c r="D11" s="21" t="s">
        <v>34</v>
      </c>
      <c r="E11" s="164"/>
      <c r="F11" s="57">
        <v>46305.0</v>
      </c>
      <c r="G11" s="56">
        <v>100000.0</v>
      </c>
      <c r="H11" s="96"/>
      <c r="I11" s="24" t="s">
        <v>25</v>
      </c>
      <c r="J11" s="24" t="s">
        <v>26</v>
      </c>
      <c r="K11" s="24" t="s">
        <v>26</v>
      </c>
      <c r="L11" s="24" t="s">
        <v>29</v>
      </c>
      <c r="M11" s="24" t="s">
        <v>42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9" t="s">
        <v>311</v>
      </c>
      <c r="D12" s="21" t="s">
        <v>54</v>
      </c>
      <c r="E12" s="23"/>
      <c r="F12" s="57">
        <v>46305.0</v>
      </c>
      <c r="G12" s="51"/>
      <c r="H12" s="52">
        <v>100000.0</v>
      </c>
      <c r="I12" s="24" t="s">
        <v>24</v>
      </c>
      <c r="J12" s="17"/>
      <c r="K12" s="17"/>
      <c r="L12" s="24" t="s">
        <v>29</v>
      </c>
      <c r="M12" s="17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9" t="s">
        <v>312</v>
      </c>
      <c r="D13" s="21" t="s">
        <v>54</v>
      </c>
      <c r="E13" s="23"/>
      <c r="F13" s="57">
        <v>46305.0</v>
      </c>
      <c r="G13" s="51"/>
      <c r="H13" s="52">
        <v>75000.0</v>
      </c>
      <c r="I13" s="24" t="s">
        <v>25</v>
      </c>
      <c r="J13" s="24" t="s">
        <v>26</v>
      </c>
      <c r="K13" s="24" t="s">
        <v>26</v>
      </c>
      <c r="L13" s="24" t="s">
        <v>29</v>
      </c>
      <c r="M13" s="24" t="s">
        <v>59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9" t="s">
        <v>313</v>
      </c>
      <c r="D14" s="21" t="s">
        <v>54</v>
      </c>
      <c r="E14" s="23"/>
      <c r="F14" s="57">
        <v>46305.0</v>
      </c>
      <c r="G14" s="174"/>
      <c r="H14" s="52">
        <v>150000.0</v>
      </c>
      <c r="I14" s="24" t="s">
        <v>25</v>
      </c>
      <c r="J14" s="24" t="s">
        <v>26</v>
      </c>
      <c r="K14" s="24" t="s">
        <v>26</v>
      </c>
      <c r="L14" s="24" t="s">
        <v>29</v>
      </c>
      <c r="M14" s="24" t="s">
        <v>59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19" t="s">
        <v>314</v>
      </c>
      <c r="D15" s="21" t="s">
        <v>34</v>
      </c>
      <c r="E15" s="23"/>
      <c r="F15" s="57">
        <v>46305.0</v>
      </c>
      <c r="G15" s="51"/>
      <c r="H15" s="52">
        <v>100000.0</v>
      </c>
      <c r="I15" s="24" t="s">
        <v>25</v>
      </c>
      <c r="J15" s="24" t="s">
        <v>26</v>
      </c>
      <c r="K15" s="24" t="s">
        <v>26</v>
      </c>
      <c r="L15" s="24" t="s">
        <v>29</v>
      </c>
      <c r="M15" s="24" t="s">
        <v>59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19" t="s">
        <v>279</v>
      </c>
      <c r="D16" s="21" t="s">
        <v>75</v>
      </c>
      <c r="E16" s="23"/>
      <c r="F16" s="57">
        <v>46305.0</v>
      </c>
      <c r="G16" s="56">
        <v>50000.0</v>
      </c>
      <c r="H16" s="96"/>
      <c r="I16" s="24" t="s">
        <v>25</v>
      </c>
      <c r="J16" s="24" t="s">
        <v>26</v>
      </c>
      <c r="K16" s="24" t="s">
        <v>27</v>
      </c>
      <c r="L16" s="24" t="s">
        <v>29</v>
      </c>
      <c r="M16" s="24" t="s">
        <v>59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19" t="s">
        <v>315</v>
      </c>
      <c r="D17" s="21" t="s">
        <v>22</v>
      </c>
      <c r="E17" s="23"/>
      <c r="F17" s="57">
        <v>46317.0</v>
      </c>
      <c r="G17" s="51"/>
      <c r="H17" s="52">
        <v>100000.0</v>
      </c>
      <c r="I17" s="24" t="s">
        <v>24</v>
      </c>
      <c r="J17" s="17"/>
      <c r="K17" s="17"/>
      <c r="L17" s="24" t="s">
        <v>29</v>
      </c>
      <c r="M17" s="17"/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19" t="s">
        <v>316</v>
      </c>
      <c r="D18" s="21" t="s">
        <v>54</v>
      </c>
      <c r="E18" s="23"/>
      <c r="F18" s="57">
        <v>46306.0</v>
      </c>
      <c r="G18" s="42"/>
      <c r="H18" s="31">
        <v>100000.0</v>
      </c>
      <c r="I18" s="24" t="s">
        <v>24</v>
      </c>
      <c r="J18" s="17"/>
      <c r="K18" s="17"/>
      <c r="L18" s="24" t="s">
        <v>29</v>
      </c>
      <c r="M18" s="17"/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19" t="s">
        <v>310</v>
      </c>
      <c r="D19" s="21" t="s">
        <v>75</v>
      </c>
      <c r="E19" s="23"/>
      <c r="F19" s="57">
        <v>46305.0</v>
      </c>
      <c r="G19" s="42"/>
      <c r="H19" s="31">
        <v>50000.0</v>
      </c>
      <c r="I19" s="24" t="s">
        <v>25</v>
      </c>
      <c r="J19" s="24" t="s">
        <v>26</v>
      </c>
      <c r="K19" s="24" t="s">
        <v>27</v>
      </c>
      <c r="L19" s="24" t="s">
        <v>29</v>
      </c>
      <c r="M19" s="24" t="s">
        <v>59</v>
      </c>
      <c r="N19" s="38"/>
      <c r="O19" s="38"/>
      <c r="P19" s="38"/>
      <c r="Q19" s="1"/>
      <c r="R19" s="1"/>
    </row>
    <row r="20" ht="15.75" customHeight="1">
      <c r="A20" s="1"/>
      <c r="B20" s="18">
        <v>17.0</v>
      </c>
      <c r="C20" s="19" t="s">
        <v>311</v>
      </c>
      <c r="D20" s="21" t="s">
        <v>54</v>
      </c>
      <c r="E20" s="23"/>
      <c r="F20" s="57">
        <v>46305.0</v>
      </c>
      <c r="G20" s="42"/>
      <c r="H20" s="31">
        <v>500000.0</v>
      </c>
      <c r="I20" s="24" t="s">
        <v>25</v>
      </c>
      <c r="J20" s="24" t="s">
        <v>26</v>
      </c>
      <c r="K20" s="24" t="s">
        <v>26</v>
      </c>
      <c r="L20" s="24" t="s">
        <v>29</v>
      </c>
      <c r="M20" s="24" t="s">
        <v>59</v>
      </c>
      <c r="N20" s="38"/>
      <c r="O20" s="38"/>
      <c r="P20" s="38"/>
      <c r="Q20" s="1"/>
      <c r="R20" s="1"/>
    </row>
    <row r="21" ht="15.75" customHeight="1">
      <c r="A21" s="1"/>
      <c r="B21" s="18">
        <v>18.0</v>
      </c>
      <c r="C21" s="59"/>
      <c r="D21" s="61"/>
      <c r="E21" s="23"/>
      <c r="F21" s="63"/>
      <c r="G21" s="42"/>
      <c r="H21" s="37"/>
      <c r="I21" s="17"/>
      <c r="J21" s="17"/>
      <c r="K21" s="17"/>
      <c r="L21" s="17"/>
      <c r="M21" s="17"/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9">
        <f t="shared" ref="G22:H22" si="1">SUM(G4:G21)</f>
        <v>250000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2" t="s">
        <v>7</v>
      </c>
      <c r="D25" s="72" t="s">
        <v>120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121</v>
      </c>
      <c r="O25" s="72" t="s">
        <v>2</v>
      </c>
      <c r="P25" s="1"/>
      <c r="Q25" s="1"/>
      <c r="R25" s="1"/>
    </row>
    <row r="26" ht="15.75" customHeight="1">
      <c r="A26" s="1"/>
      <c r="B26" s="73">
        <v>1.0</v>
      </c>
      <c r="C26" s="75" t="s">
        <v>124</v>
      </c>
      <c r="D26" s="76">
        <f>SUM(G22)</f>
        <v>250000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128</v>
      </c>
      <c r="O26" s="80" t="s">
        <v>29</v>
      </c>
      <c r="P26" s="1"/>
      <c r="Q26" s="1"/>
      <c r="R26" s="1"/>
    </row>
    <row r="27" ht="15.75" customHeight="1">
      <c r="A27" s="1"/>
      <c r="B27" s="82">
        <v>2.0</v>
      </c>
      <c r="C27" s="83"/>
      <c r="D27" s="84"/>
      <c r="E27" s="77"/>
      <c r="F27" s="1"/>
      <c r="G27" s="1"/>
      <c r="H27" s="1"/>
      <c r="I27" s="1"/>
      <c r="J27" s="1"/>
      <c r="K27" s="1"/>
      <c r="L27" s="1"/>
      <c r="M27" s="1"/>
      <c r="N27" s="85" t="s">
        <v>132</v>
      </c>
      <c r="O27" s="86" t="s">
        <v>29</v>
      </c>
      <c r="P27" s="1"/>
      <c r="Q27" s="1"/>
      <c r="R27" s="1"/>
    </row>
    <row r="28" ht="15.75" customHeight="1">
      <c r="A28" s="1"/>
      <c r="B28" s="73">
        <v>3.0</v>
      </c>
      <c r="C28" s="107"/>
      <c r="D28" s="108"/>
      <c r="E28" s="77"/>
      <c r="F28" s="1"/>
      <c r="G28" s="1"/>
      <c r="H28" s="1"/>
      <c r="I28" s="1"/>
      <c r="J28" s="1"/>
      <c r="K28" s="1"/>
      <c r="L28" s="1"/>
      <c r="M28" s="1"/>
      <c r="N28" s="88" t="s">
        <v>136</v>
      </c>
      <c r="O28" s="89" t="s">
        <v>42</v>
      </c>
      <c r="P28" s="1"/>
      <c r="Q28" s="1"/>
      <c r="R28" s="1"/>
    </row>
    <row r="29" ht="15.75" customHeight="1">
      <c r="A29" s="1"/>
      <c r="B29" s="82">
        <v>4.0</v>
      </c>
      <c r="C29" s="83"/>
      <c r="D29" s="84"/>
      <c r="E29" s="77"/>
      <c r="F29" s="1"/>
      <c r="G29" s="1"/>
      <c r="H29" s="1"/>
      <c r="I29" s="1"/>
      <c r="J29" s="1"/>
      <c r="K29" s="1"/>
      <c r="L29" s="1"/>
      <c r="M29" s="1"/>
      <c r="N29" s="95" t="s">
        <v>147</v>
      </c>
      <c r="O29" s="86" t="s">
        <v>59</v>
      </c>
      <c r="P29" s="1"/>
      <c r="Q29" s="1"/>
      <c r="R29" s="1"/>
    </row>
    <row r="30" ht="15.75" customHeight="1">
      <c r="A30" s="1"/>
      <c r="B30" s="73">
        <v>5.0</v>
      </c>
      <c r="C30" s="107"/>
      <c r="D30" s="108"/>
      <c r="E30" s="77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2"/>
      <c r="D31" s="93"/>
      <c r="E31" s="77"/>
      <c r="F31" s="1"/>
      <c r="G31" s="1"/>
      <c r="H31" s="1"/>
      <c r="I31" s="1"/>
      <c r="J31" s="1"/>
      <c r="K31" s="100" t="s">
        <v>150</v>
      </c>
      <c r="Q31" s="1"/>
      <c r="R31" s="1"/>
    </row>
    <row r="32" ht="15.75" customHeight="1">
      <c r="A32" s="1"/>
      <c r="B32" s="73">
        <v>7.0</v>
      </c>
      <c r="C32" s="75"/>
      <c r="D32" s="76"/>
      <c r="E32" s="77"/>
      <c r="F32" s="1"/>
      <c r="G32" s="1"/>
      <c r="H32" s="1"/>
      <c r="I32" s="1"/>
      <c r="J32" s="1"/>
      <c r="K32" s="101" t="s">
        <v>2</v>
      </c>
      <c r="L32" s="101" t="s">
        <v>153</v>
      </c>
      <c r="M32" s="101" t="s">
        <v>155</v>
      </c>
      <c r="N32" s="101" t="s">
        <v>156</v>
      </c>
      <c r="O32" s="101" t="s">
        <v>157</v>
      </c>
      <c r="P32" s="101" t="s">
        <v>158</v>
      </c>
      <c r="Q32" s="1"/>
      <c r="R32" s="1"/>
      <c r="AC32" s="102" t="s">
        <v>159</v>
      </c>
      <c r="AD32" s="102" t="s">
        <v>160</v>
      </c>
      <c r="AE32" s="102" t="s">
        <v>161</v>
      </c>
      <c r="AF32" s="102" t="s">
        <v>163</v>
      </c>
      <c r="AG32" s="102" t="s">
        <v>164</v>
      </c>
    </row>
    <row r="33" ht="15.75" customHeight="1">
      <c r="A33" s="1"/>
      <c r="B33" s="82">
        <v>8.0</v>
      </c>
      <c r="C33" s="92"/>
      <c r="D33" s="93"/>
      <c r="E33" s="77"/>
      <c r="F33" s="1"/>
      <c r="G33" s="1"/>
      <c r="H33" s="1"/>
      <c r="I33" s="1"/>
      <c r="J33" s="1"/>
      <c r="K33" s="104" t="str">
        <f t="shared" ref="K33:K36" si="2">IF(O26="","",O26)</f>
        <v>INDAH</v>
      </c>
      <c r="L33" s="105">
        <v>5.0</v>
      </c>
      <c r="M33" s="105">
        <v>5.0</v>
      </c>
      <c r="N33" s="105">
        <v>5.0</v>
      </c>
      <c r="O33" s="105">
        <v>5.0</v>
      </c>
      <c r="P33" s="105">
        <v>5.0</v>
      </c>
      <c r="Q33" s="1"/>
      <c r="R33" s="1"/>
      <c r="AC33" s="102">
        <f t="shared" ref="AC33:AC38" si="3">IF(AG33="","",IF(COUNT(L33:P33)&lt;5,"",L33/5*20+M33/5*25+N33/5*25+O33/5*15+P33/5*15))</f>
        <v>100</v>
      </c>
      <c r="AD33" s="102" t="str">
        <f t="shared" ref="AD33:AD38" si="4">IF(AC33="","",IF(AC33&gt;=90,"Sangat Baik",IF(AC33&gt;=80,"Baik",IF(AC33&gt;=70,"Coaching","Underperform"))))</f>
        <v>Sangat Baik</v>
      </c>
      <c r="AE33" s="102" t="str">
        <f t="shared" ref="AE33:AE38" si="5">IF(AG33="","",IF(OR(AG33="INDAH",AG33="ADDEL",AG33="AMEL",AG33="PENTIL",AG33="JIJANG"),"Admin/CS","Fotografer"))</f>
        <v>Admin/CS</v>
      </c>
      <c r="AF33" s="102">
        <f t="shared" ref="AF33:AF38" si="6">IF(OR(AG33="",COUNT(L33:P33)&lt;5),"",1)</f>
        <v>1</v>
      </c>
      <c r="AG33" s="102" t="str">
        <f t="shared" ref="AG33:AG38" si="7">IFERROR(K33,"")</f>
        <v>INDAH</v>
      </c>
    </row>
    <row r="34" ht="15.75" customHeight="1">
      <c r="A34" s="1"/>
      <c r="B34" s="73">
        <v>9.0</v>
      </c>
      <c r="C34" s="75"/>
      <c r="D34" s="76"/>
      <c r="E34" s="77"/>
      <c r="F34" s="1"/>
      <c r="G34" s="1"/>
      <c r="H34" s="1"/>
      <c r="I34" s="1"/>
      <c r="J34" s="1"/>
      <c r="K34" s="104" t="str">
        <f t="shared" si="2"/>
        <v>INDAH</v>
      </c>
      <c r="L34" s="105">
        <v>5.0</v>
      </c>
      <c r="M34" s="105">
        <v>5.0</v>
      </c>
      <c r="N34" s="105">
        <v>5.0</v>
      </c>
      <c r="O34" s="105">
        <v>5.0</v>
      </c>
      <c r="P34" s="105">
        <v>5.0</v>
      </c>
      <c r="Q34" s="1"/>
      <c r="R34" s="1"/>
      <c r="AC34" s="102">
        <f t="shared" si="3"/>
        <v>100</v>
      </c>
      <c r="AD34" s="102" t="str">
        <f t="shared" si="4"/>
        <v>Sangat Baik</v>
      </c>
      <c r="AE34" s="102" t="str">
        <f t="shared" si="5"/>
        <v>Admin/CS</v>
      </c>
      <c r="AF34" s="102">
        <f t="shared" si="6"/>
        <v>1</v>
      </c>
      <c r="AG34" s="102" t="str">
        <f t="shared" si="7"/>
        <v>INDAH</v>
      </c>
    </row>
    <row r="35" ht="15.75" customHeight="1">
      <c r="A35" s="1"/>
      <c r="B35" s="82">
        <v>10.0</v>
      </c>
      <c r="C35" s="92"/>
      <c r="D35" s="93"/>
      <c r="E35" s="77"/>
      <c r="F35" s="1"/>
      <c r="G35" s="1"/>
      <c r="H35" s="1"/>
      <c r="I35" s="1"/>
      <c r="J35" s="1"/>
      <c r="K35" s="104" t="str">
        <f t="shared" si="2"/>
        <v>ADIF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2">
        <f t="shared" si="3"/>
        <v>100</v>
      </c>
      <c r="AD35" s="102" t="str">
        <f t="shared" si="4"/>
        <v>Sangat Baik</v>
      </c>
      <c r="AE35" s="102" t="str">
        <f t="shared" si="5"/>
        <v>Fotografer</v>
      </c>
      <c r="AF35" s="102">
        <f t="shared" si="6"/>
        <v>1</v>
      </c>
      <c r="AG35" s="102" t="str">
        <f t="shared" si="7"/>
        <v>ADIF</v>
      </c>
    </row>
    <row r="36" ht="15.75" customHeight="1">
      <c r="A36" s="1"/>
      <c r="B36" s="114">
        <v>11.0</v>
      </c>
      <c r="C36" s="115"/>
      <c r="D36" s="116"/>
      <c r="E36" s="77"/>
      <c r="F36" s="1"/>
      <c r="G36" s="1"/>
      <c r="H36" s="1"/>
      <c r="I36" s="1"/>
      <c r="J36" s="1"/>
      <c r="K36" s="104" t="str">
        <f t="shared" si="2"/>
        <v>SAKA</v>
      </c>
      <c r="L36" s="105">
        <v>5.0</v>
      </c>
      <c r="M36" s="105">
        <v>5.0</v>
      </c>
      <c r="N36" s="105">
        <v>5.0</v>
      </c>
      <c r="O36" s="105">
        <v>5.0</v>
      </c>
      <c r="P36" s="105">
        <v>5.0</v>
      </c>
      <c r="Q36" s="1"/>
      <c r="R36" s="1"/>
      <c r="AC36" s="102">
        <f t="shared" si="3"/>
        <v>100</v>
      </c>
      <c r="AD36" s="102" t="str">
        <f t="shared" si="4"/>
        <v>Sangat Baik</v>
      </c>
      <c r="AE36" s="102" t="str">
        <f t="shared" si="5"/>
        <v>Fotografer</v>
      </c>
      <c r="AF36" s="102">
        <f t="shared" si="6"/>
        <v>1</v>
      </c>
      <c r="AG36" s="102" t="str">
        <f t="shared" si="7"/>
        <v>SAKA</v>
      </c>
    </row>
    <row r="37" ht="15.75" customHeight="1">
      <c r="A37" s="1"/>
      <c r="B37" s="1"/>
      <c r="C37" s="3"/>
      <c r="D37" s="117">
        <f>SUM(D26:D36)</f>
        <v>250000</v>
      </c>
      <c r="E37" s="1"/>
      <c r="F37" s="1"/>
      <c r="G37" s="1"/>
      <c r="H37" s="1"/>
      <c r="I37" s="1"/>
      <c r="J37" s="1"/>
      <c r="K37" s="104"/>
      <c r="L37" s="118"/>
      <c r="M37" s="118"/>
      <c r="N37" s="118"/>
      <c r="O37" s="118"/>
      <c r="P37" s="118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4"/>
      <c r="L38" s="118"/>
      <c r="M38" s="118"/>
      <c r="N38" s="118"/>
      <c r="O38" s="118"/>
      <c r="P38" s="118"/>
      <c r="Q38" s="1"/>
      <c r="R38" s="1"/>
      <c r="AC38" s="102" t="str">
        <f t="shared" si="3"/>
        <v/>
      </c>
      <c r="AD38" s="102" t="str">
        <f t="shared" si="4"/>
        <v/>
      </c>
      <c r="AE38" s="102" t="str">
        <f t="shared" si="5"/>
        <v/>
      </c>
      <c r="AF38" s="102" t="str">
        <f t="shared" si="6"/>
        <v/>
      </c>
      <c r="AG38" s="10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195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1" t="s">
        <v>198</v>
      </c>
      <c r="N41" s="1"/>
      <c r="O41" s="1"/>
      <c r="P41" s="1"/>
      <c r="Q41" s="1"/>
      <c r="R41" s="1"/>
    </row>
    <row r="42" ht="15.75" customHeight="1">
      <c r="K42" s="123" t="s">
        <v>8</v>
      </c>
      <c r="L42" s="123" t="s">
        <v>200</v>
      </c>
      <c r="M42" s="123" t="s">
        <v>201</v>
      </c>
    </row>
    <row r="43" ht="15.75" customHeight="1">
      <c r="K43" s="126" t="str">
        <f t="shared" ref="K43:K44" si="8">IF(O26="","",O26)</f>
        <v>INDAH</v>
      </c>
      <c r="L43" s="129"/>
      <c r="M43" s="127" t="s">
        <v>204</v>
      </c>
    </row>
    <row r="44" ht="15.75" customHeight="1">
      <c r="K44" s="126" t="str">
        <f t="shared" si="8"/>
        <v>INDAH</v>
      </c>
      <c r="L44" s="129"/>
      <c r="M44" s="129"/>
    </row>
    <row r="45" ht="15.75" customHeight="1"/>
    <row r="46" ht="19.5" customHeight="1">
      <c r="K46" s="132" t="s">
        <v>206</v>
      </c>
    </row>
    <row r="47" ht="19.5" customHeight="1">
      <c r="K47" s="134" t="s">
        <v>207</v>
      </c>
      <c r="M47" s="127">
        <v>26.0</v>
      </c>
    </row>
    <row r="48" ht="19.5" customHeight="1">
      <c r="K48" s="135" t="s">
        <v>208</v>
      </c>
      <c r="M48" s="138">
        <f>COUNTIF($I$4:$I$24,"DP")</f>
        <v>6</v>
      </c>
    </row>
    <row r="49" ht="19.5" customHeight="1">
      <c r="K49" s="135" t="s">
        <v>210</v>
      </c>
      <c r="M49" s="138">
        <f>COUNTIFS($I$4:$I$24,"&lt;&gt;DP",$I$4:$I$24,"&lt;&gt;")</f>
        <v>11</v>
      </c>
    </row>
    <row r="50" ht="19.5" customHeight="1">
      <c r="K50" s="139" t="s">
        <v>211</v>
      </c>
      <c r="M50" s="138">
        <f>M48+M49</f>
        <v>17</v>
      </c>
    </row>
    <row r="51" ht="19.5" customHeight="1">
      <c r="K51" s="134" t="s">
        <v>212</v>
      </c>
      <c r="M51" s="141">
        <f>IF(OR(M47="",M47=0),"",M48/M47)</f>
        <v>0.2307692308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317</v>
      </c>
      <c r="D4" s="21" t="s">
        <v>54</v>
      </c>
      <c r="E4" s="23"/>
      <c r="F4" s="57">
        <v>46311.0</v>
      </c>
      <c r="G4" s="42"/>
      <c r="H4" s="31">
        <v>100000.0</v>
      </c>
      <c r="I4" s="24" t="s">
        <v>24</v>
      </c>
      <c r="J4" s="17"/>
      <c r="K4" s="17"/>
      <c r="L4" s="24" t="s">
        <v>29</v>
      </c>
      <c r="M4" s="17"/>
      <c r="N4" s="33"/>
      <c r="O4" s="33"/>
      <c r="P4" s="34"/>
      <c r="Q4" s="1"/>
      <c r="R4" s="1"/>
    </row>
    <row r="5" ht="15.75" customHeight="1">
      <c r="A5" s="1"/>
      <c r="B5" s="18">
        <v>2.0</v>
      </c>
      <c r="C5" s="19" t="s">
        <v>303</v>
      </c>
      <c r="D5" s="21" t="s">
        <v>22</v>
      </c>
      <c r="E5" s="164" t="s">
        <v>318</v>
      </c>
      <c r="F5" s="57">
        <v>46306.0</v>
      </c>
      <c r="G5" s="64">
        <v>510000.0</v>
      </c>
      <c r="H5" s="37"/>
      <c r="I5" s="24" t="s">
        <v>25</v>
      </c>
      <c r="J5" s="24" t="s">
        <v>26</v>
      </c>
      <c r="K5" s="24" t="s">
        <v>26</v>
      </c>
      <c r="L5" s="24" t="s">
        <v>29</v>
      </c>
      <c r="M5" s="24" t="s">
        <v>42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19" t="s">
        <v>320</v>
      </c>
      <c r="D6" s="21" t="s">
        <v>75</v>
      </c>
      <c r="E6" s="164" t="s">
        <v>321</v>
      </c>
      <c r="F6" s="57">
        <v>46306.0</v>
      </c>
      <c r="G6" s="42"/>
      <c r="H6" s="31">
        <v>150000.0</v>
      </c>
      <c r="I6" s="24" t="s">
        <v>25</v>
      </c>
      <c r="J6" s="24" t="s">
        <v>26</v>
      </c>
      <c r="K6" s="24" t="s">
        <v>26</v>
      </c>
      <c r="L6" s="24" t="s">
        <v>29</v>
      </c>
      <c r="M6" s="24" t="s">
        <v>42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19" t="s">
        <v>322</v>
      </c>
      <c r="D7" s="21" t="s">
        <v>54</v>
      </c>
      <c r="E7" s="23"/>
      <c r="F7" s="57">
        <v>46307.0</v>
      </c>
      <c r="G7" s="42"/>
      <c r="H7" s="31">
        <v>100000.0</v>
      </c>
      <c r="I7" s="24" t="s">
        <v>24</v>
      </c>
      <c r="J7" s="17"/>
      <c r="K7" s="17"/>
      <c r="L7" s="24" t="s">
        <v>29</v>
      </c>
      <c r="M7" s="17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9" t="s">
        <v>324</v>
      </c>
      <c r="D8" s="21" t="s">
        <v>54</v>
      </c>
      <c r="E8" s="23"/>
      <c r="F8" s="57">
        <v>46306.0</v>
      </c>
      <c r="G8" s="64">
        <v>825000.0</v>
      </c>
      <c r="H8" s="37"/>
      <c r="I8" s="24" t="s">
        <v>25</v>
      </c>
      <c r="J8" s="24" t="s">
        <v>26</v>
      </c>
      <c r="K8" s="24" t="s">
        <v>27</v>
      </c>
      <c r="L8" s="24" t="s">
        <v>29</v>
      </c>
      <c r="M8" s="24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19" t="s">
        <v>325</v>
      </c>
      <c r="D9" s="21" t="s">
        <v>34</v>
      </c>
      <c r="E9" s="23"/>
      <c r="F9" s="57">
        <v>46306.0</v>
      </c>
      <c r="G9" s="42"/>
      <c r="H9" s="31">
        <v>100000.0</v>
      </c>
      <c r="I9" s="24" t="s">
        <v>24</v>
      </c>
      <c r="J9" s="17"/>
      <c r="K9" s="17"/>
      <c r="L9" s="24" t="s">
        <v>29</v>
      </c>
      <c r="M9" s="17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327</v>
      </c>
      <c r="D10" s="21" t="s">
        <v>54</v>
      </c>
      <c r="E10" s="23"/>
      <c r="F10" s="57">
        <v>46306.0</v>
      </c>
      <c r="G10" s="42"/>
      <c r="H10" s="31">
        <v>1100000.0</v>
      </c>
      <c r="I10" s="24" t="s">
        <v>25</v>
      </c>
      <c r="J10" s="24" t="s">
        <v>26</v>
      </c>
      <c r="K10" s="24" t="s">
        <v>27</v>
      </c>
      <c r="L10" s="24" t="s">
        <v>29</v>
      </c>
      <c r="M10" s="24" t="s">
        <v>42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9" t="s">
        <v>329</v>
      </c>
      <c r="D11" s="21" t="s">
        <v>54</v>
      </c>
      <c r="E11" s="23"/>
      <c r="F11" s="163">
        <v>46306.0</v>
      </c>
      <c r="G11" s="42"/>
      <c r="H11" s="31">
        <v>500000.0</v>
      </c>
      <c r="I11" s="24" t="s">
        <v>25</v>
      </c>
      <c r="J11" s="24" t="s">
        <v>26</v>
      </c>
      <c r="K11" s="24" t="s">
        <v>27</v>
      </c>
      <c r="L11" s="24" t="s">
        <v>29</v>
      </c>
      <c r="M11" s="24" t="s">
        <v>59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9" t="s">
        <v>239</v>
      </c>
      <c r="D12" s="21" t="s">
        <v>54</v>
      </c>
      <c r="E12" s="23"/>
      <c r="F12" s="163">
        <v>46306.0</v>
      </c>
      <c r="G12" s="42"/>
      <c r="H12" s="31">
        <v>75000.0</v>
      </c>
      <c r="I12" s="24" t="s">
        <v>25</v>
      </c>
      <c r="J12" s="24" t="s">
        <v>26</v>
      </c>
      <c r="K12" s="24" t="s">
        <v>26</v>
      </c>
      <c r="L12" s="24" t="s">
        <v>29</v>
      </c>
      <c r="M12" s="24" t="s">
        <v>59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9" t="s">
        <v>257</v>
      </c>
      <c r="D13" s="21" t="s">
        <v>43</v>
      </c>
      <c r="E13" s="164">
        <v>2.0</v>
      </c>
      <c r="F13" s="163">
        <v>46306.0</v>
      </c>
      <c r="G13" s="42"/>
      <c r="H13" s="31">
        <v>100000.0</v>
      </c>
      <c r="I13" s="24" t="s">
        <v>25</v>
      </c>
      <c r="J13" s="24" t="s">
        <v>26</v>
      </c>
      <c r="K13" s="24" t="s">
        <v>26</v>
      </c>
      <c r="L13" s="24" t="s">
        <v>29</v>
      </c>
      <c r="M13" s="24" t="s">
        <v>59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9" t="s">
        <v>332</v>
      </c>
      <c r="D14" s="21" t="s">
        <v>54</v>
      </c>
      <c r="E14" s="23"/>
      <c r="F14" s="163">
        <v>46306.0</v>
      </c>
      <c r="G14" s="42"/>
      <c r="H14" s="31">
        <v>125000.0</v>
      </c>
      <c r="I14" s="24" t="s">
        <v>25</v>
      </c>
      <c r="J14" s="24" t="s">
        <v>26</v>
      </c>
      <c r="K14" s="24" t="s">
        <v>27</v>
      </c>
      <c r="L14" s="24" t="s">
        <v>29</v>
      </c>
      <c r="M14" s="24" t="s">
        <v>59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19" t="s">
        <v>325</v>
      </c>
      <c r="D15" s="21" t="s">
        <v>44</v>
      </c>
      <c r="E15" s="23"/>
      <c r="F15" s="163">
        <v>46306.0</v>
      </c>
      <c r="G15" s="42"/>
      <c r="H15" s="31">
        <v>100000.0</v>
      </c>
      <c r="I15" s="24" t="s">
        <v>25</v>
      </c>
      <c r="J15" s="24" t="s">
        <v>26</v>
      </c>
      <c r="K15" s="24" t="s">
        <v>26</v>
      </c>
      <c r="L15" s="24" t="s">
        <v>29</v>
      </c>
      <c r="M15" s="24" t="s">
        <v>59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59"/>
      <c r="D16" s="61"/>
      <c r="E16" s="23"/>
      <c r="F16" s="165"/>
      <c r="G16" s="42"/>
      <c r="H16" s="37"/>
      <c r="I16" s="17"/>
      <c r="J16" s="17"/>
      <c r="K16" s="17"/>
      <c r="L16" s="17"/>
      <c r="M16" s="17"/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59"/>
      <c r="D17" s="61"/>
      <c r="E17" s="23"/>
      <c r="F17" s="165"/>
      <c r="G17" s="42"/>
      <c r="H17" s="37"/>
      <c r="I17" s="17"/>
      <c r="J17" s="17"/>
      <c r="K17" s="17"/>
      <c r="L17" s="17"/>
      <c r="M17" s="17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19">
        <f t="shared" ref="G18:H18" si="1">SUM(G4:G17)</f>
        <v>1335000</v>
      </c>
      <c r="H18" s="70">
        <f t="shared" si="1"/>
        <v>2450000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2" t="s">
        <v>7</v>
      </c>
      <c r="D21" s="72" t="s">
        <v>120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121</v>
      </c>
      <c r="O21" s="72" t="s">
        <v>2</v>
      </c>
      <c r="P21" s="1"/>
      <c r="Q21" s="1"/>
      <c r="R21" s="1"/>
    </row>
    <row r="22" ht="15.75" customHeight="1">
      <c r="A22" s="1"/>
      <c r="B22" s="73">
        <v>1.0</v>
      </c>
      <c r="C22" s="75" t="s">
        <v>124</v>
      </c>
      <c r="D22" s="76">
        <f>SUM(G18)</f>
        <v>1335000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128</v>
      </c>
      <c r="O22" s="80" t="s">
        <v>29</v>
      </c>
      <c r="P22" s="1"/>
      <c r="Q22" s="1"/>
      <c r="R22" s="1"/>
    </row>
    <row r="23" ht="15.75" customHeight="1">
      <c r="A23" s="1"/>
      <c r="B23" s="82">
        <v>2.0</v>
      </c>
      <c r="C23" s="103" t="s">
        <v>336</v>
      </c>
      <c r="D23" s="106">
        <v>-10000.0</v>
      </c>
      <c r="E23" s="77"/>
      <c r="F23" s="1"/>
      <c r="G23" s="1"/>
      <c r="H23" s="1"/>
      <c r="I23" s="1"/>
      <c r="J23" s="1"/>
      <c r="K23" s="1"/>
      <c r="L23" s="1"/>
      <c r="M23" s="1"/>
      <c r="N23" s="85" t="s">
        <v>132</v>
      </c>
      <c r="O23" s="86" t="s">
        <v>29</v>
      </c>
      <c r="P23" s="1"/>
      <c r="Q23" s="1"/>
      <c r="R23" s="1"/>
    </row>
    <row r="24" ht="15.75" customHeight="1">
      <c r="A24" s="1"/>
      <c r="B24" s="73">
        <v>3.0</v>
      </c>
      <c r="C24" s="107"/>
      <c r="D24" s="108"/>
      <c r="E24" s="77"/>
      <c r="F24" s="1"/>
      <c r="G24" s="1"/>
      <c r="H24" s="1"/>
      <c r="I24" s="1"/>
      <c r="J24" s="1"/>
      <c r="K24" s="1"/>
      <c r="L24" s="1"/>
      <c r="M24" s="1"/>
      <c r="N24" s="88" t="s">
        <v>136</v>
      </c>
      <c r="O24" s="89" t="s">
        <v>42</v>
      </c>
      <c r="P24" s="1"/>
      <c r="Q24" s="1"/>
      <c r="R24" s="1"/>
    </row>
    <row r="25" ht="15.75" customHeight="1">
      <c r="A25" s="1"/>
      <c r="B25" s="82">
        <v>4.0</v>
      </c>
      <c r="C25" s="92"/>
      <c r="D25" s="93"/>
      <c r="E25" s="77"/>
      <c r="F25" s="1"/>
      <c r="G25" s="1"/>
      <c r="H25" s="1"/>
      <c r="I25" s="1"/>
      <c r="J25" s="1"/>
      <c r="K25" s="1"/>
      <c r="L25" s="1"/>
      <c r="M25" s="1"/>
      <c r="N25" s="95" t="s">
        <v>147</v>
      </c>
      <c r="O25" s="86" t="s">
        <v>59</v>
      </c>
      <c r="P25" s="1"/>
      <c r="Q25" s="1"/>
      <c r="R25" s="1"/>
    </row>
    <row r="26" ht="15.75" customHeight="1">
      <c r="A26" s="1"/>
      <c r="B26" s="73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2"/>
      <c r="D27" s="93"/>
      <c r="E27" s="77"/>
      <c r="F27" s="1"/>
      <c r="G27" s="1"/>
      <c r="H27" s="1"/>
      <c r="I27" s="1"/>
      <c r="J27" s="1"/>
      <c r="K27" s="100" t="s">
        <v>150</v>
      </c>
      <c r="Q27" s="1"/>
      <c r="R27" s="1"/>
    </row>
    <row r="28" ht="15.75" customHeight="1">
      <c r="A28" s="1"/>
      <c r="B28" s="73">
        <v>7.0</v>
      </c>
      <c r="C28" s="75"/>
      <c r="D28" s="76"/>
      <c r="E28" s="77"/>
      <c r="F28" s="1"/>
      <c r="G28" s="1"/>
      <c r="H28" s="1"/>
      <c r="I28" s="1"/>
      <c r="J28" s="1"/>
      <c r="K28" s="101" t="s">
        <v>2</v>
      </c>
      <c r="L28" s="101" t="s">
        <v>153</v>
      </c>
      <c r="M28" s="101" t="s">
        <v>155</v>
      </c>
      <c r="N28" s="101" t="s">
        <v>156</v>
      </c>
      <c r="O28" s="101" t="s">
        <v>157</v>
      </c>
      <c r="P28" s="101" t="s">
        <v>158</v>
      </c>
      <c r="Q28" s="1"/>
      <c r="R28" s="1"/>
      <c r="AC28" s="102" t="s">
        <v>159</v>
      </c>
      <c r="AD28" s="102" t="s">
        <v>160</v>
      </c>
      <c r="AE28" s="102" t="s">
        <v>161</v>
      </c>
      <c r="AF28" s="102" t="s">
        <v>163</v>
      </c>
      <c r="AG28" s="102" t="s">
        <v>164</v>
      </c>
    </row>
    <row r="29" ht="15.75" customHeight="1">
      <c r="A29" s="1"/>
      <c r="B29" s="82">
        <v>8.0</v>
      </c>
      <c r="C29" s="92"/>
      <c r="D29" s="93"/>
      <c r="E29" s="77"/>
      <c r="F29" s="1"/>
      <c r="G29" s="1"/>
      <c r="H29" s="1"/>
      <c r="I29" s="1"/>
      <c r="J29" s="1"/>
      <c r="K29" s="104" t="str">
        <f t="shared" ref="K29:K32" si="2">IF(O22="","",O22)</f>
        <v>INDAH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2">
        <f t="shared" ref="AC29:AC34" si="3">IF(AG29="","",IF(COUNT(L29:P29)&lt;5,"",L29/5*20+M29/5*25+N29/5*25+O29/5*15+P29/5*15))</f>
        <v>100</v>
      </c>
      <c r="AD29" s="102" t="str">
        <f t="shared" ref="AD29:AD34" si="4">IF(AC29="","",IF(AC29&gt;=90,"Sangat Baik",IF(AC29&gt;=80,"Baik",IF(AC29&gt;=70,"Coaching","Underperform"))))</f>
        <v>Sangat Baik</v>
      </c>
      <c r="AE29" s="102" t="str">
        <f t="shared" ref="AE29:AE34" si="5">IF(AG29="","",IF(OR(AG29="INDAH",AG29="ADDEL",AG29="AMEL",AG29="PENTIL",AG29="JIJANG"),"Admin/CS","Fotografer"))</f>
        <v>Admin/CS</v>
      </c>
      <c r="AF29" s="102">
        <f t="shared" ref="AF29:AF34" si="6">IF(OR(AG29="",COUNT(L29:P29)&lt;5),"",1)</f>
        <v>1</v>
      </c>
      <c r="AG29" s="102" t="str">
        <f t="shared" ref="AG29:AG34" si="7">IFERROR(K29,"")</f>
        <v>INDAH</v>
      </c>
    </row>
    <row r="30" ht="15.75" customHeight="1">
      <c r="A30" s="1"/>
      <c r="B30" s="73">
        <v>9.0</v>
      </c>
      <c r="C30" s="75"/>
      <c r="D30" s="76"/>
      <c r="E30" s="77"/>
      <c r="F30" s="1"/>
      <c r="G30" s="1"/>
      <c r="H30" s="1"/>
      <c r="I30" s="1"/>
      <c r="J30" s="1"/>
      <c r="K30" s="104" t="str">
        <f t="shared" si="2"/>
        <v>INDAH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Admin/CS</v>
      </c>
      <c r="AF30" s="102">
        <f t="shared" si="6"/>
        <v>1</v>
      </c>
      <c r="AG30" s="102" t="str">
        <f t="shared" si="7"/>
        <v>INDAH</v>
      </c>
    </row>
    <row r="31" ht="15.75" customHeight="1">
      <c r="A31" s="1"/>
      <c r="B31" s="82">
        <v>10.0</v>
      </c>
      <c r="C31" s="92"/>
      <c r="D31" s="93"/>
      <c r="E31" s="77"/>
      <c r="F31" s="1"/>
      <c r="G31" s="1"/>
      <c r="H31" s="1"/>
      <c r="I31" s="1"/>
      <c r="J31" s="1"/>
      <c r="K31" s="104" t="str">
        <f t="shared" si="2"/>
        <v>ADIF</v>
      </c>
      <c r="L31" s="105">
        <v>5.0</v>
      </c>
      <c r="M31" s="105">
        <v>5.0</v>
      </c>
      <c r="N31" s="105">
        <v>5.0</v>
      </c>
      <c r="O31" s="105">
        <v>5.0</v>
      </c>
      <c r="P31" s="105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ADIF</v>
      </c>
    </row>
    <row r="32" ht="15.75" customHeight="1">
      <c r="A32" s="1"/>
      <c r="B32" s="114">
        <v>11.0</v>
      </c>
      <c r="C32" s="115"/>
      <c r="D32" s="116"/>
      <c r="E32" s="77"/>
      <c r="F32" s="1"/>
      <c r="G32" s="1"/>
      <c r="H32" s="1"/>
      <c r="I32" s="1"/>
      <c r="J32" s="1"/>
      <c r="K32" s="104" t="str">
        <f t="shared" si="2"/>
        <v>SAKA</v>
      </c>
      <c r="L32" s="105">
        <v>5.0</v>
      </c>
      <c r="M32" s="105">
        <v>5.0</v>
      </c>
      <c r="N32" s="105">
        <v>5.0</v>
      </c>
      <c r="O32" s="105">
        <v>5.0</v>
      </c>
      <c r="P32" s="105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SAKA</v>
      </c>
    </row>
    <row r="33" ht="15.75" customHeight="1">
      <c r="A33" s="1"/>
      <c r="B33" s="1"/>
      <c r="C33" s="3"/>
      <c r="D33" s="117">
        <f>SUM(D22:D32)</f>
        <v>1325000</v>
      </c>
      <c r="E33" s="1"/>
      <c r="F33" s="1"/>
      <c r="G33" s="1"/>
      <c r="H33" s="1"/>
      <c r="I33" s="1"/>
      <c r="J33" s="1"/>
      <c r="K33" s="104"/>
      <c r="L33" s="118"/>
      <c r="M33" s="118"/>
      <c r="N33" s="118"/>
      <c r="O33" s="118"/>
      <c r="P33" s="118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4"/>
      <c r="L34" s="118"/>
      <c r="M34" s="118"/>
      <c r="N34" s="118"/>
      <c r="O34" s="118"/>
      <c r="P34" s="118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195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1" t="s">
        <v>198</v>
      </c>
      <c r="N37" s="1"/>
      <c r="O37" s="1"/>
      <c r="P37" s="1"/>
      <c r="Q37" s="1"/>
      <c r="R37" s="1"/>
    </row>
    <row r="38" ht="15.75" customHeight="1">
      <c r="K38" s="123" t="s">
        <v>8</v>
      </c>
      <c r="L38" s="123" t="s">
        <v>200</v>
      </c>
      <c r="M38" s="123" t="s">
        <v>201</v>
      </c>
    </row>
    <row r="39" ht="15.75" customHeight="1">
      <c r="K39" s="126" t="str">
        <f t="shared" ref="K39:K40" si="8">IF(O22="","",O22)</f>
        <v>INDAH</v>
      </c>
      <c r="L39" s="127">
        <v>3.0</v>
      </c>
      <c r="M39" s="127" t="s">
        <v>337</v>
      </c>
    </row>
    <row r="40" ht="15.75" customHeight="1">
      <c r="K40" s="126" t="str">
        <f t="shared" si="8"/>
        <v>INDAH</v>
      </c>
      <c r="L40" s="129"/>
      <c r="M40" s="129"/>
    </row>
    <row r="41" ht="15.75" customHeight="1"/>
    <row r="42" ht="19.5" customHeight="1">
      <c r="K42" s="132" t="s">
        <v>206</v>
      </c>
    </row>
    <row r="43" ht="19.5" customHeight="1">
      <c r="K43" s="134" t="s">
        <v>207</v>
      </c>
      <c r="M43" s="127">
        <v>16.0</v>
      </c>
    </row>
    <row r="44" ht="19.5" customHeight="1">
      <c r="K44" s="135" t="s">
        <v>208</v>
      </c>
      <c r="M44" s="150">
        <v>3.0</v>
      </c>
    </row>
    <row r="45" ht="19.5" customHeight="1">
      <c r="K45" s="135" t="s">
        <v>210</v>
      </c>
      <c r="M45" s="150">
        <v>7.0</v>
      </c>
    </row>
    <row r="46" ht="19.5" customHeight="1">
      <c r="K46" s="139" t="s">
        <v>211</v>
      </c>
      <c r="M46" s="150">
        <v>10.0</v>
      </c>
    </row>
    <row r="47" ht="19.5" customHeight="1">
      <c r="K47" s="134" t="s">
        <v>212</v>
      </c>
      <c r="M47" s="141">
        <f>IF(OR(M43="",M43=0),"",M44/M43)</f>
        <v>0.1875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M4:M17">
      <formula1>"-,VERO,FADEL,PENTIL,FAHME,SAKA,ADIF"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7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46" t="s">
        <v>319</v>
      </c>
      <c r="D4" s="21" t="s">
        <v>43</v>
      </c>
      <c r="E4" s="69" t="s">
        <v>197</v>
      </c>
      <c r="F4" s="57">
        <v>46307.0</v>
      </c>
      <c r="G4" s="42"/>
      <c r="H4" s="31">
        <v>100000.0</v>
      </c>
      <c r="I4" s="24" t="s">
        <v>25</v>
      </c>
      <c r="J4" s="24" t="s">
        <v>26</v>
      </c>
      <c r="K4" s="24" t="s">
        <v>26</v>
      </c>
      <c r="L4" s="24" t="s">
        <v>29</v>
      </c>
      <c r="M4" s="175" t="s">
        <v>59</v>
      </c>
      <c r="N4" s="33"/>
      <c r="O4" s="33"/>
      <c r="P4" s="34"/>
      <c r="Q4" s="1"/>
      <c r="R4" s="1"/>
    </row>
    <row r="5" ht="15.75" customHeight="1">
      <c r="A5" s="1"/>
      <c r="B5" s="18">
        <v>2.0</v>
      </c>
      <c r="C5" s="24" t="s">
        <v>323</v>
      </c>
      <c r="D5" s="21" t="s">
        <v>43</v>
      </c>
      <c r="E5" s="22"/>
      <c r="F5" s="57">
        <v>46307.0</v>
      </c>
      <c r="G5" s="42"/>
      <c r="H5" s="31">
        <v>100000.0</v>
      </c>
      <c r="I5" s="24" t="s">
        <v>25</v>
      </c>
      <c r="J5" s="17"/>
      <c r="K5" s="17"/>
      <c r="L5" s="24" t="s">
        <v>29</v>
      </c>
      <c r="M5" s="176"/>
      <c r="N5" s="38"/>
      <c r="O5" s="38"/>
      <c r="P5" s="38"/>
      <c r="Q5" s="1"/>
      <c r="R5" s="1"/>
    </row>
    <row r="6" ht="15.75" customHeight="1">
      <c r="A6" s="1"/>
      <c r="B6" s="18">
        <v>3.0</v>
      </c>
      <c r="C6" s="46" t="s">
        <v>326</v>
      </c>
      <c r="D6" s="21" t="s">
        <v>75</v>
      </c>
      <c r="E6" s="22"/>
      <c r="F6" s="57">
        <v>46316.0</v>
      </c>
      <c r="G6" s="42"/>
      <c r="H6" s="31">
        <v>100000.0</v>
      </c>
      <c r="I6" s="24" t="s">
        <v>24</v>
      </c>
      <c r="J6" s="17"/>
      <c r="K6" s="17"/>
      <c r="L6" s="177" t="s">
        <v>29</v>
      </c>
      <c r="M6" s="176"/>
      <c r="N6" s="38"/>
      <c r="O6" s="38"/>
      <c r="P6" s="38"/>
      <c r="Q6" s="1"/>
      <c r="R6" s="1"/>
    </row>
    <row r="7" ht="15.75" customHeight="1">
      <c r="A7" s="1"/>
      <c r="B7" s="18">
        <v>4.0</v>
      </c>
      <c r="C7" s="19" t="s">
        <v>328</v>
      </c>
      <c r="D7" s="21" t="s">
        <v>231</v>
      </c>
      <c r="E7" s="23"/>
      <c r="F7" s="57">
        <v>46298.0</v>
      </c>
      <c r="G7" s="42"/>
      <c r="H7" s="31">
        <v>20000.0</v>
      </c>
      <c r="I7" s="24" t="s">
        <v>25</v>
      </c>
      <c r="J7" s="17"/>
      <c r="K7" s="17"/>
      <c r="L7" s="24" t="s">
        <v>29</v>
      </c>
      <c r="M7" s="176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9" t="s">
        <v>330</v>
      </c>
      <c r="D8" s="21" t="s">
        <v>54</v>
      </c>
      <c r="E8" s="22"/>
      <c r="F8" s="57">
        <v>46313.0</v>
      </c>
      <c r="G8" s="42"/>
      <c r="H8" s="31">
        <v>100000.0</v>
      </c>
      <c r="I8" s="24" t="s">
        <v>24</v>
      </c>
      <c r="J8" s="17"/>
      <c r="K8" s="17"/>
      <c r="L8" s="24" t="s">
        <v>29</v>
      </c>
      <c r="M8" s="17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9" t="s">
        <v>331</v>
      </c>
      <c r="D9" s="21" t="s">
        <v>34</v>
      </c>
      <c r="E9" s="22"/>
      <c r="F9" s="57">
        <v>46307.0</v>
      </c>
      <c r="G9" s="64">
        <v>100000.0</v>
      </c>
      <c r="H9" s="37"/>
      <c r="I9" s="24" t="s">
        <v>25</v>
      </c>
      <c r="J9" s="24" t="s">
        <v>26</v>
      </c>
      <c r="K9" s="24" t="s">
        <v>27</v>
      </c>
      <c r="L9" s="24" t="s">
        <v>28</v>
      </c>
      <c r="M9" s="24" t="s">
        <v>59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19" t="s">
        <v>290</v>
      </c>
      <c r="D10" s="21" t="s">
        <v>54</v>
      </c>
      <c r="E10" s="22"/>
      <c r="F10" s="57">
        <v>46307.0</v>
      </c>
      <c r="G10" s="64">
        <v>75000.0</v>
      </c>
      <c r="H10" s="37"/>
      <c r="I10" s="24" t="s">
        <v>25</v>
      </c>
      <c r="J10" s="24" t="s">
        <v>26</v>
      </c>
      <c r="K10" s="24" t="s">
        <v>40</v>
      </c>
      <c r="L10" s="24" t="s">
        <v>28</v>
      </c>
      <c r="M10" s="24" t="s">
        <v>59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9" t="s">
        <v>333</v>
      </c>
      <c r="D11" s="21" t="s">
        <v>43</v>
      </c>
      <c r="E11" s="22"/>
      <c r="F11" s="57">
        <v>46307.0</v>
      </c>
      <c r="G11" s="51"/>
      <c r="H11" s="52">
        <v>50000.0</v>
      </c>
      <c r="I11" s="24" t="s">
        <v>25</v>
      </c>
      <c r="J11" s="24" t="s">
        <v>26</v>
      </c>
      <c r="K11" s="24" t="s">
        <v>27</v>
      </c>
      <c r="L11" s="24" t="s">
        <v>28</v>
      </c>
      <c r="M11" s="24" t="s">
        <v>42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19" t="s">
        <v>334</v>
      </c>
      <c r="D12" s="21" t="s">
        <v>54</v>
      </c>
      <c r="E12" s="22"/>
      <c r="F12" s="57">
        <v>46308.0</v>
      </c>
      <c r="G12" s="42"/>
      <c r="H12" s="31">
        <v>100000.0</v>
      </c>
      <c r="I12" s="24" t="s">
        <v>24</v>
      </c>
      <c r="J12" s="17"/>
      <c r="K12" s="17"/>
      <c r="L12" s="24" t="s">
        <v>28</v>
      </c>
      <c r="M12" s="176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19" t="s">
        <v>322</v>
      </c>
      <c r="D13" s="21" t="s">
        <v>54</v>
      </c>
      <c r="E13" s="22"/>
      <c r="F13" s="57">
        <v>46307.0</v>
      </c>
      <c r="G13" s="42"/>
      <c r="H13" s="31">
        <v>500000.0</v>
      </c>
      <c r="I13" s="24" t="s">
        <v>25</v>
      </c>
      <c r="J13" s="24" t="s">
        <v>26</v>
      </c>
      <c r="K13" s="24" t="s">
        <v>26</v>
      </c>
      <c r="L13" s="24" t="s">
        <v>28</v>
      </c>
      <c r="M13" s="175" t="s">
        <v>42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19" t="s">
        <v>335</v>
      </c>
      <c r="D14" s="21" t="s">
        <v>54</v>
      </c>
      <c r="E14" s="69" t="s">
        <v>197</v>
      </c>
      <c r="F14" s="57">
        <v>46307.0</v>
      </c>
      <c r="G14" s="64">
        <v>225000.0</v>
      </c>
      <c r="H14" s="37"/>
      <c r="I14" s="24" t="s">
        <v>25</v>
      </c>
      <c r="J14" s="24" t="s">
        <v>26</v>
      </c>
      <c r="K14" s="24" t="s">
        <v>26</v>
      </c>
      <c r="L14" s="24" t="s">
        <v>28</v>
      </c>
      <c r="M14" s="175" t="s">
        <v>42</v>
      </c>
      <c r="N14" s="38"/>
      <c r="O14" s="38"/>
      <c r="P14" s="38"/>
      <c r="Q14" s="1"/>
      <c r="R14" s="1"/>
    </row>
    <row r="15" ht="18.75" customHeight="1">
      <c r="A15" s="1"/>
      <c r="B15" s="1"/>
      <c r="C15" s="3"/>
      <c r="D15" s="3"/>
      <c r="E15" s="1"/>
      <c r="F15" s="1"/>
      <c r="G15" s="119">
        <f t="shared" ref="G15:H15" si="1">SUM(G4:G14)</f>
        <v>400000</v>
      </c>
      <c r="H15" s="70">
        <f t="shared" si="1"/>
        <v>1070000</v>
      </c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1</v>
      </c>
      <c r="C18" s="72" t="s">
        <v>7</v>
      </c>
      <c r="D18" s="72" t="s">
        <v>120</v>
      </c>
      <c r="E18" s="1"/>
      <c r="F18" s="1"/>
      <c r="G18" s="1"/>
      <c r="H18" s="1"/>
      <c r="I18" s="1"/>
      <c r="J18" s="1"/>
      <c r="K18" s="1"/>
      <c r="L18" s="1"/>
      <c r="M18" s="1"/>
      <c r="N18" s="72" t="s">
        <v>121</v>
      </c>
      <c r="O18" s="72" t="s">
        <v>2</v>
      </c>
      <c r="P18" s="1"/>
      <c r="Q18" s="1"/>
      <c r="R18" s="1"/>
    </row>
    <row r="19" ht="15.75" customHeight="1">
      <c r="A19" s="1"/>
      <c r="B19" s="73">
        <v>1.0</v>
      </c>
      <c r="C19" s="75" t="s">
        <v>124</v>
      </c>
      <c r="D19" s="76">
        <f>SUM(G15)</f>
        <v>400000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128</v>
      </c>
      <c r="O19" s="80" t="s">
        <v>29</v>
      </c>
      <c r="P19" s="1"/>
      <c r="Q19" s="1"/>
      <c r="R19" s="1"/>
    </row>
    <row r="20" ht="15.75" customHeight="1">
      <c r="A20" s="1"/>
      <c r="B20" s="82">
        <v>2.0</v>
      </c>
      <c r="C20" s="83"/>
      <c r="D20" s="84"/>
      <c r="E20" s="77"/>
      <c r="F20" s="1"/>
      <c r="G20" s="1"/>
      <c r="H20" s="1"/>
      <c r="I20" s="1"/>
      <c r="J20" s="1"/>
      <c r="K20" s="1"/>
      <c r="L20" s="1"/>
      <c r="M20" s="1"/>
      <c r="N20" s="85" t="s">
        <v>132</v>
      </c>
      <c r="O20" s="86" t="s">
        <v>28</v>
      </c>
      <c r="P20" s="1"/>
      <c r="Q20" s="1"/>
      <c r="R20" s="1"/>
    </row>
    <row r="21" ht="15.75" customHeight="1">
      <c r="A21" s="1"/>
      <c r="B21" s="73">
        <v>3.0</v>
      </c>
      <c r="C21" s="107"/>
      <c r="D21" s="108"/>
      <c r="E21" s="77"/>
      <c r="F21" s="1"/>
      <c r="G21" s="1"/>
      <c r="H21" s="1"/>
      <c r="I21" s="1"/>
      <c r="J21" s="1"/>
      <c r="K21" s="1"/>
      <c r="L21" s="1"/>
      <c r="M21" s="1"/>
      <c r="N21" s="88" t="s">
        <v>136</v>
      </c>
      <c r="O21" s="89" t="s">
        <v>59</v>
      </c>
      <c r="P21" s="1"/>
      <c r="Q21" s="1"/>
      <c r="R21" s="1"/>
    </row>
    <row r="22" ht="15.75" customHeight="1">
      <c r="A22" s="1"/>
      <c r="B22" s="82">
        <v>4.0</v>
      </c>
      <c r="C22" s="92"/>
      <c r="D22" s="93"/>
      <c r="E22" s="77"/>
      <c r="F22" s="1"/>
      <c r="G22" s="1"/>
      <c r="H22" s="1"/>
      <c r="I22" s="1"/>
      <c r="J22" s="1"/>
      <c r="K22" s="1"/>
      <c r="L22" s="1"/>
      <c r="M22" s="1"/>
      <c r="N22" s="95" t="s">
        <v>147</v>
      </c>
      <c r="O22" s="86" t="s">
        <v>42</v>
      </c>
      <c r="P22" s="1"/>
      <c r="Q22" s="1"/>
      <c r="R22" s="1"/>
    </row>
    <row r="23" ht="15.75" customHeight="1">
      <c r="A23" s="1"/>
      <c r="B23" s="73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2">
        <v>6.0</v>
      </c>
      <c r="C24" s="92"/>
      <c r="D24" s="93"/>
      <c r="E24" s="77"/>
      <c r="F24" s="1"/>
      <c r="G24" s="1"/>
      <c r="H24" s="1"/>
      <c r="I24" s="1"/>
      <c r="J24" s="1"/>
      <c r="K24" s="100" t="s">
        <v>150</v>
      </c>
      <c r="Q24" s="1"/>
      <c r="R24" s="1"/>
    </row>
    <row r="25" ht="15.75" customHeight="1">
      <c r="A25" s="1"/>
      <c r="B25" s="73">
        <v>7.0</v>
      </c>
      <c r="C25" s="75"/>
      <c r="D25" s="76"/>
      <c r="E25" s="77"/>
      <c r="F25" s="1"/>
      <c r="G25" s="1"/>
      <c r="H25" s="1"/>
      <c r="I25" s="1"/>
      <c r="J25" s="1"/>
      <c r="K25" s="101" t="s">
        <v>2</v>
      </c>
      <c r="L25" s="101" t="s">
        <v>153</v>
      </c>
      <c r="M25" s="101" t="s">
        <v>155</v>
      </c>
      <c r="N25" s="101" t="s">
        <v>156</v>
      </c>
      <c r="O25" s="101" t="s">
        <v>157</v>
      </c>
      <c r="P25" s="101" t="s">
        <v>158</v>
      </c>
      <c r="Q25" s="1"/>
      <c r="R25" s="1"/>
      <c r="AC25" s="102" t="s">
        <v>159</v>
      </c>
      <c r="AD25" s="102" t="s">
        <v>160</v>
      </c>
      <c r="AE25" s="102" t="s">
        <v>161</v>
      </c>
      <c r="AF25" s="102" t="s">
        <v>163</v>
      </c>
      <c r="AG25" s="102" t="s">
        <v>164</v>
      </c>
    </row>
    <row r="26" ht="15.75" customHeight="1">
      <c r="A26" s="1"/>
      <c r="B26" s="82">
        <v>8.0</v>
      </c>
      <c r="C26" s="92"/>
      <c r="D26" s="93"/>
      <c r="E26" s="77"/>
      <c r="F26" s="1"/>
      <c r="G26" s="1"/>
      <c r="H26" s="1"/>
      <c r="I26" s="1"/>
      <c r="J26" s="1"/>
      <c r="K26" s="104" t="str">
        <f t="shared" ref="K26:K29" si="2">IF(O19="","",O19)</f>
        <v>INDAH</v>
      </c>
      <c r="L26" s="145">
        <v>5.0</v>
      </c>
      <c r="M26" s="145">
        <v>5.0</v>
      </c>
      <c r="N26" s="145">
        <v>5.0</v>
      </c>
      <c r="O26" s="145">
        <v>5.0</v>
      </c>
      <c r="P26" s="145">
        <v>5.0</v>
      </c>
      <c r="Q26" s="1"/>
      <c r="R26" s="1"/>
      <c r="AC26" s="102">
        <f t="shared" ref="AC26:AC31" si="3">IF(AG26="","",IF(COUNT(L26:P26)&lt;5,"",L26/5*20+M26/5*25+N26/5*25+O26/5*15+P26/5*15))</f>
        <v>100</v>
      </c>
      <c r="AD26" s="102" t="str">
        <f t="shared" ref="AD26:AD31" si="4">IF(AC26="","",IF(AC26&gt;=90,"Sangat Baik",IF(AC26&gt;=80,"Baik",IF(AC26&gt;=70,"Coaching","Underperform"))))</f>
        <v>Sangat Baik</v>
      </c>
      <c r="AE26" s="102" t="str">
        <f t="shared" ref="AE26:AE31" si="5">IF(AG26="","",IF(OR(AG26="INDAH",AG26="ADDEL",AG26="AMEL",AG26="PENTIL",AG26="JIJANG"),"Admin/CS","Fotografer"))</f>
        <v>Admin/CS</v>
      </c>
      <c r="AF26" s="102">
        <f t="shared" ref="AF26:AF31" si="6">IF(OR(AG26="",COUNT(L26:P26)&lt;5),"",1)</f>
        <v>1</v>
      </c>
      <c r="AG26" s="102" t="str">
        <f t="shared" ref="AG26:AG31" si="7">IFERROR(K26,"")</f>
        <v>INDAH</v>
      </c>
    </row>
    <row r="27" ht="15.75" customHeight="1">
      <c r="A27" s="1"/>
      <c r="B27" s="73">
        <v>9.0</v>
      </c>
      <c r="C27" s="75"/>
      <c r="D27" s="76"/>
      <c r="E27" s="77"/>
      <c r="F27" s="1"/>
      <c r="G27" s="1"/>
      <c r="H27" s="1"/>
      <c r="I27" s="1"/>
      <c r="J27" s="1"/>
      <c r="K27" s="104" t="str">
        <f t="shared" si="2"/>
        <v>AMEL</v>
      </c>
      <c r="L27" s="105">
        <v>5.0</v>
      </c>
      <c r="M27" s="105">
        <v>5.0</v>
      </c>
      <c r="N27" s="105">
        <v>5.0</v>
      </c>
      <c r="O27" s="105">
        <v>5.0</v>
      </c>
      <c r="P27" s="105">
        <v>5.0</v>
      </c>
      <c r="Q27" s="1"/>
      <c r="R27" s="1"/>
      <c r="AC27" s="102">
        <f t="shared" si="3"/>
        <v>100</v>
      </c>
      <c r="AD27" s="102" t="str">
        <f t="shared" si="4"/>
        <v>Sangat Baik</v>
      </c>
      <c r="AE27" s="102" t="str">
        <f t="shared" si="5"/>
        <v>Admin/CS</v>
      </c>
      <c r="AF27" s="102">
        <f t="shared" si="6"/>
        <v>1</v>
      </c>
      <c r="AG27" s="102" t="str">
        <f t="shared" si="7"/>
        <v>AMEL</v>
      </c>
    </row>
    <row r="28" ht="15.75" customHeight="1">
      <c r="A28" s="1"/>
      <c r="B28" s="82">
        <v>10.0</v>
      </c>
      <c r="C28" s="92"/>
      <c r="D28" s="93"/>
      <c r="E28" s="77"/>
      <c r="F28" s="1"/>
      <c r="G28" s="1"/>
      <c r="H28" s="1"/>
      <c r="I28" s="1"/>
      <c r="J28" s="1"/>
      <c r="K28" s="104" t="str">
        <f t="shared" si="2"/>
        <v>SAKA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2">
        <f t="shared" si="3"/>
        <v>100</v>
      </c>
      <c r="AD28" s="102" t="str">
        <f t="shared" si="4"/>
        <v>Sangat Baik</v>
      </c>
      <c r="AE28" s="102" t="str">
        <f t="shared" si="5"/>
        <v>Fotografer</v>
      </c>
      <c r="AF28" s="102">
        <f t="shared" si="6"/>
        <v>1</v>
      </c>
      <c r="AG28" s="102" t="str">
        <f t="shared" si="7"/>
        <v>SAKA</v>
      </c>
    </row>
    <row r="29" ht="15.75" customHeight="1">
      <c r="A29" s="1"/>
      <c r="B29" s="114">
        <v>11.0</v>
      </c>
      <c r="C29" s="115"/>
      <c r="D29" s="116"/>
      <c r="E29" s="77"/>
      <c r="F29" s="1"/>
      <c r="G29" s="1"/>
      <c r="H29" s="1"/>
      <c r="I29" s="1"/>
      <c r="J29" s="1"/>
      <c r="K29" s="104" t="str">
        <f t="shared" si="2"/>
        <v>ADIF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2">
        <f t="shared" si="3"/>
        <v>100</v>
      </c>
      <c r="AD29" s="102" t="str">
        <f t="shared" si="4"/>
        <v>Sangat Baik</v>
      </c>
      <c r="AE29" s="102" t="str">
        <f t="shared" si="5"/>
        <v>Fotografer</v>
      </c>
      <c r="AF29" s="102">
        <f t="shared" si="6"/>
        <v>1</v>
      </c>
      <c r="AG29" s="102" t="str">
        <f t="shared" si="7"/>
        <v>ADIF</v>
      </c>
    </row>
    <row r="30" ht="15.75" customHeight="1">
      <c r="A30" s="1"/>
      <c r="B30" s="1"/>
      <c r="C30" s="3"/>
      <c r="D30" s="117">
        <f>SUM(D19:D29)</f>
        <v>400000</v>
      </c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4"/>
      <c r="L31" s="118"/>
      <c r="M31" s="118"/>
      <c r="N31" s="118"/>
      <c r="O31" s="118"/>
      <c r="P31" s="118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20" t="s">
        <v>195</v>
      </c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1" t="s">
        <v>198</v>
      </c>
      <c r="N34" s="1"/>
      <c r="O34" s="1"/>
      <c r="P34" s="1"/>
      <c r="Q34" s="1"/>
      <c r="R34" s="1"/>
    </row>
    <row r="35" ht="15.75" customHeight="1">
      <c r="K35" s="123" t="s">
        <v>8</v>
      </c>
      <c r="L35" s="123" t="s">
        <v>200</v>
      </c>
      <c r="M35" s="123" t="s">
        <v>201</v>
      </c>
    </row>
    <row r="36" ht="15.75" customHeight="1">
      <c r="K36" s="126" t="str">
        <f t="shared" ref="K36:K37" si="8">IF(O19="","",O19)</f>
        <v>INDAH</v>
      </c>
      <c r="L36" s="127">
        <v>2.0</v>
      </c>
      <c r="M36" s="127" t="s">
        <v>338</v>
      </c>
    </row>
    <row r="37" ht="15.75" customHeight="1">
      <c r="K37" s="126" t="str">
        <f t="shared" si="8"/>
        <v>AMEL</v>
      </c>
      <c r="L37" s="127">
        <v>2.0</v>
      </c>
      <c r="M37" s="129"/>
    </row>
    <row r="38" ht="15.75" customHeight="1"/>
    <row r="39" ht="19.5" customHeight="1">
      <c r="K39" s="132" t="s">
        <v>206</v>
      </c>
    </row>
    <row r="40" ht="19.5" customHeight="1">
      <c r="K40" s="134" t="s">
        <v>207</v>
      </c>
      <c r="M40" s="127">
        <v>20.0</v>
      </c>
    </row>
    <row r="41" ht="19.5" customHeight="1">
      <c r="K41" s="135" t="s">
        <v>208</v>
      </c>
      <c r="M41" s="138">
        <f>COUNTIF($I$4:$I$17,"DP")</f>
        <v>3</v>
      </c>
    </row>
    <row r="42" ht="19.5" customHeight="1">
      <c r="K42" s="135" t="s">
        <v>210</v>
      </c>
      <c r="M42" s="138">
        <f>COUNTIFS($I$4:$I$17,"&lt;&gt;DP",$I$4:$I$17,"&lt;&gt;")</f>
        <v>8</v>
      </c>
    </row>
    <row r="43" ht="19.5" customHeight="1">
      <c r="K43" s="139" t="s">
        <v>211</v>
      </c>
      <c r="M43" s="138">
        <f>M41+M42</f>
        <v>11</v>
      </c>
    </row>
    <row r="44" ht="19.5" customHeight="1">
      <c r="K44" s="134" t="s">
        <v>212</v>
      </c>
      <c r="M44" s="141">
        <f>IF(OR(M40="",M40=0),"",M41/M40)</f>
        <v>0.15</v>
      </c>
    </row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0:L40"/>
    <mergeCell ref="K41:L41"/>
    <mergeCell ref="K42:L42"/>
    <mergeCell ref="K43:L43"/>
    <mergeCell ref="K44:L44"/>
    <mergeCell ref="L2:L3"/>
    <mergeCell ref="M2:M3"/>
    <mergeCell ref="N2:P2"/>
    <mergeCell ref="K24:P24"/>
    <mergeCell ref="K32:P32"/>
    <mergeCell ref="K34:M34"/>
    <mergeCell ref="K39:M39"/>
  </mergeCells>
  <conditionalFormatting sqref="I4:I17">
    <cfRule type="expression" dxfId="0" priority="1">
      <formula>I4="DP"</formula>
    </cfRule>
  </conditionalFormatting>
  <conditionalFormatting sqref="I4:I17">
    <cfRule type="expression" dxfId="1" priority="2">
      <formula>I4="Lunas"</formula>
    </cfRule>
  </conditionalFormatting>
  <conditionalFormatting sqref="J4:K17">
    <cfRule type="expression" dxfId="2" priority="3">
      <formula>OR(J4="Uploaded",J4="Delivered")</formula>
    </cfRule>
  </conditionalFormatting>
  <dataValidations>
    <dataValidation type="list" allowBlank="1" showDropDown="1" showErrorMessage="1" sqref="I4:I14">
      <formula1>"-,DP,Lunas"</formula1>
    </dataValidation>
    <dataValidation type="list" allowBlank="1" sqref="L26:P31">
      <formula1>"1,2,3,4,5"</formula1>
    </dataValidation>
    <dataValidation type="list" allowBlank="1" showDropDown="1" showErrorMessage="1" sqref="D4:D14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J4:K14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6:K31">
      <formula1>'Resume Karyawan KPI'!$AK$5:$AK$15</formula1>
    </dataValidation>
    <dataValidation type="list" allowBlank="1" showDropDown="1" showErrorMessage="1" sqref="M4:M14">
      <formula1>"-,VERO,FADEL,PENTIL,FAHME,SAKA,ADIF"</formula1>
    </dataValidation>
    <dataValidation type="list" allowBlank="1" showErrorMessage="1" sqref="N4:N14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4">
      <formula1>"-,In Pikako,In Foxe"</formula1>
    </dataValidation>
    <dataValidation type="list" allowBlank="1" showDropDown="1" showErrorMessage="1" sqref="L4:L5 L7:L14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339</v>
      </c>
      <c r="D4" s="21" t="s">
        <v>182</v>
      </c>
      <c r="E4" s="22"/>
      <c r="F4" s="163">
        <v>46313.0</v>
      </c>
      <c r="G4" s="42"/>
      <c r="H4" s="31">
        <v>100000.0</v>
      </c>
      <c r="I4" s="24" t="s">
        <v>24</v>
      </c>
      <c r="J4" s="17"/>
      <c r="K4" s="17"/>
      <c r="L4" s="24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340</v>
      </c>
      <c r="D5" s="19" t="s">
        <v>278</v>
      </c>
      <c r="E5" s="24">
        <v>2.0</v>
      </c>
      <c r="F5" s="25">
        <v>46320.0</v>
      </c>
      <c r="G5" s="159"/>
      <c r="H5" s="30">
        <v>100000.0</v>
      </c>
      <c r="I5" s="32" t="s">
        <v>25</v>
      </c>
      <c r="J5" s="18"/>
      <c r="K5" s="18"/>
      <c r="L5" s="32" t="s">
        <v>29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342</v>
      </c>
      <c r="D6" s="19" t="s">
        <v>231</v>
      </c>
      <c r="E6" s="17"/>
      <c r="F6" s="157">
        <v>46273.0</v>
      </c>
      <c r="G6" s="159"/>
      <c r="H6" s="30">
        <v>20000.0</v>
      </c>
      <c r="I6" s="32" t="s">
        <v>25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343</v>
      </c>
      <c r="D7" s="19" t="s">
        <v>54</v>
      </c>
      <c r="E7" s="17"/>
      <c r="F7" s="157">
        <v>46313.0</v>
      </c>
      <c r="G7" s="159"/>
      <c r="H7" s="30">
        <v>100000.0</v>
      </c>
      <c r="I7" s="32" t="s">
        <v>24</v>
      </c>
      <c r="J7" s="18"/>
      <c r="K7" s="18"/>
      <c r="L7" s="32" t="s">
        <v>29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345</v>
      </c>
      <c r="D8" s="19" t="s">
        <v>54</v>
      </c>
      <c r="E8" s="17"/>
      <c r="F8" s="157">
        <v>46315.0</v>
      </c>
      <c r="G8" s="159"/>
      <c r="H8" s="30">
        <v>100000.0</v>
      </c>
      <c r="I8" s="32" t="s">
        <v>24</v>
      </c>
      <c r="J8" s="18"/>
      <c r="K8" s="18"/>
      <c r="L8" s="32" t="s">
        <v>29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334</v>
      </c>
      <c r="D9" s="19" t="s">
        <v>54</v>
      </c>
      <c r="E9" s="17"/>
      <c r="F9" s="157">
        <v>46308.0</v>
      </c>
      <c r="G9" s="161">
        <v>75000.0</v>
      </c>
      <c r="H9" s="60"/>
      <c r="I9" s="32" t="s">
        <v>25</v>
      </c>
      <c r="J9" s="32" t="s">
        <v>26</v>
      </c>
      <c r="K9" s="32" t="s">
        <v>26</v>
      </c>
      <c r="L9" s="32" t="s">
        <v>28</v>
      </c>
      <c r="M9" s="32" t="s">
        <v>42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65</v>
      </c>
      <c r="D10" s="19" t="s">
        <v>67</v>
      </c>
      <c r="E10" s="17"/>
      <c r="F10" s="157">
        <v>46307.0</v>
      </c>
      <c r="G10" s="161">
        <v>450000.0</v>
      </c>
      <c r="H10" s="60"/>
      <c r="I10" s="32" t="s">
        <v>25</v>
      </c>
      <c r="J10" s="32" t="s">
        <v>40</v>
      </c>
      <c r="K10" s="32" t="s">
        <v>40</v>
      </c>
      <c r="L10" s="32" t="s">
        <v>28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349</v>
      </c>
      <c r="D11" s="19" t="s">
        <v>54</v>
      </c>
      <c r="E11" s="17"/>
      <c r="F11" s="32" t="s">
        <v>350</v>
      </c>
      <c r="G11" s="159"/>
      <c r="H11" s="30">
        <v>100000.0</v>
      </c>
      <c r="I11" s="32" t="s">
        <v>24</v>
      </c>
      <c r="J11" s="18"/>
      <c r="K11" s="18"/>
      <c r="L11" s="32" t="s">
        <v>28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352</v>
      </c>
      <c r="D12" s="19" t="s">
        <v>278</v>
      </c>
      <c r="E12" s="17"/>
      <c r="F12" s="157">
        <v>46308.0</v>
      </c>
      <c r="G12" s="159"/>
      <c r="H12" s="30">
        <v>50000.0</v>
      </c>
      <c r="I12" s="32" t="s">
        <v>25</v>
      </c>
      <c r="J12" s="32" t="s">
        <v>26</v>
      </c>
      <c r="K12" s="32" t="s">
        <v>26</v>
      </c>
      <c r="L12" s="32" t="s">
        <v>28</v>
      </c>
      <c r="M12" s="32" t="s">
        <v>59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178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9">
        <f t="shared" ref="G14:H14" si="1">SUM(G4:G13)</f>
        <v>525000</v>
      </c>
      <c r="H14" s="70">
        <f t="shared" si="1"/>
        <v>570000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525000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80" t="s">
        <v>29</v>
      </c>
      <c r="P18" s="1"/>
      <c r="Q18" s="1"/>
      <c r="R18" s="1"/>
    </row>
    <row r="19" ht="15.75" customHeight="1">
      <c r="A19" s="1"/>
      <c r="B19" s="82">
        <v>2.0</v>
      </c>
      <c r="C19" s="92"/>
      <c r="D19" s="93"/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86" t="s">
        <v>28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42</v>
      </c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6" t="s">
        <v>59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1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45">
        <v>5.0</v>
      </c>
      <c r="M25" s="145">
        <v>5.0</v>
      </c>
      <c r="N25" s="145">
        <v>5.0</v>
      </c>
      <c r="O25" s="145">
        <v>5.0</v>
      </c>
      <c r="P25" s="145">
        <v>5.0</v>
      </c>
      <c r="Q25" s="1"/>
      <c r="R25" s="1"/>
      <c r="AC25" s="102">
        <f t="shared" ref="AC25:AC30" si="3">IF(AG25="","",IF(COUNT(L25:P25)&lt;5,"",L25/5*20+M25/5*25+N25/5*25+O25/5*15+P25/5*15))</f>
        <v>100</v>
      </c>
      <c r="AD25" s="102" t="str">
        <f t="shared" ref="AD25:AD30" si="4">IF(AC25="","",IF(AC25&gt;=90,"Sangat Baik",IF(AC25&gt;=80,"Baik",IF(AC25&gt;=70,"Coaching","Underperform"))))</f>
        <v>Sangat Baik</v>
      </c>
      <c r="AE25" s="102" t="str">
        <f t="shared" ref="AE25:AE30" si="5">IF(AG25="","",IF(OR(AG25="INDAH",AG25="ADDEL",AG25="AMEL",AG25="PENTIL",AG25="JIJANG"),"Admin/CS","Fotografer"))</f>
        <v>Admin/CS</v>
      </c>
      <c r="AF25" s="102">
        <f t="shared" ref="AF25:AF30" si="6">IF(OR(AG25="",COUNT(L25:P25)&lt;5),"",1)</f>
        <v>1</v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>AMEL</v>
      </c>
      <c r="L26" s="105">
        <v>5.0</v>
      </c>
      <c r="M26" s="105">
        <v>5.0</v>
      </c>
      <c r="N26" s="105">
        <v>5.0</v>
      </c>
      <c r="O26" s="105">
        <v>5.0</v>
      </c>
      <c r="P26" s="105">
        <v>5.0</v>
      </c>
      <c r="Q26" s="1"/>
      <c r="R26" s="1"/>
      <c r="AC26" s="102">
        <f t="shared" si="3"/>
        <v>100</v>
      </c>
      <c r="AD26" s="102" t="str">
        <f t="shared" si="4"/>
        <v>Sangat Baik</v>
      </c>
      <c r="AE26" s="102" t="str">
        <f t="shared" si="5"/>
        <v>Admin/CS</v>
      </c>
      <c r="AF26" s="102">
        <f t="shared" si="6"/>
        <v>1</v>
      </c>
      <c r="AG26" s="102" t="str">
        <f t="shared" si="7"/>
        <v>AMEL</v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>ADIF</v>
      </c>
      <c r="L27" s="145">
        <v>5.0</v>
      </c>
      <c r="M27" s="145">
        <v>5.0</v>
      </c>
      <c r="N27" s="145">
        <v>5.0</v>
      </c>
      <c r="O27" s="145">
        <v>5.0</v>
      </c>
      <c r="P27" s="145">
        <v>5.0</v>
      </c>
      <c r="Q27" s="1"/>
      <c r="R27" s="1"/>
      <c r="AC27" s="102">
        <f t="shared" si="3"/>
        <v>100</v>
      </c>
      <c r="AD27" s="102" t="str">
        <f t="shared" si="4"/>
        <v>Sangat Baik</v>
      </c>
      <c r="AE27" s="102" t="str">
        <f t="shared" si="5"/>
        <v>Fotografer</v>
      </c>
      <c r="AF27" s="102">
        <f t="shared" si="6"/>
        <v>1</v>
      </c>
      <c r="AG27" s="102" t="str">
        <f t="shared" si="7"/>
        <v>ADIF</v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>SAKA</v>
      </c>
      <c r="L28" s="105">
        <v>5.0</v>
      </c>
      <c r="M28" s="105">
        <v>5.0</v>
      </c>
      <c r="N28" s="105">
        <v>5.0</v>
      </c>
      <c r="O28" s="105">
        <v>5.0</v>
      </c>
      <c r="P28" s="105">
        <v>5.0</v>
      </c>
      <c r="Q28" s="1"/>
      <c r="R28" s="1"/>
      <c r="AC28" s="102">
        <f t="shared" si="3"/>
        <v>100</v>
      </c>
      <c r="AD28" s="102" t="str">
        <f t="shared" si="4"/>
        <v>Sangat Baik</v>
      </c>
      <c r="AE28" s="102" t="str">
        <f t="shared" si="5"/>
        <v>Fotografer</v>
      </c>
      <c r="AF28" s="102">
        <f t="shared" si="6"/>
        <v>1</v>
      </c>
      <c r="AG28" s="102" t="str">
        <f t="shared" si="7"/>
        <v>SAKA</v>
      </c>
    </row>
    <row r="29" ht="15.75" customHeight="1">
      <c r="A29" s="1"/>
      <c r="B29" s="1"/>
      <c r="C29" s="3"/>
      <c r="D29" s="117">
        <f>SUM(D18:D28)</f>
        <v>525000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22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  <c r="N34" s="124" t="s">
        <v>202</v>
      </c>
    </row>
    <row r="35" ht="15.75" customHeight="1">
      <c r="K35" s="126" t="str">
        <f t="shared" ref="K35:K36" si="8">IF(O18="","",O18)</f>
        <v>INDAH</v>
      </c>
      <c r="L35" s="127">
        <v>3.0</v>
      </c>
      <c r="M35" s="129"/>
      <c r="N35" s="128">
        <v>21.0</v>
      </c>
    </row>
    <row r="36" ht="15.75" customHeight="1">
      <c r="K36" s="126" t="str">
        <f t="shared" si="8"/>
        <v>AMEL</v>
      </c>
      <c r="L36" s="127">
        <v>2.0</v>
      </c>
      <c r="M36" s="129"/>
      <c r="N36" s="128">
        <v>44.0</v>
      </c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7">
        <v>20.0</v>
      </c>
    </row>
    <row r="40" ht="19.5" customHeight="1">
      <c r="K40" s="135" t="s">
        <v>208</v>
      </c>
      <c r="M40" s="138">
        <f>COUNTIF($I$4:$I$16,"DP")</f>
        <v>4</v>
      </c>
    </row>
    <row r="41" ht="19.5" customHeight="1">
      <c r="K41" s="135" t="s">
        <v>210</v>
      </c>
      <c r="M41" s="138">
        <f>COUNTIFS($I$4:$I$16,"&lt;&gt;DP",$I$4:$I$16,"&lt;&gt;")</f>
        <v>5</v>
      </c>
    </row>
    <row r="42" ht="19.5" customHeight="1">
      <c r="K42" s="139" t="s">
        <v>211</v>
      </c>
      <c r="M42" s="138">
        <f>M40+M41</f>
        <v>9</v>
      </c>
    </row>
    <row r="43" ht="19.5" customHeight="1">
      <c r="K43" s="134" t="s">
        <v>212</v>
      </c>
      <c r="M43" s="141">
        <f>IF(OR(M39="",M39=0),"",M40/M39)</f>
        <v>0.2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C,Photofox,Packing"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4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341</v>
      </c>
      <c r="D4" s="19" t="s">
        <v>22</v>
      </c>
      <c r="E4" s="17"/>
      <c r="F4" s="157">
        <v>46312.0</v>
      </c>
      <c r="G4" s="159"/>
      <c r="H4" s="30">
        <v>100000.0</v>
      </c>
      <c r="I4" s="32" t="s">
        <v>24</v>
      </c>
      <c r="J4" s="18"/>
      <c r="K4" s="18"/>
      <c r="L4" s="32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344</v>
      </c>
      <c r="D5" s="19" t="s">
        <v>54</v>
      </c>
      <c r="E5" s="17"/>
      <c r="F5" s="157">
        <v>46313.0</v>
      </c>
      <c r="G5" s="159"/>
      <c r="H5" s="30">
        <v>100000.0</v>
      </c>
      <c r="I5" s="32" t="s">
        <v>24</v>
      </c>
      <c r="J5" s="18"/>
      <c r="K5" s="18"/>
      <c r="L5" s="32" t="s">
        <v>28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346</v>
      </c>
      <c r="D6" s="19" t="s">
        <v>54</v>
      </c>
      <c r="E6" s="17"/>
      <c r="F6" s="157">
        <v>46314.0</v>
      </c>
      <c r="G6" s="159"/>
      <c r="H6" s="30">
        <v>100000.0</v>
      </c>
      <c r="I6" s="32" t="s">
        <v>24</v>
      </c>
      <c r="J6" s="18"/>
      <c r="K6" s="18"/>
      <c r="L6" s="32" t="s">
        <v>28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347</v>
      </c>
      <c r="D7" s="19" t="s">
        <v>77</v>
      </c>
      <c r="E7" s="17"/>
      <c r="F7" s="157">
        <v>46298.0</v>
      </c>
      <c r="G7" s="159"/>
      <c r="H7" s="30">
        <v>10000.0</v>
      </c>
      <c r="I7" s="32" t="s">
        <v>25</v>
      </c>
      <c r="J7" s="32" t="s">
        <v>26</v>
      </c>
      <c r="K7" s="32" t="s">
        <v>26</v>
      </c>
      <c r="L7" s="32" t="s">
        <v>28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51" t="s">
        <v>348</v>
      </c>
      <c r="D8" s="19" t="s">
        <v>54</v>
      </c>
      <c r="E8" s="17"/>
      <c r="F8" s="157">
        <v>46310.0</v>
      </c>
      <c r="G8" s="159"/>
      <c r="H8" s="30">
        <v>100000.0</v>
      </c>
      <c r="I8" s="32" t="s">
        <v>24</v>
      </c>
      <c r="J8" s="18"/>
      <c r="K8" s="18"/>
      <c r="L8" s="32" t="s">
        <v>28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351</v>
      </c>
      <c r="D9" s="19" t="s">
        <v>43</v>
      </c>
      <c r="E9" s="17"/>
      <c r="F9" s="157">
        <v>46310.0</v>
      </c>
      <c r="G9" s="159"/>
      <c r="H9" s="30">
        <v>100000.0</v>
      </c>
      <c r="I9" s="32" t="s">
        <v>25</v>
      </c>
      <c r="J9" s="18"/>
      <c r="K9" s="18"/>
      <c r="L9" s="32" t="s">
        <v>28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4" t="s">
        <v>353</v>
      </c>
      <c r="D10" s="19" t="s">
        <v>278</v>
      </c>
      <c r="E10" s="24" t="s">
        <v>197</v>
      </c>
      <c r="F10" s="157">
        <v>46309.0</v>
      </c>
      <c r="G10" s="159"/>
      <c r="H10" s="30">
        <v>50000.0</v>
      </c>
      <c r="I10" s="32" t="s">
        <v>25</v>
      </c>
      <c r="J10" s="32" t="s">
        <v>26</v>
      </c>
      <c r="K10" s="32" t="s">
        <v>26</v>
      </c>
      <c r="L10" s="32" t="s">
        <v>28</v>
      </c>
      <c r="M10" s="32" t="s">
        <v>42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354</v>
      </c>
      <c r="D11" s="19" t="s">
        <v>22</v>
      </c>
      <c r="E11" s="17"/>
      <c r="F11" s="53">
        <v>46312.0</v>
      </c>
      <c r="G11" s="159"/>
      <c r="H11" s="30">
        <v>100000.0</v>
      </c>
      <c r="I11" s="32" t="s">
        <v>24</v>
      </c>
      <c r="J11" s="18"/>
      <c r="K11" s="18"/>
      <c r="L11" s="32" t="s">
        <v>28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8" t="s">
        <v>355</v>
      </c>
      <c r="D12" s="19" t="s">
        <v>278</v>
      </c>
      <c r="E12" s="24" t="s">
        <v>197</v>
      </c>
      <c r="F12" s="157">
        <v>46309.0</v>
      </c>
      <c r="G12" s="161">
        <v>50000.0</v>
      </c>
      <c r="H12" s="30"/>
      <c r="I12" s="32" t="s">
        <v>25</v>
      </c>
      <c r="J12" s="32" t="s">
        <v>26</v>
      </c>
      <c r="K12" s="32" t="s">
        <v>26</v>
      </c>
      <c r="L12" s="32" t="s">
        <v>28</v>
      </c>
      <c r="M12" s="32" t="s">
        <v>42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356</v>
      </c>
      <c r="D13" s="19" t="s">
        <v>43</v>
      </c>
      <c r="E13" s="24" t="s">
        <v>197</v>
      </c>
      <c r="F13" s="157">
        <v>46309.0</v>
      </c>
      <c r="G13" s="161">
        <v>100000.0</v>
      </c>
      <c r="H13" s="30"/>
      <c r="I13" s="32" t="s">
        <v>25</v>
      </c>
      <c r="J13" s="32" t="s">
        <v>26</v>
      </c>
      <c r="K13" s="32" t="s">
        <v>26</v>
      </c>
      <c r="L13" s="32" t="s">
        <v>28</v>
      </c>
      <c r="M13" s="32" t="s">
        <v>42</v>
      </c>
      <c r="N13" s="38"/>
      <c r="O13" s="38"/>
      <c r="P13" s="38"/>
      <c r="Q13" s="1"/>
      <c r="R13" s="1"/>
    </row>
    <row r="14" ht="18.75" customHeight="1">
      <c r="A14" s="1"/>
      <c r="B14" s="1"/>
      <c r="D14" s="3"/>
      <c r="E14" s="1"/>
      <c r="F14" s="1"/>
      <c r="G14" s="119">
        <f t="shared" ref="G14:H14" si="1">SUM(G4:G13)</f>
        <v>150000</v>
      </c>
      <c r="H14" s="70">
        <f t="shared" si="1"/>
        <v>660000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150000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80" t="s">
        <v>28</v>
      </c>
      <c r="P18" s="1"/>
      <c r="Q18" s="1"/>
      <c r="R18" s="1"/>
    </row>
    <row r="19" ht="15.75" customHeight="1">
      <c r="A19" s="1"/>
      <c r="B19" s="82">
        <v>2.0</v>
      </c>
      <c r="C19" s="92"/>
      <c r="D19" s="93"/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86" t="s">
        <v>28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59</v>
      </c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6" t="s">
        <v>42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1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>AMEL</v>
      </c>
      <c r="L25" s="145">
        <v>5.0</v>
      </c>
      <c r="M25" s="180">
        <v>4.0</v>
      </c>
      <c r="N25" s="145">
        <v>5.0</v>
      </c>
      <c r="O25" s="145">
        <v>5.0</v>
      </c>
      <c r="P25" s="180">
        <v>4.0</v>
      </c>
      <c r="Q25" s="1"/>
      <c r="R25" s="1"/>
      <c r="AC25" s="102">
        <f t="shared" ref="AC25:AC30" si="3">IF(AG25="","",IF(COUNT(L25:P25)&lt;5,"",L25/5*20+M25/5*25+N25/5*25+O25/5*15+P25/5*15))</f>
        <v>92</v>
      </c>
      <c r="AD25" s="102" t="str">
        <f t="shared" ref="AD25:AD30" si="4">IF(AC25="","",IF(AC25&gt;=90,"Sangat Baik",IF(AC25&gt;=80,"Baik",IF(AC25&gt;=70,"Coaching","Underperform"))))</f>
        <v>Sangat Baik</v>
      </c>
      <c r="AE25" s="102" t="str">
        <f t="shared" ref="AE25:AE30" si="5">IF(AG25="","",IF(OR(AG25="INDAH",AG25="ADDEL",AG25="AMEL",AG25="PENTIL",AG25="JIJANG"),"Admin/CS","Fotografer"))</f>
        <v>Admin/CS</v>
      </c>
      <c r="AF25" s="102">
        <f t="shared" ref="AF25:AF30" si="6">IF(OR(AG25="",COUNT(L25:P25)&lt;5),"",1)</f>
        <v>1</v>
      </c>
      <c r="AG25" s="102" t="str">
        <f t="shared" ref="AG25:AG30" si="7">IFERROR(K25,"")</f>
        <v>AMEL</v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>AMEL</v>
      </c>
      <c r="L26" s="145">
        <v>5.0</v>
      </c>
      <c r="M26" s="180">
        <v>4.0</v>
      </c>
      <c r="N26" s="145">
        <v>5.0</v>
      </c>
      <c r="O26" s="145">
        <v>5.0</v>
      </c>
      <c r="P26" s="180">
        <v>4.0</v>
      </c>
      <c r="Q26" s="1"/>
      <c r="R26" s="1"/>
      <c r="AC26" s="102">
        <f t="shared" si="3"/>
        <v>92</v>
      </c>
      <c r="AD26" s="102" t="str">
        <f t="shared" si="4"/>
        <v>Sangat Baik</v>
      </c>
      <c r="AE26" s="102" t="str">
        <f t="shared" si="5"/>
        <v>Admin/CS</v>
      </c>
      <c r="AF26" s="102">
        <f t="shared" si="6"/>
        <v>1</v>
      </c>
      <c r="AG26" s="102" t="str">
        <f t="shared" si="7"/>
        <v>AMEL</v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>SAKA</v>
      </c>
      <c r="L27" s="145">
        <v>5.0</v>
      </c>
      <c r="M27" s="145">
        <v>5.0</v>
      </c>
      <c r="N27" s="145">
        <v>5.0</v>
      </c>
      <c r="O27" s="145">
        <v>5.0</v>
      </c>
      <c r="P27" s="180">
        <v>4.0</v>
      </c>
      <c r="Q27" s="1"/>
      <c r="R27" s="1"/>
      <c r="AC27" s="102">
        <f t="shared" si="3"/>
        <v>97</v>
      </c>
      <c r="AD27" s="102" t="str">
        <f t="shared" si="4"/>
        <v>Sangat Baik</v>
      </c>
      <c r="AE27" s="102" t="str">
        <f t="shared" si="5"/>
        <v>Fotografer</v>
      </c>
      <c r="AF27" s="102">
        <f t="shared" si="6"/>
        <v>1</v>
      </c>
      <c r="AG27" s="102" t="str">
        <f t="shared" si="7"/>
        <v>SAKA</v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>ADIF</v>
      </c>
      <c r="L28" s="180">
        <v>4.0</v>
      </c>
      <c r="M28" s="145">
        <v>5.0</v>
      </c>
      <c r="N28" s="145">
        <v>5.0</v>
      </c>
      <c r="O28" s="145">
        <v>5.0</v>
      </c>
      <c r="P28" s="180">
        <v>4.0</v>
      </c>
      <c r="Q28" s="1"/>
      <c r="R28" s="1"/>
      <c r="AC28" s="102">
        <f t="shared" si="3"/>
        <v>93</v>
      </c>
      <c r="AD28" s="102" t="str">
        <f t="shared" si="4"/>
        <v>Sangat Baik</v>
      </c>
      <c r="AE28" s="102" t="str">
        <f t="shared" si="5"/>
        <v>Fotografer</v>
      </c>
      <c r="AF28" s="102">
        <f t="shared" si="6"/>
        <v>1</v>
      </c>
      <c r="AG28" s="102" t="str">
        <f t="shared" si="7"/>
        <v>ADIF</v>
      </c>
    </row>
    <row r="29" ht="15.75" customHeight="1">
      <c r="A29" s="1"/>
      <c r="B29" s="1"/>
      <c r="C29" s="3"/>
      <c r="D29" s="117">
        <f>SUM(D18:D28)</f>
        <v>150000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</row>
    <row r="35" ht="15.75" customHeight="1">
      <c r="K35" s="126" t="str">
        <f t="shared" ref="K35:K36" si="8">IF(O18="","",O18)</f>
        <v>AMEL</v>
      </c>
      <c r="L35" s="127">
        <v>9.0</v>
      </c>
      <c r="M35" s="129"/>
    </row>
    <row r="36" ht="15.75" customHeight="1">
      <c r="K36" s="126" t="str">
        <f t="shared" si="8"/>
        <v>AMEL</v>
      </c>
      <c r="L36" s="129"/>
      <c r="M36" s="129"/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7">
        <v>29.0</v>
      </c>
    </row>
    <row r="40" ht="19.5" customHeight="1">
      <c r="K40" s="135" t="s">
        <v>208</v>
      </c>
      <c r="M40" s="150">
        <v>5.0</v>
      </c>
    </row>
    <row r="41" ht="19.5" customHeight="1">
      <c r="K41" s="135" t="s">
        <v>210</v>
      </c>
      <c r="M41" s="150">
        <v>3.0</v>
      </c>
    </row>
    <row r="42" ht="19.5" customHeight="1">
      <c r="K42" s="139" t="s">
        <v>211</v>
      </c>
      <c r="M42" s="150">
        <v>8.0</v>
      </c>
    </row>
    <row r="43" ht="19.5" customHeight="1">
      <c r="K43" s="134" t="s">
        <v>212</v>
      </c>
      <c r="M43" s="141">
        <f>IF(OR(M39="",M39=0),"",M40/M39)</f>
        <v>0.1724137931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3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357</v>
      </c>
      <c r="D4" s="19" t="s">
        <v>54</v>
      </c>
      <c r="E4" s="17"/>
      <c r="F4" s="25">
        <v>46313.0</v>
      </c>
      <c r="G4" s="159"/>
      <c r="H4" s="30">
        <v>100000.0</v>
      </c>
      <c r="I4" s="32" t="s">
        <v>24</v>
      </c>
      <c r="J4" s="18"/>
      <c r="K4" s="18"/>
      <c r="L4" s="32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358</v>
      </c>
      <c r="D5" s="19" t="s">
        <v>43</v>
      </c>
      <c r="E5" s="17"/>
      <c r="F5" s="157">
        <v>46310.0</v>
      </c>
      <c r="G5" s="161" t="s">
        <v>40</v>
      </c>
      <c r="H5" s="30" t="s">
        <v>40</v>
      </c>
      <c r="I5" s="32" t="s">
        <v>25</v>
      </c>
      <c r="J5" s="32" t="s">
        <v>26</v>
      </c>
      <c r="K5" s="32" t="s">
        <v>26</v>
      </c>
      <c r="L5" s="32" t="s">
        <v>28</v>
      </c>
      <c r="M5" s="32" t="s">
        <v>59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48" t="s">
        <v>359</v>
      </c>
      <c r="D6" s="19" t="s">
        <v>34</v>
      </c>
      <c r="E6" s="17"/>
      <c r="F6" s="53">
        <v>46310.0</v>
      </c>
      <c r="G6" s="159"/>
      <c r="H6" s="30">
        <v>100000.0</v>
      </c>
      <c r="I6" s="32" t="s">
        <v>24</v>
      </c>
      <c r="J6" s="18"/>
      <c r="K6" s="18"/>
      <c r="L6" s="32" t="s">
        <v>28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360</v>
      </c>
      <c r="D7" s="19" t="s">
        <v>22</v>
      </c>
      <c r="E7" s="17"/>
      <c r="F7" s="53">
        <v>46312.0</v>
      </c>
      <c r="G7" s="159"/>
      <c r="H7" s="30">
        <v>100000.0</v>
      </c>
      <c r="I7" s="32" t="s">
        <v>24</v>
      </c>
      <c r="J7" s="18"/>
      <c r="K7" s="18"/>
      <c r="L7" s="32" t="s">
        <v>28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79" t="s">
        <v>361</v>
      </c>
      <c r="D8" s="19" t="s">
        <v>22</v>
      </c>
      <c r="E8" s="17"/>
      <c r="F8" s="53">
        <v>46312.0</v>
      </c>
      <c r="G8" s="159"/>
      <c r="H8" s="30">
        <v>150000.0</v>
      </c>
      <c r="I8" s="32" t="s">
        <v>24</v>
      </c>
      <c r="J8" s="18"/>
      <c r="K8" s="18"/>
      <c r="L8" s="32" t="s">
        <v>28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362</v>
      </c>
      <c r="D9" s="19" t="s">
        <v>241</v>
      </c>
      <c r="E9" s="17"/>
      <c r="F9" s="53">
        <v>46311.0</v>
      </c>
      <c r="G9" s="159"/>
      <c r="H9" s="30">
        <v>100000.0</v>
      </c>
      <c r="I9" s="32" t="s">
        <v>24</v>
      </c>
      <c r="J9" s="18"/>
      <c r="K9" s="18"/>
      <c r="L9" s="32" t="s">
        <v>28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363</v>
      </c>
      <c r="D10" s="19" t="s">
        <v>22</v>
      </c>
      <c r="E10" s="17"/>
      <c r="F10" s="157">
        <v>46312.0</v>
      </c>
      <c r="G10" s="159"/>
      <c r="H10" s="30">
        <v>100000.0</v>
      </c>
      <c r="I10" s="32" t="s">
        <v>24</v>
      </c>
      <c r="J10" s="18"/>
      <c r="K10" s="18"/>
      <c r="L10" s="32" t="s">
        <v>29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348</v>
      </c>
      <c r="D11" s="19" t="s">
        <v>54</v>
      </c>
      <c r="E11" s="17"/>
      <c r="F11" s="157">
        <v>46310.0</v>
      </c>
      <c r="G11" s="161">
        <v>1075000.0</v>
      </c>
      <c r="H11" s="60"/>
      <c r="I11" s="32" t="s">
        <v>25</v>
      </c>
      <c r="J11" s="32" t="s">
        <v>26</v>
      </c>
      <c r="K11" s="32" t="s">
        <v>27</v>
      </c>
      <c r="L11" s="32" t="s">
        <v>29</v>
      </c>
      <c r="M11" s="32" t="s">
        <v>59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48" t="s">
        <v>364</v>
      </c>
      <c r="D12" s="19" t="s">
        <v>67</v>
      </c>
      <c r="E12" s="17"/>
      <c r="F12" s="157">
        <v>46312.0</v>
      </c>
      <c r="G12" s="159"/>
      <c r="H12" s="30">
        <v>250000.0</v>
      </c>
      <c r="I12" s="32" t="s">
        <v>24</v>
      </c>
      <c r="J12" s="18"/>
      <c r="K12" s="18"/>
      <c r="L12" s="32" t="s">
        <v>29</v>
      </c>
      <c r="M12" s="18"/>
      <c r="N12" s="38"/>
      <c r="O12" s="38"/>
      <c r="P12" s="38"/>
      <c r="Q12" s="1"/>
      <c r="R12" s="1"/>
    </row>
    <row r="13" ht="15.75" customHeight="1">
      <c r="A13" s="1"/>
      <c r="B13" s="18"/>
      <c r="C13" s="181" t="s">
        <v>359</v>
      </c>
      <c r="D13" s="19" t="s">
        <v>34</v>
      </c>
      <c r="E13" s="17"/>
      <c r="F13" s="157">
        <v>46310.0</v>
      </c>
      <c r="G13" s="159"/>
      <c r="H13" s="30">
        <v>125000.0</v>
      </c>
      <c r="I13" s="32" t="s">
        <v>25</v>
      </c>
      <c r="J13" s="32" t="s">
        <v>26</v>
      </c>
      <c r="K13" s="32" t="s">
        <v>26</v>
      </c>
      <c r="L13" s="32" t="s">
        <v>29</v>
      </c>
      <c r="M13" s="32" t="s">
        <v>59</v>
      </c>
      <c r="N13" s="38"/>
      <c r="O13" s="38"/>
      <c r="P13" s="38"/>
      <c r="Q13" s="1"/>
      <c r="R13" s="1"/>
    </row>
    <row r="14" ht="15.75" customHeight="1">
      <c r="A14" s="1"/>
      <c r="B14" s="18"/>
      <c r="C14" s="181" t="s">
        <v>365</v>
      </c>
      <c r="D14" s="19" t="s">
        <v>54</v>
      </c>
      <c r="E14" s="17"/>
      <c r="F14" s="157">
        <v>46315.0</v>
      </c>
      <c r="G14" s="159"/>
      <c r="H14" s="30">
        <v>100000.0</v>
      </c>
      <c r="I14" s="32" t="s">
        <v>24</v>
      </c>
      <c r="J14" s="18"/>
      <c r="K14" s="18"/>
      <c r="L14" s="32" t="s">
        <v>29</v>
      </c>
      <c r="M14" s="18"/>
      <c r="N14" s="38"/>
      <c r="O14" s="38"/>
      <c r="P14" s="38"/>
      <c r="Q14" s="1"/>
      <c r="R14" s="1"/>
    </row>
    <row r="15" ht="15.75" customHeight="1">
      <c r="A15" s="1"/>
      <c r="B15" s="18"/>
      <c r="C15" s="181" t="s">
        <v>366</v>
      </c>
      <c r="D15" s="19" t="s">
        <v>22</v>
      </c>
      <c r="E15" s="17"/>
      <c r="F15" s="157">
        <v>46312.0</v>
      </c>
      <c r="G15" s="159"/>
      <c r="H15" s="30">
        <v>100000.0</v>
      </c>
      <c r="I15" s="32" t="s">
        <v>24</v>
      </c>
      <c r="J15" s="18"/>
      <c r="K15" s="18"/>
      <c r="L15" s="32" t="s">
        <v>29</v>
      </c>
      <c r="M15" s="18"/>
      <c r="N15" s="38"/>
      <c r="O15" s="38"/>
      <c r="P15" s="38"/>
      <c r="Q15" s="1"/>
      <c r="R15" s="1"/>
    </row>
    <row r="16" ht="15.75" customHeight="1">
      <c r="A16" s="1"/>
      <c r="B16" s="18"/>
      <c r="C16" s="181" t="s">
        <v>367</v>
      </c>
      <c r="D16" s="19" t="s">
        <v>54</v>
      </c>
      <c r="E16" s="17"/>
      <c r="F16" s="157">
        <v>46311.0</v>
      </c>
      <c r="G16" s="159"/>
      <c r="H16" s="30">
        <v>100000.0</v>
      </c>
      <c r="I16" s="32" t="s">
        <v>24</v>
      </c>
      <c r="J16" s="18"/>
      <c r="K16" s="18"/>
      <c r="L16" s="32" t="s">
        <v>29</v>
      </c>
      <c r="M16" s="18"/>
      <c r="N16" s="38"/>
      <c r="O16" s="38"/>
      <c r="P16" s="38"/>
      <c r="Q16" s="1"/>
      <c r="R16" s="1"/>
    </row>
    <row r="17" ht="15.75" customHeight="1">
      <c r="A17" s="1"/>
      <c r="B17" s="18">
        <v>10.0</v>
      </c>
      <c r="C17" s="78"/>
      <c r="D17" s="59"/>
      <c r="E17" s="17"/>
      <c r="F17" s="178"/>
      <c r="G17" s="159"/>
      <c r="H17" s="60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119">
        <f t="shared" ref="G18:H18" si="1">SUM(G4:G17)</f>
        <v>1075000</v>
      </c>
      <c r="H18" s="70">
        <f t="shared" si="1"/>
        <v>1325000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71" t="s">
        <v>1</v>
      </c>
      <c r="C21" s="72" t="s">
        <v>7</v>
      </c>
      <c r="D21" s="72" t="s">
        <v>120</v>
      </c>
      <c r="E21" s="1"/>
      <c r="F21" s="1"/>
      <c r="G21" s="1"/>
      <c r="H21" s="1"/>
      <c r="I21" s="1"/>
      <c r="J21" s="1"/>
      <c r="K21" s="1"/>
      <c r="L21" s="1"/>
      <c r="M21" s="1"/>
      <c r="N21" s="72" t="s">
        <v>121</v>
      </c>
      <c r="O21" s="72" t="s">
        <v>2</v>
      </c>
      <c r="P21" s="1"/>
      <c r="Q21" s="1"/>
      <c r="R21" s="1"/>
    </row>
    <row r="22" ht="15.75" customHeight="1">
      <c r="A22" s="1"/>
      <c r="B22" s="73">
        <v>1.0</v>
      </c>
      <c r="C22" s="75" t="s">
        <v>124</v>
      </c>
      <c r="D22" s="76">
        <f>SUM(G18)</f>
        <v>1075000</v>
      </c>
      <c r="E22" s="77"/>
      <c r="F22" s="1"/>
      <c r="G22" s="1"/>
      <c r="H22" s="1"/>
      <c r="I22" s="1"/>
      <c r="J22" s="1"/>
      <c r="K22" s="1"/>
      <c r="L22" s="1"/>
      <c r="M22" s="1"/>
      <c r="N22" s="79" t="s">
        <v>128</v>
      </c>
      <c r="O22" s="80" t="s">
        <v>28</v>
      </c>
      <c r="P22" s="1"/>
      <c r="Q22" s="1"/>
      <c r="R22" s="1"/>
    </row>
    <row r="23" ht="15.75" customHeight="1">
      <c r="A23" s="1"/>
      <c r="B23" s="82">
        <v>2.0</v>
      </c>
      <c r="C23" s="173" t="s">
        <v>336</v>
      </c>
      <c r="D23" s="143">
        <v>-8000.0</v>
      </c>
      <c r="E23" s="77"/>
      <c r="F23" s="1"/>
      <c r="G23" s="1"/>
      <c r="H23" s="1"/>
      <c r="I23" s="1"/>
      <c r="J23" s="1"/>
      <c r="K23" s="1"/>
      <c r="L23" s="1"/>
      <c r="M23" s="1"/>
      <c r="N23" s="85" t="s">
        <v>132</v>
      </c>
      <c r="O23" s="86" t="s">
        <v>29</v>
      </c>
      <c r="P23" s="1"/>
      <c r="Q23" s="1"/>
      <c r="R23" s="1"/>
    </row>
    <row r="24" ht="15.75" customHeight="1">
      <c r="A24" s="1"/>
      <c r="B24" s="73">
        <v>3.0</v>
      </c>
      <c r="C24" s="142" t="s">
        <v>368</v>
      </c>
      <c r="D24" s="182">
        <v>-100000.0</v>
      </c>
      <c r="E24" s="77"/>
      <c r="F24" s="1"/>
      <c r="G24" s="1"/>
      <c r="H24" s="1"/>
      <c r="I24" s="1"/>
      <c r="J24" s="1"/>
      <c r="K24" s="1"/>
      <c r="L24" s="1"/>
      <c r="M24" s="1"/>
      <c r="N24" s="88" t="s">
        <v>136</v>
      </c>
      <c r="O24" s="89" t="s">
        <v>59</v>
      </c>
      <c r="P24" s="1"/>
      <c r="Q24" s="1"/>
      <c r="R24" s="1"/>
    </row>
    <row r="25" ht="15.75" customHeight="1">
      <c r="A25" s="1"/>
      <c r="B25" s="82">
        <v>4.0</v>
      </c>
      <c r="C25" s="92"/>
      <c r="D25" s="93"/>
      <c r="E25" s="77"/>
      <c r="F25" s="1"/>
      <c r="G25" s="1"/>
      <c r="H25" s="1"/>
      <c r="I25" s="1"/>
      <c r="J25" s="1"/>
      <c r="K25" s="1"/>
      <c r="L25" s="1"/>
      <c r="M25" s="1"/>
      <c r="N25" s="95" t="s">
        <v>147</v>
      </c>
      <c r="O25" s="86" t="s">
        <v>59</v>
      </c>
      <c r="P25" s="1"/>
      <c r="Q25" s="1"/>
      <c r="R25" s="1"/>
    </row>
    <row r="26" ht="15.75" customHeight="1">
      <c r="A26" s="1"/>
      <c r="B26" s="73">
        <v>5.0</v>
      </c>
      <c r="C26" s="75"/>
      <c r="D26" s="76"/>
      <c r="E26" s="77"/>
      <c r="F26" s="1"/>
      <c r="G26" s="1"/>
      <c r="H26" s="1"/>
      <c r="I26" s="1"/>
      <c r="J26" s="1"/>
      <c r="K26" s="1"/>
      <c r="L26" s="1"/>
      <c r="M26" s="1"/>
      <c r="N26" s="98"/>
      <c r="O26" s="1"/>
      <c r="P26" s="1"/>
      <c r="Q26" s="1"/>
      <c r="R26" s="1"/>
    </row>
    <row r="27" ht="15.75" customHeight="1">
      <c r="A27" s="1"/>
      <c r="B27" s="82">
        <v>6.0</v>
      </c>
      <c r="C27" s="92"/>
      <c r="D27" s="93"/>
      <c r="E27" s="77"/>
      <c r="F27" s="1"/>
      <c r="G27" s="1"/>
      <c r="H27" s="1"/>
      <c r="I27" s="1"/>
      <c r="J27" s="1"/>
      <c r="K27" s="100" t="s">
        <v>150</v>
      </c>
      <c r="Q27" s="1"/>
      <c r="R27" s="1"/>
    </row>
    <row r="28" ht="15.75" customHeight="1">
      <c r="A28" s="1"/>
      <c r="B28" s="73">
        <v>7.0</v>
      </c>
      <c r="C28" s="75"/>
      <c r="D28" s="76"/>
      <c r="E28" s="77"/>
      <c r="F28" s="1"/>
      <c r="G28" s="1"/>
      <c r="H28" s="1"/>
      <c r="I28" s="1"/>
      <c r="J28" s="1"/>
      <c r="K28" s="101" t="s">
        <v>2</v>
      </c>
      <c r="L28" s="101" t="s">
        <v>153</v>
      </c>
      <c r="M28" s="101" t="s">
        <v>155</v>
      </c>
      <c r="N28" s="101" t="s">
        <v>156</v>
      </c>
      <c r="O28" s="101" t="s">
        <v>157</v>
      </c>
      <c r="P28" s="101" t="s">
        <v>158</v>
      </c>
      <c r="Q28" s="1"/>
      <c r="R28" s="1"/>
      <c r="AC28" s="102" t="s">
        <v>159</v>
      </c>
      <c r="AD28" s="102" t="s">
        <v>160</v>
      </c>
      <c r="AE28" s="102" t="s">
        <v>161</v>
      </c>
      <c r="AF28" s="102" t="s">
        <v>163</v>
      </c>
      <c r="AG28" s="102" t="s">
        <v>164</v>
      </c>
    </row>
    <row r="29" ht="15.75" customHeight="1">
      <c r="A29" s="1"/>
      <c r="B29" s="82">
        <v>8.0</v>
      </c>
      <c r="C29" s="92"/>
      <c r="D29" s="93"/>
      <c r="E29" s="77"/>
      <c r="F29" s="1"/>
      <c r="G29" s="1"/>
      <c r="H29" s="1"/>
      <c r="I29" s="1"/>
      <c r="J29" s="1"/>
      <c r="K29" s="104" t="str">
        <f t="shared" ref="K29:K32" si="2">IF(O22="","",O22)</f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2">
        <f t="shared" ref="AC29:AC34" si="3">IF(AG29="","",IF(COUNT(L29:P29)&lt;5,"",L29/5*20+M29/5*25+N29/5*25+O29/5*15+P29/5*15))</f>
        <v>100</v>
      </c>
      <c r="AD29" s="102" t="str">
        <f t="shared" ref="AD29:AD34" si="4">IF(AC29="","",IF(AC29&gt;=90,"Sangat Baik",IF(AC29&gt;=80,"Baik",IF(AC29&gt;=70,"Coaching","Underperform"))))</f>
        <v>Sangat Baik</v>
      </c>
      <c r="AE29" s="102" t="str">
        <f t="shared" ref="AE29:AE34" si="5">IF(AG29="","",IF(OR(AG29="INDAH",AG29="ADDEL",AG29="AMEL",AG29="PENTIL",AG29="JIJANG"),"Admin/CS","Fotografer"))</f>
        <v>Admin/CS</v>
      </c>
      <c r="AF29" s="102">
        <f t="shared" ref="AF29:AF34" si="6">IF(OR(AG29="",COUNT(L29:P29)&lt;5),"",1)</f>
        <v>1</v>
      </c>
      <c r="AG29" s="102" t="str">
        <f t="shared" ref="AG29:AG34" si="7">IFERROR(K29,"")</f>
        <v>AMEL</v>
      </c>
    </row>
    <row r="30" ht="15.75" customHeight="1">
      <c r="A30" s="1"/>
      <c r="B30" s="73">
        <v>9.0</v>
      </c>
      <c r="C30" s="75"/>
      <c r="D30" s="76"/>
      <c r="E30" s="77"/>
      <c r="F30" s="1"/>
      <c r="G30" s="1"/>
      <c r="H30" s="1"/>
      <c r="I30" s="1"/>
      <c r="J30" s="1"/>
      <c r="K30" s="104" t="str">
        <f t="shared" si="2"/>
        <v>INDAH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Admin/CS</v>
      </c>
      <c r="AF30" s="102">
        <f t="shared" si="6"/>
        <v>1</v>
      </c>
      <c r="AG30" s="102" t="str">
        <f t="shared" si="7"/>
        <v>INDAH</v>
      </c>
    </row>
    <row r="31" ht="15.75" customHeight="1">
      <c r="A31" s="1"/>
      <c r="B31" s="82">
        <v>10.0</v>
      </c>
      <c r="C31" s="92"/>
      <c r="D31" s="93"/>
      <c r="E31" s="77"/>
      <c r="F31" s="1"/>
      <c r="G31" s="1"/>
      <c r="H31" s="1"/>
      <c r="I31" s="1"/>
      <c r="J31" s="1"/>
      <c r="K31" s="104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SAKA</v>
      </c>
    </row>
    <row r="32" ht="15.75" customHeight="1">
      <c r="A32" s="1"/>
      <c r="B32" s="114">
        <v>11.0</v>
      </c>
      <c r="C32" s="115"/>
      <c r="D32" s="116"/>
      <c r="E32" s="77"/>
      <c r="F32" s="1"/>
      <c r="G32" s="1"/>
      <c r="H32" s="1"/>
      <c r="I32" s="1"/>
      <c r="J32" s="1"/>
      <c r="K32" s="104" t="str">
        <f t="shared" si="2"/>
        <v>SAKA</v>
      </c>
      <c r="L32" s="145">
        <v>5.0</v>
      </c>
      <c r="M32" s="145">
        <v>5.0</v>
      </c>
      <c r="N32" s="145">
        <v>5.0</v>
      </c>
      <c r="O32" s="145">
        <v>5.0</v>
      </c>
      <c r="P32" s="145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SAKA</v>
      </c>
    </row>
    <row r="33" ht="15.75" customHeight="1">
      <c r="A33" s="1"/>
      <c r="B33" s="1"/>
      <c r="C33" s="3"/>
      <c r="D33" s="117">
        <f>SUM(D22:D32)</f>
        <v>967000</v>
      </c>
      <c r="E33" s="1"/>
      <c r="F33" s="1"/>
      <c r="G33" s="1"/>
      <c r="H33" s="1"/>
      <c r="I33" s="1"/>
      <c r="J33" s="1"/>
      <c r="K33" s="104"/>
      <c r="L33" s="118"/>
      <c r="M33" s="118"/>
      <c r="N33" s="118"/>
      <c r="O33" s="118"/>
      <c r="P33" s="118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4"/>
      <c r="L34" s="118"/>
      <c r="M34" s="118"/>
      <c r="N34" s="118"/>
      <c r="O34" s="118"/>
      <c r="P34" s="118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0" t="s">
        <v>195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21" t="s">
        <v>198</v>
      </c>
      <c r="N37" s="183"/>
      <c r="O37" s="1"/>
      <c r="P37" s="1"/>
      <c r="Q37" s="1"/>
      <c r="R37" s="1"/>
    </row>
    <row r="38" ht="15.75" customHeight="1">
      <c r="K38" s="123" t="s">
        <v>8</v>
      </c>
      <c r="L38" s="123" t="s">
        <v>200</v>
      </c>
      <c r="M38" s="123" t="s">
        <v>201</v>
      </c>
      <c r="N38" s="184" t="s">
        <v>202</v>
      </c>
    </row>
    <row r="39" ht="15.75" customHeight="1">
      <c r="K39" s="126" t="str">
        <f t="shared" ref="K39:K40" si="8">IF(O22="","",O22)</f>
        <v>AMEL</v>
      </c>
      <c r="L39" s="127">
        <v>5.0</v>
      </c>
      <c r="M39" s="127" t="s">
        <v>337</v>
      </c>
      <c r="N39" s="185"/>
    </row>
    <row r="40" ht="15.75" customHeight="1">
      <c r="K40" s="126" t="str">
        <f t="shared" si="8"/>
        <v>INDAH</v>
      </c>
      <c r="L40" s="127">
        <v>5.0</v>
      </c>
      <c r="M40" s="127" t="s">
        <v>337</v>
      </c>
      <c r="N40" s="185"/>
    </row>
    <row r="41" ht="15.75" customHeight="1"/>
    <row r="42" ht="19.5" customHeight="1">
      <c r="K42" s="132" t="s">
        <v>206</v>
      </c>
    </row>
    <row r="43" ht="19.5" customHeight="1">
      <c r="K43" s="134" t="s">
        <v>207</v>
      </c>
      <c r="M43" s="127">
        <v>30.0</v>
      </c>
    </row>
    <row r="44" ht="19.5" customHeight="1">
      <c r="K44" s="135" t="s">
        <v>208</v>
      </c>
      <c r="M44" s="138">
        <f>COUNTIF($I$4:$I$20,"DP")</f>
        <v>10</v>
      </c>
    </row>
    <row r="45" ht="19.5" customHeight="1">
      <c r="K45" s="135" t="s">
        <v>210</v>
      </c>
      <c r="M45" s="138">
        <f>COUNTIFS($I$4:$I$20,"&lt;&gt;DP",$I$4:$I$20,"&lt;&gt;")</f>
        <v>3</v>
      </c>
    </row>
    <row r="46" ht="19.5" customHeight="1">
      <c r="K46" s="139" t="s">
        <v>211</v>
      </c>
      <c r="M46" s="138">
        <f>M44+M45</f>
        <v>13</v>
      </c>
    </row>
    <row r="47" ht="19.5" customHeight="1">
      <c r="K47" s="134" t="s">
        <v>212</v>
      </c>
      <c r="M47" s="141">
        <f>IF(OR(M43="",M43=0),"",M44/M43)</f>
        <v>0.3333333333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howDropDown="1" showErrorMessage="1" sqref="M4:M17">
      <formula1>"-,VERO,FADEL,PENTIL,HANIF,ADIF,SAKA"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ErrorMessage="1" sqref="N4:N17">
      <formula1>"-,Pending,Progress,Uploaded"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7">
      <formula1>"-,JIJANG,AXEL,ADDEL,FAHME,INDAH,AMEL"</formula1>
    </dataValidation>
    <dataValidation type="list" allowBlank="1" sqref="O22:O25">
      <formula1>"INDAH,ADDEL,AMEL,PENTIL,JIJANG,HANIF,FAHME,ADIF,ABROR,FADEL,SAKA"</formula1>
    </dataValidation>
    <dataValidation type="list" allowBlank="1" showErrorMessage="1" sqref="O4:O17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369</v>
      </c>
      <c r="D4" s="19" t="s">
        <v>54</v>
      </c>
      <c r="E4" s="17"/>
      <c r="F4" s="157">
        <v>46313.0</v>
      </c>
      <c r="G4" s="159"/>
      <c r="H4" s="30">
        <v>100000.0</v>
      </c>
      <c r="I4" s="32" t="s">
        <v>24</v>
      </c>
      <c r="J4" s="18"/>
      <c r="K4" s="18"/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370</v>
      </c>
      <c r="D5" s="19" t="s">
        <v>54</v>
      </c>
      <c r="E5" s="17"/>
      <c r="F5" s="157">
        <v>46313.0</v>
      </c>
      <c r="G5" s="159"/>
      <c r="H5" s="30">
        <v>100000.0</v>
      </c>
      <c r="I5" s="32" t="s">
        <v>24</v>
      </c>
      <c r="J5" s="18"/>
      <c r="K5" s="18"/>
      <c r="L5" s="32" t="s">
        <v>29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371</v>
      </c>
      <c r="D6" s="19" t="s">
        <v>54</v>
      </c>
      <c r="E6" s="17"/>
      <c r="F6" s="157">
        <v>46313.0</v>
      </c>
      <c r="G6" s="159"/>
      <c r="H6" s="30">
        <v>100000.0</v>
      </c>
      <c r="I6" s="32" t="s">
        <v>24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372</v>
      </c>
      <c r="D7" s="19" t="s">
        <v>54</v>
      </c>
      <c r="E7" s="24" t="s">
        <v>197</v>
      </c>
      <c r="F7" s="157">
        <v>46311.0</v>
      </c>
      <c r="G7" s="159"/>
      <c r="H7" s="30">
        <v>375000.0</v>
      </c>
      <c r="I7" s="32" t="s">
        <v>25</v>
      </c>
      <c r="J7" s="32" t="s">
        <v>26</v>
      </c>
      <c r="K7" s="32" t="s">
        <v>26</v>
      </c>
      <c r="L7" s="32" t="s">
        <v>29</v>
      </c>
      <c r="M7" s="32" t="s">
        <v>42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373</v>
      </c>
      <c r="D8" s="19" t="s">
        <v>54</v>
      </c>
      <c r="E8" s="17"/>
      <c r="F8" s="157">
        <v>46311.0</v>
      </c>
      <c r="G8" s="159"/>
      <c r="H8" s="30">
        <v>425000.0</v>
      </c>
      <c r="I8" s="32" t="s">
        <v>25</v>
      </c>
      <c r="J8" s="32" t="s">
        <v>26</v>
      </c>
      <c r="K8" s="32" t="s">
        <v>27</v>
      </c>
      <c r="L8" s="32" t="s">
        <v>29</v>
      </c>
      <c r="M8" s="32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374</v>
      </c>
      <c r="D9" s="19" t="s">
        <v>22</v>
      </c>
      <c r="E9" s="17"/>
      <c r="F9" s="157">
        <v>46311.0</v>
      </c>
      <c r="G9" s="159"/>
      <c r="H9" s="30">
        <v>100000.0</v>
      </c>
      <c r="I9" s="32" t="s">
        <v>24</v>
      </c>
      <c r="J9" s="18"/>
      <c r="K9" s="18"/>
      <c r="L9" s="32" t="s">
        <v>29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375</v>
      </c>
      <c r="D10" s="19" t="s">
        <v>54</v>
      </c>
      <c r="E10" s="17"/>
      <c r="F10" s="53">
        <v>46311.0</v>
      </c>
      <c r="G10" s="161">
        <v>600000.0</v>
      </c>
      <c r="H10" s="60"/>
      <c r="I10" s="32" t="s">
        <v>25</v>
      </c>
      <c r="J10" s="32" t="s">
        <v>26</v>
      </c>
      <c r="K10" s="32" t="s">
        <v>27</v>
      </c>
      <c r="L10" s="32" t="s">
        <v>29</v>
      </c>
      <c r="M10" s="32" t="s">
        <v>42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362</v>
      </c>
      <c r="D11" s="19" t="s">
        <v>241</v>
      </c>
      <c r="E11" s="17"/>
      <c r="F11" s="53">
        <v>46311.0</v>
      </c>
      <c r="G11" s="159"/>
      <c r="H11" s="30">
        <v>250000.0</v>
      </c>
      <c r="I11" s="32" t="s">
        <v>25</v>
      </c>
      <c r="J11" s="32" t="s">
        <v>26</v>
      </c>
      <c r="K11" s="32" t="s">
        <v>27</v>
      </c>
      <c r="L11" s="32" t="s">
        <v>29</v>
      </c>
      <c r="M11" s="32" t="s">
        <v>42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376</v>
      </c>
      <c r="D12" s="19" t="s">
        <v>54</v>
      </c>
      <c r="E12" s="17"/>
      <c r="F12" s="53">
        <v>46312.0</v>
      </c>
      <c r="G12" s="159"/>
      <c r="H12" s="30">
        <v>100000.0</v>
      </c>
      <c r="I12" s="32" t="s">
        <v>24</v>
      </c>
      <c r="J12" s="18"/>
      <c r="K12" s="18"/>
      <c r="L12" s="32" t="s">
        <v>29</v>
      </c>
      <c r="M12" s="18"/>
      <c r="N12" s="38"/>
      <c r="O12" s="38"/>
      <c r="P12" s="38"/>
      <c r="Q12" s="1"/>
      <c r="R12" s="1"/>
    </row>
    <row r="13" ht="15.75" customHeight="1">
      <c r="A13" s="1"/>
      <c r="B13" s="18"/>
      <c r="C13" s="20" t="s">
        <v>377</v>
      </c>
      <c r="D13" s="19" t="s">
        <v>22</v>
      </c>
      <c r="E13" s="17"/>
      <c r="F13" s="53">
        <v>46312.0</v>
      </c>
      <c r="G13" s="159"/>
      <c r="H13" s="30">
        <v>100000.0</v>
      </c>
      <c r="I13" s="32" t="s">
        <v>24</v>
      </c>
      <c r="J13" s="18"/>
      <c r="K13" s="18"/>
      <c r="L13" s="32" t="s">
        <v>29</v>
      </c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20" t="s">
        <v>317</v>
      </c>
      <c r="D14" s="19" t="s">
        <v>54</v>
      </c>
      <c r="E14" s="17"/>
      <c r="F14" s="53">
        <v>46311.0</v>
      </c>
      <c r="G14" s="161">
        <v>200000.0</v>
      </c>
      <c r="H14" s="60"/>
      <c r="I14" s="32" t="s">
        <v>25</v>
      </c>
      <c r="J14" s="32" t="s">
        <v>26</v>
      </c>
      <c r="K14" s="32" t="s">
        <v>26</v>
      </c>
      <c r="L14" s="32" t="s">
        <v>29</v>
      </c>
      <c r="M14" s="32" t="s">
        <v>42</v>
      </c>
      <c r="N14" s="38"/>
      <c r="O14" s="38"/>
      <c r="P14" s="38"/>
      <c r="Q14" s="1"/>
      <c r="R14" s="1"/>
    </row>
    <row r="15" ht="15.75" customHeight="1">
      <c r="A15" s="1"/>
      <c r="B15" s="18"/>
      <c r="C15" s="20" t="s">
        <v>378</v>
      </c>
      <c r="D15" s="19" t="s">
        <v>22</v>
      </c>
      <c r="E15" s="17"/>
      <c r="F15" s="53">
        <v>46312.0</v>
      </c>
      <c r="G15" s="159"/>
      <c r="H15" s="30">
        <v>100000.0</v>
      </c>
      <c r="I15" s="32" t="s">
        <v>24</v>
      </c>
      <c r="J15" s="18"/>
      <c r="K15" s="18"/>
      <c r="L15" s="32" t="s">
        <v>29</v>
      </c>
      <c r="M15" s="18"/>
      <c r="N15" s="38"/>
      <c r="O15" s="38"/>
      <c r="P15" s="38"/>
      <c r="Q15" s="1"/>
      <c r="R15" s="1"/>
    </row>
    <row r="16" ht="15.75" customHeight="1">
      <c r="A16" s="1"/>
      <c r="B16" s="18">
        <v>10.0</v>
      </c>
      <c r="C16" s="78"/>
      <c r="D16" s="59"/>
      <c r="E16" s="17"/>
      <c r="F16" s="97"/>
      <c r="G16" s="159"/>
      <c r="H16" s="60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19">
        <f t="shared" ref="G17:H17" si="1">SUM(G4:G16)</f>
        <v>800000</v>
      </c>
      <c r="H17" s="70">
        <f t="shared" si="1"/>
        <v>1750000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1</v>
      </c>
      <c r="C20" s="72" t="s">
        <v>7</v>
      </c>
      <c r="D20" s="72" t="s">
        <v>120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121</v>
      </c>
      <c r="O20" s="72" t="s">
        <v>2</v>
      </c>
      <c r="P20" s="1"/>
      <c r="Q20" s="1"/>
      <c r="R20" s="1"/>
    </row>
    <row r="21" ht="15.75" customHeight="1">
      <c r="A21" s="1"/>
      <c r="B21" s="73">
        <v>1.0</v>
      </c>
      <c r="C21" s="75" t="s">
        <v>124</v>
      </c>
      <c r="D21" s="76">
        <f>SUM(G17)</f>
        <v>800000</v>
      </c>
      <c r="E21" s="77"/>
      <c r="F21" s="1"/>
      <c r="G21" s="1"/>
      <c r="H21" s="1"/>
      <c r="I21" s="1"/>
      <c r="J21" s="1"/>
      <c r="K21" s="1"/>
      <c r="L21" s="1"/>
      <c r="M21" s="1"/>
      <c r="N21" s="79" t="s">
        <v>128</v>
      </c>
      <c r="O21" s="80" t="s">
        <v>29</v>
      </c>
      <c r="P21" s="1"/>
      <c r="Q21" s="1"/>
      <c r="R21" s="1"/>
    </row>
    <row r="22" ht="15.75" customHeight="1">
      <c r="A22" s="1"/>
      <c r="B22" s="82">
        <v>2.0</v>
      </c>
      <c r="C22" s="92"/>
      <c r="D22" s="93"/>
      <c r="E22" s="77"/>
      <c r="F22" s="1"/>
      <c r="G22" s="1"/>
      <c r="H22" s="1"/>
      <c r="I22" s="1"/>
      <c r="J22" s="1"/>
      <c r="K22" s="1"/>
      <c r="L22" s="1"/>
      <c r="M22" s="1"/>
      <c r="N22" s="85" t="s">
        <v>132</v>
      </c>
      <c r="O22" s="86" t="s">
        <v>29</v>
      </c>
      <c r="P22" s="1"/>
      <c r="Q22" s="1"/>
      <c r="R22" s="1"/>
    </row>
    <row r="23" ht="15.75" customHeight="1">
      <c r="A23" s="1"/>
      <c r="B23" s="73">
        <v>3.0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88" t="s">
        <v>136</v>
      </c>
      <c r="O23" s="89" t="s">
        <v>42</v>
      </c>
      <c r="P23" s="1"/>
      <c r="Q23" s="1"/>
      <c r="R23" s="1"/>
    </row>
    <row r="24" ht="15.75" customHeight="1">
      <c r="A24" s="1"/>
      <c r="B24" s="82">
        <v>4.0</v>
      </c>
      <c r="C24" s="92"/>
      <c r="D24" s="93"/>
      <c r="E24" s="77"/>
      <c r="F24" s="1"/>
      <c r="G24" s="1"/>
      <c r="H24" s="1"/>
      <c r="I24" s="1"/>
      <c r="J24" s="1"/>
      <c r="K24" s="1"/>
      <c r="L24" s="1"/>
      <c r="M24" s="1"/>
      <c r="N24" s="95" t="s">
        <v>147</v>
      </c>
      <c r="O24" s="86" t="s">
        <v>42</v>
      </c>
      <c r="P24" s="1"/>
      <c r="Q24" s="1"/>
      <c r="R24" s="1"/>
    </row>
    <row r="25" ht="15.75" customHeight="1">
      <c r="A25" s="1"/>
      <c r="B25" s="73">
        <v>5.0</v>
      </c>
      <c r="C25" s="75"/>
      <c r="D25" s="76"/>
      <c r="E25" s="77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2">
        <v>6.0</v>
      </c>
      <c r="C26" s="92"/>
      <c r="D26" s="93"/>
      <c r="E26" s="77"/>
      <c r="F26" s="1"/>
      <c r="G26" s="1"/>
      <c r="H26" s="1"/>
      <c r="I26" s="1"/>
      <c r="J26" s="1"/>
      <c r="K26" s="100" t="s">
        <v>150</v>
      </c>
      <c r="Q26" s="1"/>
      <c r="R26" s="1"/>
    </row>
    <row r="27" ht="15.75" customHeight="1">
      <c r="A27" s="1"/>
      <c r="B27" s="73">
        <v>7.0</v>
      </c>
      <c r="C27" s="75"/>
      <c r="D27" s="76"/>
      <c r="E27" s="77"/>
      <c r="F27" s="1"/>
      <c r="G27" s="1"/>
      <c r="H27" s="1"/>
      <c r="I27" s="1"/>
      <c r="J27" s="1"/>
      <c r="K27" s="101" t="s">
        <v>2</v>
      </c>
      <c r="L27" s="101" t="s">
        <v>153</v>
      </c>
      <c r="M27" s="101" t="s">
        <v>155</v>
      </c>
      <c r="N27" s="101" t="s">
        <v>156</v>
      </c>
      <c r="O27" s="101" t="s">
        <v>157</v>
      </c>
      <c r="P27" s="101" t="s">
        <v>158</v>
      </c>
      <c r="Q27" s="1"/>
      <c r="R27" s="1"/>
      <c r="AC27" s="102" t="s">
        <v>159</v>
      </c>
      <c r="AD27" s="102" t="s">
        <v>160</v>
      </c>
      <c r="AE27" s="102" t="s">
        <v>161</v>
      </c>
      <c r="AF27" s="102" t="s">
        <v>163</v>
      </c>
      <c r="AG27" s="102" t="s">
        <v>164</v>
      </c>
    </row>
    <row r="28" ht="15.75" customHeight="1">
      <c r="A28" s="1"/>
      <c r="B28" s="82">
        <v>8.0</v>
      </c>
      <c r="C28" s="92"/>
      <c r="D28" s="93"/>
      <c r="E28" s="77"/>
      <c r="F28" s="1"/>
      <c r="G28" s="1"/>
      <c r="H28" s="1"/>
      <c r="I28" s="1"/>
      <c r="J28" s="1"/>
      <c r="K28" s="104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102">
        <f t="shared" ref="AC28:AC33" si="3">IF(AG28="","",IF(COUNT(L28:P28)&lt;5,"",L28/5*20+M28/5*25+N28/5*25+O28/5*15+P28/5*15))</f>
        <v>100</v>
      </c>
      <c r="AD28" s="102" t="str">
        <f t="shared" ref="AD28:AD33" si="4">IF(AC28="","",IF(AC28&gt;=90,"Sangat Baik",IF(AC28&gt;=80,"Baik",IF(AC28&gt;=70,"Coaching","Underperform"))))</f>
        <v>Sangat Baik</v>
      </c>
      <c r="AE28" s="102" t="str">
        <f t="shared" ref="AE28:AE33" si="5">IF(AG28="","",IF(OR(AG28="INDAH",AG28="ADDEL",AG28="AMEL",AG28="PENTIL",AG28="JIJANG"),"Admin/CS","Fotografer"))</f>
        <v>Admin/CS</v>
      </c>
      <c r="AF28" s="102">
        <f t="shared" ref="AF28:AF33" si="6">IF(OR(AG28="",COUNT(L28:P28)&lt;5),"",1)</f>
        <v>1</v>
      </c>
      <c r="AG28" s="102" t="str">
        <f t="shared" ref="AG28:AG33" si="7">IFERROR(K28,"")</f>
        <v>INDAH</v>
      </c>
    </row>
    <row r="29" ht="15.75" customHeight="1">
      <c r="A29" s="1"/>
      <c r="B29" s="73">
        <v>9.0</v>
      </c>
      <c r="C29" s="75"/>
      <c r="D29" s="76"/>
      <c r="E29" s="77"/>
      <c r="F29" s="1"/>
      <c r="G29" s="1"/>
      <c r="H29" s="1"/>
      <c r="I29" s="1"/>
      <c r="J29" s="1"/>
      <c r="K29" s="104" t="str">
        <f t="shared" si="2"/>
        <v>INDAH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2">
        <f t="shared" si="3"/>
        <v>100</v>
      </c>
      <c r="AD29" s="102" t="str">
        <f t="shared" si="4"/>
        <v>Sangat Baik</v>
      </c>
      <c r="AE29" s="102" t="str">
        <f t="shared" si="5"/>
        <v>Admin/CS</v>
      </c>
      <c r="AF29" s="102">
        <f t="shared" si="6"/>
        <v>1</v>
      </c>
      <c r="AG29" s="102" t="str">
        <f t="shared" si="7"/>
        <v>INDAH</v>
      </c>
    </row>
    <row r="30" ht="15.75" customHeight="1">
      <c r="A30" s="1"/>
      <c r="B30" s="82">
        <v>10.0</v>
      </c>
      <c r="C30" s="92"/>
      <c r="D30" s="93"/>
      <c r="E30" s="77"/>
      <c r="F30" s="1"/>
      <c r="G30" s="1"/>
      <c r="H30" s="1"/>
      <c r="I30" s="1"/>
      <c r="J30" s="1"/>
      <c r="K30" s="104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Fotografer</v>
      </c>
      <c r="AF30" s="102">
        <f t="shared" si="6"/>
        <v>1</v>
      </c>
      <c r="AG30" s="102" t="str">
        <f t="shared" si="7"/>
        <v>ADIF</v>
      </c>
    </row>
    <row r="31" ht="15.75" customHeight="1">
      <c r="A31" s="1"/>
      <c r="B31" s="114">
        <v>11.0</v>
      </c>
      <c r="C31" s="115"/>
      <c r="D31" s="116"/>
      <c r="E31" s="77"/>
      <c r="F31" s="1"/>
      <c r="G31" s="1"/>
      <c r="H31" s="1"/>
      <c r="I31" s="1"/>
      <c r="J31" s="1"/>
      <c r="K31" s="104" t="str">
        <f t="shared" si="2"/>
        <v>ADIF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ADIF</v>
      </c>
    </row>
    <row r="32" ht="15.75" customHeight="1">
      <c r="A32" s="1"/>
      <c r="B32" s="1"/>
      <c r="C32" s="3"/>
      <c r="D32" s="117">
        <f>SUM(D21:D31)</f>
        <v>800000</v>
      </c>
      <c r="E32" s="1"/>
      <c r="F32" s="1"/>
      <c r="G32" s="1"/>
      <c r="H32" s="1"/>
      <c r="I32" s="1"/>
      <c r="J32" s="1"/>
      <c r="K32" s="104"/>
      <c r="L32" s="118"/>
      <c r="M32" s="118"/>
      <c r="N32" s="118"/>
      <c r="O32" s="118"/>
      <c r="P32" s="118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8"/>
      <c r="M33" s="118"/>
      <c r="N33" s="118"/>
      <c r="O33" s="118"/>
      <c r="P33" s="118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195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1" t="s">
        <v>198</v>
      </c>
      <c r="N36" s="183"/>
      <c r="O36" s="1"/>
      <c r="P36" s="1"/>
      <c r="Q36" s="1"/>
      <c r="R36" s="1"/>
    </row>
    <row r="37" ht="15.75" customHeight="1">
      <c r="K37" s="123" t="s">
        <v>8</v>
      </c>
      <c r="L37" s="123" t="s">
        <v>200</v>
      </c>
      <c r="M37" s="123" t="s">
        <v>201</v>
      </c>
      <c r="N37" s="184" t="s">
        <v>202</v>
      </c>
    </row>
    <row r="38" ht="15.75" customHeight="1">
      <c r="K38" s="126" t="s">
        <v>29</v>
      </c>
      <c r="L38" s="127">
        <v>9.0</v>
      </c>
      <c r="M38" s="127" t="s">
        <v>379</v>
      </c>
      <c r="N38" s="186">
        <v>12.0</v>
      </c>
    </row>
    <row r="39" ht="15.75" customHeight="1">
      <c r="K39" s="126" t="s">
        <v>29</v>
      </c>
      <c r="L39" s="127" t="s">
        <v>380</v>
      </c>
      <c r="M39" s="129"/>
      <c r="N39" s="185"/>
    </row>
    <row r="40" ht="15.75" customHeight="1"/>
    <row r="41" ht="19.5" customHeight="1">
      <c r="K41" s="132" t="s">
        <v>206</v>
      </c>
    </row>
    <row r="42" ht="19.5" customHeight="1">
      <c r="K42" s="134" t="s">
        <v>207</v>
      </c>
      <c r="M42" s="127">
        <v>23.0</v>
      </c>
    </row>
    <row r="43" ht="19.5" customHeight="1">
      <c r="K43" s="135" t="s">
        <v>208</v>
      </c>
      <c r="M43" s="138">
        <f>COUNTIF($I$4:$I$19,"DP")</f>
        <v>7</v>
      </c>
    </row>
    <row r="44" ht="19.5" customHeight="1">
      <c r="K44" s="135" t="s">
        <v>210</v>
      </c>
      <c r="M44" s="138">
        <f>COUNTIFS($I$4:$I$19,"&lt;&gt;DP",$I$4:$I$19,"&lt;&gt;")</f>
        <v>5</v>
      </c>
    </row>
    <row r="45" ht="19.5" customHeight="1">
      <c r="K45" s="139" t="s">
        <v>211</v>
      </c>
      <c r="M45" s="138">
        <f>M43+M44</f>
        <v>12</v>
      </c>
    </row>
    <row r="46" ht="19.5" customHeight="1">
      <c r="K46" s="134" t="s">
        <v>212</v>
      </c>
      <c r="M46" s="141">
        <f>IF(OR(M42="",M42=0),"",M43/M42)</f>
        <v>0.3043478261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6">
      <formula1>"-,Pending,Uploaded"</formula1>
    </dataValidation>
    <dataValidation type="list" allowBlank="1" showDropDown="1" showErrorMessage="1" sqref="M4:M16">
      <formula1>"-,VERO,ADIF,PENTIL,FAHME,HANIF,SAKA"</formula1>
    </dataValidation>
    <dataValidation type="list" allowBlank="1" sqref="K28:K33">
      <formula1>'Resume Karyawan KPI'!$AK$5:$AK$15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1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32">
        <v>1.0</v>
      </c>
      <c r="C4" s="20" t="s">
        <v>381</v>
      </c>
      <c r="D4" s="19" t="s">
        <v>22</v>
      </c>
      <c r="E4" s="17"/>
      <c r="F4" s="157">
        <v>46312.0</v>
      </c>
      <c r="G4" s="187"/>
      <c r="H4" s="188">
        <v>100000.0</v>
      </c>
      <c r="I4" s="32" t="s">
        <v>24</v>
      </c>
      <c r="J4" s="18"/>
      <c r="K4" s="18"/>
      <c r="L4" s="32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32">
        <v>2.0</v>
      </c>
      <c r="C5" s="62" t="s">
        <v>383</v>
      </c>
      <c r="D5" s="19" t="s">
        <v>22</v>
      </c>
      <c r="E5" s="17"/>
      <c r="F5" s="157">
        <v>46312.0</v>
      </c>
      <c r="G5" s="187"/>
      <c r="H5" s="188">
        <v>100000.0</v>
      </c>
      <c r="I5" s="32" t="s">
        <v>24</v>
      </c>
      <c r="J5" s="18"/>
      <c r="K5" s="18"/>
      <c r="L5" s="32" t="s">
        <v>28</v>
      </c>
      <c r="M5" s="18"/>
      <c r="N5" s="33"/>
      <c r="O5" s="33"/>
      <c r="P5" s="34"/>
      <c r="Q5" s="1"/>
      <c r="R5" s="1"/>
    </row>
    <row r="6" ht="15.75" customHeight="1">
      <c r="A6" s="1"/>
      <c r="B6" s="32">
        <v>3.0</v>
      </c>
      <c r="C6" s="20" t="s">
        <v>334</v>
      </c>
      <c r="D6" s="19" t="s">
        <v>54</v>
      </c>
      <c r="E6" s="17"/>
      <c r="F6" s="157">
        <v>46312.0</v>
      </c>
      <c r="G6" s="187"/>
      <c r="H6" s="188">
        <v>375000.0</v>
      </c>
      <c r="I6" s="32" t="s">
        <v>25</v>
      </c>
      <c r="J6" s="32" t="s">
        <v>26</v>
      </c>
      <c r="K6" s="32" t="s">
        <v>27</v>
      </c>
      <c r="L6" s="32" t="s">
        <v>28</v>
      </c>
      <c r="M6" s="32" t="s">
        <v>42</v>
      </c>
      <c r="N6" s="33"/>
      <c r="O6" s="33"/>
      <c r="P6" s="34"/>
      <c r="Q6" s="1"/>
      <c r="R6" s="1"/>
    </row>
    <row r="7" ht="15.75" customHeight="1">
      <c r="A7" s="1"/>
      <c r="B7" s="32">
        <v>4.0</v>
      </c>
      <c r="C7" s="20" t="s">
        <v>386</v>
      </c>
      <c r="D7" s="19" t="s">
        <v>22</v>
      </c>
      <c r="E7" s="17"/>
      <c r="F7" s="157">
        <v>46312.0</v>
      </c>
      <c r="G7" s="187"/>
      <c r="H7" s="188">
        <v>100000.0</v>
      </c>
      <c r="I7" s="32" t="s">
        <v>24</v>
      </c>
      <c r="J7" s="18"/>
      <c r="K7" s="18"/>
      <c r="L7" s="32" t="s">
        <v>28</v>
      </c>
      <c r="M7" s="18"/>
      <c r="N7" s="33"/>
      <c r="O7" s="33"/>
      <c r="P7" s="34"/>
      <c r="Q7" s="1"/>
      <c r="R7" s="1"/>
    </row>
    <row r="8" ht="15.75" customHeight="1">
      <c r="A8" s="1"/>
      <c r="B8" s="32">
        <v>5.0</v>
      </c>
      <c r="C8" s="62" t="s">
        <v>388</v>
      </c>
      <c r="D8" s="19" t="s">
        <v>43</v>
      </c>
      <c r="E8" s="17"/>
      <c r="F8" s="157">
        <v>46314.0</v>
      </c>
      <c r="G8" s="187"/>
      <c r="H8" s="188">
        <v>100000.0</v>
      </c>
      <c r="I8" s="32" t="s">
        <v>25</v>
      </c>
      <c r="J8" s="18"/>
      <c r="K8" s="18"/>
      <c r="L8" s="32" t="s">
        <v>28</v>
      </c>
      <c r="M8" s="18"/>
      <c r="N8" s="33"/>
      <c r="O8" s="33"/>
      <c r="P8" s="34"/>
      <c r="Q8" s="1"/>
      <c r="R8" s="1"/>
    </row>
    <row r="9" ht="15.75" customHeight="1">
      <c r="A9" s="1"/>
      <c r="B9" s="32">
        <v>6.0</v>
      </c>
      <c r="C9" s="20" t="s">
        <v>389</v>
      </c>
      <c r="D9" s="19" t="s">
        <v>22</v>
      </c>
      <c r="E9" s="17"/>
      <c r="F9" s="157">
        <v>46312.0</v>
      </c>
      <c r="G9" s="189">
        <v>310000.0</v>
      </c>
      <c r="H9" s="190"/>
      <c r="I9" s="32" t="s">
        <v>25</v>
      </c>
      <c r="J9" s="32" t="s">
        <v>26</v>
      </c>
      <c r="K9" s="32" t="s">
        <v>27</v>
      </c>
      <c r="L9" s="32" t="s">
        <v>28</v>
      </c>
      <c r="M9" s="32" t="s">
        <v>59</v>
      </c>
      <c r="N9" s="33"/>
      <c r="O9" s="33"/>
      <c r="P9" s="34"/>
      <c r="Q9" s="1"/>
      <c r="R9" s="1"/>
    </row>
    <row r="10" ht="15.75" customHeight="1">
      <c r="A10" s="1"/>
      <c r="B10" s="32">
        <v>7.0</v>
      </c>
      <c r="C10" s="20" t="s">
        <v>391</v>
      </c>
      <c r="D10" s="19" t="s">
        <v>22</v>
      </c>
      <c r="E10" s="17"/>
      <c r="F10" s="157">
        <v>46312.0</v>
      </c>
      <c r="G10" s="189">
        <v>270000.0</v>
      </c>
      <c r="H10" s="190"/>
      <c r="I10" s="32" t="s">
        <v>25</v>
      </c>
      <c r="J10" s="32" t="s">
        <v>26</v>
      </c>
      <c r="K10" s="32" t="s">
        <v>27</v>
      </c>
      <c r="L10" s="32" t="s">
        <v>28</v>
      </c>
      <c r="M10" s="32" t="s">
        <v>42</v>
      </c>
      <c r="N10" s="33"/>
      <c r="O10" s="33"/>
      <c r="P10" s="34"/>
      <c r="Q10" s="1"/>
      <c r="R10" s="1"/>
    </row>
    <row r="11" ht="15.75" customHeight="1">
      <c r="A11" s="1"/>
      <c r="B11" s="32">
        <v>8.0</v>
      </c>
      <c r="C11" s="20" t="s">
        <v>393</v>
      </c>
      <c r="D11" s="19" t="s">
        <v>22</v>
      </c>
      <c r="E11" s="17"/>
      <c r="F11" s="157">
        <v>46312.0</v>
      </c>
      <c r="G11" s="187"/>
      <c r="H11" s="188">
        <v>330000.0</v>
      </c>
      <c r="I11" s="32" t="s">
        <v>25</v>
      </c>
      <c r="J11" s="32" t="s">
        <v>26</v>
      </c>
      <c r="K11" s="32" t="s">
        <v>27</v>
      </c>
      <c r="L11" s="32" t="s">
        <v>28</v>
      </c>
      <c r="M11" s="32" t="s">
        <v>59</v>
      </c>
      <c r="N11" s="33"/>
      <c r="O11" s="33"/>
      <c r="P11" s="34"/>
      <c r="Q11" s="1"/>
      <c r="R11" s="1"/>
    </row>
    <row r="12" ht="15.75" customHeight="1">
      <c r="A12" s="1"/>
      <c r="B12" s="32">
        <v>9.0</v>
      </c>
      <c r="C12" s="20" t="s">
        <v>396</v>
      </c>
      <c r="D12" s="19" t="s">
        <v>44</v>
      </c>
      <c r="E12" s="17"/>
      <c r="F12" s="157">
        <v>46312.0</v>
      </c>
      <c r="G12" s="189">
        <v>360000.0</v>
      </c>
      <c r="H12" s="190"/>
      <c r="I12" s="18"/>
      <c r="J12" s="18"/>
      <c r="K12" s="18"/>
      <c r="L12" s="32" t="s">
        <v>28</v>
      </c>
      <c r="M12" s="18"/>
      <c r="N12" s="33"/>
      <c r="O12" s="33"/>
      <c r="P12" s="34"/>
      <c r="Q12" s="1"/>
      <c r="R12" s="1"/>
    </row>
    <row r="13" ht="15.75" customHeight="1">
      <c r="A13" s="1"/>
      <c r="B13" s="32">
        <v>10.0</v>
      </c>
      <c r="C13" s="20" t="s">
        <v>361</v>
      </c>
      <c r="D13" s="19" t="s">
        <v>22</v>
      </c>
      <c r="E13" s="17"/>
      <c r="F13" s="157">
        <v>46312.0</v>
      </c>
      <c r="G13" s="187"/>
      <c r="H13" s="188">
        <v>220000.0</v>
      </c>
      <c r="I13" s="32" t="s">
        <v>25</v>
      </c>
      <c r="J13" s="32" t="s">
        <v>26</v>
      </c>
      <c r="K13" s="32" t="s">
        <v>27</v>
      </c>
      <c r="L13" s="32" t="s">
        <v>28</v>
      </c>
      <c r="M13" s="32" t="s">
        <v>42</v>
      </c>
      <c r="N13" s="33"/>
      <c r="O13" s="33"/>
      <c r="P13" s="34"/>
      <c r="Q13" s="1"/>
      <c r="R13" s="1"/>
    </row>
    <row r="14" ht="15.75" customHeight="1">
      <c r="A14" s="1"/>
      <c r="B14" s="32">
        <v>11.0</v>
      </c>
      <c r="C14" s="20" t="s">
        <v>399</v>
      </c>
      <c r="D14" s="19" t="s">
        <v>22</v>
      </c>
      <c r="E14" s="17"/>
      <c r="F14" s="157">
        <v>46312.0</v>
      </c>
      <c r="G14" s="159"/>
      <c r="H14" s="30">
        <v>270000.0</v>
      </c>
      <c r="I14" s="32" t="s">
        <v>25</v>
      </c>
      <c r="J14" s="32" t="s">
        <v>26</v>
      </c>
      <c r="K14" s="32" t="s">
        <v>27</v>
      </c>
      <c r="L14" s="32" t="s">
        <v>28</v>
      </c>
      <c r="M14" s="32" t="s">
        <v>59</v>
      </c>
      <c r="N14" s="33"/>
      <c r="O14" s="33"/>
      <c r="P14" s="34"/>
      <c r="Q14" s="1"/>
      <c r="R14" s="1"/>
    </row>
    <row r="15" ht="15.75" customHeight="1">
      <c r="A15" s="1"/>
      <c r="B15" s="32">
        <v>12.0</v>
      </c>
      <c r="C15" s="20" t="s">
        <v>376</v>
      </c>
      <c r="D15" s="19" t="s">
        <v>22</v>
      </c>
      <c r="E15" s="17"/>
      <c r="F15" s="157">
        <v>46312.0</v>
      </c>
      <c r="G15" s="161">
        <v>270000.0</v>
      </c>
      <c r="H15" s="60"/>
      <c r="I15" s="32" t="s">
        <v>25</v>
      </c>
      <c r="J15" s="32" t="s">
        <v>26</v>
      </c>
      <c r="K15" s="32" t="s">
        <v>27</v>
      </c>
      <c r="L15" s="32" t="s">
        <v>28</v>
      </c>
      <c r="M15" s="32" t="s">
        <v>42</v>
      </c>
      <c r="N15" s="38"/>
      <c r="O15" s="38"/>
      <c r="P15" s="38"/>
      <c r="Q15" s="1"/>
      <c r="R15" s="1"/>
    </row>
    <row r="16" ht="15.75" customHeight="1">
      <c r="A16" s="1"/>
      <c r="B16" s="32">
        <v>13.0</v>
      </c>
      <c r="C16" s="20" t="s">
        <v>370</v>
      </c>
      <c r="D16" s="19" t="s">
        <v>54</v>
      </c>
      <c r="E16" s="17"/>
      <c r="F16" s="157">
        <v>46312.0</v>
      </c>
      <c r="G16" s="161">
        <v>150000.0</v>
      </c>
      <c r="H16" s="60"/>
      <c r="I16" s="32" t="s">
        <v>25</v>
      </c>
      <c r="J16" s="32" t="s">
        <v>26</v>
      </c>
      <c r="K16" s="32" t="s">
        <v>27</v>
      </c>
      <c r="L16" s="32" t="s">
        <v>28</v>
      </c>
      <c r="M16" s="32" t="s">
        <v>59</v>
      </c>
      <c r="N16" s="38"/>
      <c r="O16" s="38"/>
      <c r="P16" s="38"/>
      <c r="Q16" s="1"/>
      <c r="R16" s="1"/>
    </row>
    <row r="17" ht="15.75" customHeight="1">
      <c r="A17" s="1"/>
      <c r="B17" s="32">
        <v>14.0</v>
      </c>
      <c r="C17" s="191" t="s">
        <v>402</v>
      </c>
      <c r="D17" s="19" t="s">
        <v>22</v>
      </c>
      <c r="E17" s="17"/>
      <c r="F17" s="157">
        <v>46312.0</v>
      </c>
      <c r="G17" s="159"/>
      <c r="H17" s="30">
        <v>270000.0</v>
      </c>
      <c r="I17" s="32" t="s">
        <v>25</v>
      </c>
      <c r="J17" s="32" t="s">
        <v>26</v>
      </c>
      <c r="K17" s="32" t="s">
        <v>27</v>
      </c>
      <c r="L17" s="32" t="s">
        <v>29</v>
      </c>
      <c r="M17" s="32" t="s">
        <v>42</v>
      </c>
      <c r="N17" s="38"/>
      <c r="O17" s="38"/>
      <c r="P17" s="38"/>
      <c r="Q17" s="1"/>
      <c r="R17" s="1"/>
    </row>
    <row r="18" ht="15.75" customHeight="1">
      <c r="A18" s="1"/>
      <c r="B18" s="32">
        <v>15.0</v>
      </c>
      <c r="C18" s="20" t="s">
        <v>403</v>
      </c>
      <c r="D18" s="19" t="s">
        <v>22</v>
      </c>
      <c r="E18" s="17"/>
      <c r="F18" s="157">
        <v>46312.0</v>
      </c>
      <c r="G18" s="161">
        <v>270000.0</v>
      </c>
      <c r="H18" s="60"/>
      <c r="I18" s="32" t="s">
        <v>25</v>
      </c>
      <c r="J18" s="32" t="s">
        <v>26</v>
      </c>
      <c r="K18" s="32" t="s">
        <v>27</v>
      </c>
      <c r="L18" s="32" t="s">
        <v>29</v>
      </c>
      <c r="M18" s="32" t="s">
        <v>59</v>
      </c>
      <c r="N18" s="38"/>
      <c r="O18" s="38"/>
      <c r="P18" s="38"/>
      <c r="Q18" s="1"/>
      <c r="R18" s="1"/>
    </row>
    <row r="19" ht="15.75" customHeight="1">
      <c r="A19" s="1"/>
      <c r="B19" s="32">
        <v>16.0</v>
      </c>
      <c r="C19" s="20" t="s">
        <v>404</v>
      </c>
      <c r="D19" s="19" t="s">
        <v>22</v>
      </c>
      <c r="E19" s="17"/>
      <c r="F19" s="157">
        <v>46312.0</v>
      </c>
      <c r="G19" s="161">
        <v>20000.0</v>
      </c>
      <c r="H19" s="30">
        <v>250000.0</v>
      </c>
      <c r="I19" s="32" t="s">
        <v>25</v>
      </c>
      <c r="J19" s="32" t="s">
        <v>26</v>
      </c>
      <c r="K19" s="32" t="s">
        <v>27</v>
      </c>
      <c r="L19" s="32" t="s">
        <v>29</v>
      </c>
      <c r="M19" s="32" t="s">
        <v>42</v>
      </c>
      <c r="N19" s="38"/>
      <c r="O19" s="38"/>
      <c r="P19" s="38"/>
      <c r="Q19" s="1"/>
      <c r="R19" s="1"/>
    </row>
    <row r="20" ht="15.75" customHeight="1">
      <c r="A20" s="1"/>
      <c r="B20" s="32">
        <v>17.0</v>
      </c>
      <c r="C20" s="20" t="s">
        <v>405</v>
      </c>
      <c r="D20" s="19" t="s">
        <v>22</v>
      </c>
      <c r="E20" s="17"/>
      <c r="F20" s="157">
        <v>46312.0</v>
      </c>
      <c r="G20" s="161">
        <v>420000.0</v>
      </c>
      <c r="H20" s="60"/>
      <c r="I20" s="32" t="s">
        <v>25</v>
      </c>
      <c r="J20" s="32" t="s">
        <v>26</v>
      </c>
      <c r="K20" s="32" t="s">
        <v>27</v>
      </c>
      <c r="L20" s="32" t="s">
        <v>29</v>
      </c>
      <c r="M20" s="32" t="s">
        <v>42</v>
      </c>
      <c r="N20" s="38"/>
      <c r="O20" s="38"/>
      <c r="P20" s="38"/>
      <c r="Q20" s="1"/>
      <c r="R20" s="1"/>
    </row>
    <row r="21" ht="15.75" customHeight="1">
      <c r="A21" s="1"/>
      <c r="B21" s="32">
        <v>18.0</v>
      </c>
      <c r="C21" s="36" t="s">
        <v>366</v>
      </c>
      <c r="D21" s="19" t="s">
        <v>22</v>
      </c>
      <c r="E21" s="17"/>
      <c r="F21" s="157">
        <v>46312.0</v>
      </c>
      <c r="G21" s="30">
        <v>250000.0</v>
      </c>
      <c r="H21" s="60"/>
      <c r="I21" s="32" t="s">
        <v>25</v>
      </c>
      <c r="J21" s="32" t="s">
        <v>26</v>
      </c>
      <c r="K21" s="32" t="s">
        <v>27</v>
      </c>
      <c r="L21" s="32" t="s">
        <v>28</v>
      </c>
      <c r="M21" s="32" t="s">
        <v>59</v>
      </c>
      <c r="N21" s="38"/>
      <c r="O21" s="38"/>
      <c r="P21" s="38"/>
      <c r="Q21" s="1"/>
      <c r="R21" s="1"/>
    </row>
    <row r="22" ht="15.75" customHeight="1">
      <c r="A22" s="1"/>
      <c r="B22" s="32">
        <v>19.0</v>
      </c>
      <c r="C22" s="20" t="s">
        <v>407</v>
      </c>
      <c r="D22" s="19" t="s">
        <v>22</v>
      </c>
      <c r="E22" s="17"/>
      <c r="F22" s="157">
        <v>46312.0</v>
      </c>
      <c r="G22" s="161">
        <v>370000.0</v>
      </c>
      <c r="H22" s="60"/>
      <c r="I22" s="32" t="s">
        <v>25</v>
      </c>
      <c r="J22" s="32" t="s">
        <v>26</v>
      </c>
      <c r="K22" s="32" t="s">
        <v>27</v>
      </c>
      <c r="L22" s="32" t="s">
        <v>29</v>
      </c>
      <c r="M22" s="32" t="s">
        <v>42</v>
      </c>
      <c r="N22" s="38"/>
      <c r="O22" s="38"/>
      <c r="P22" s="38"/>
      <c r="Q22" s="1"/>
      <c r="R22" s="1"/>
    </row>
    <row r="23" ht="15.75" customHeight="1">
      <c r="A23" s="1"/>
      <c r="B23" s="32">
        <v>20.0</v>
      </c>
      <c r="C23" s="20" t="s">
        <v>409</v>
      </c>
      <c r="D23" s="19" t="s">
        <v>22</v>
      </c>
      <c r="E23" s="17"/>
      <c r="F23" s="157">
        <v>46312.0</v>
      </c>
      <c r="G23" s="159"/>
      <c r="H23" s="30">
        <v>250000.0</v>
      </c>
      <c r="I23" s="32" t="s">
        <v>25</v>
      </c>
      <c r="J23" s="32" t="s">
        <v>26</v>
      </c>
      <c r="K23" s="32" t="s">
        <v>27</v>
      </c>
      <c r="L23" s="32" t="s">
        <v>29</v>
      </c>
      <c r="M23" s="32" t="s">
        <v>42</v>
      </c>
      <c r="N23" s="38"/>
      <c r="O23" s="38"/>
      <c r="P23" s="38"/>
      <c r="Q23" s="1"/>
      <c r="R23" s="1"/>
    </row>
    <row r="24" ht="15.75" customHeight="1">
      <c r="A24" s="1"/>
      <c r="B24" s="32">
        <v>21.0</v>
      </c>
      <c r="C24" s="20" t="s">
        <v>410</v>
      </c>
      <c r="D24" s="19" t="s">
        <v>54</v>
      </c>
      <c r="E24" s="17"/>
      <c r="F24" s="157">
        <v>46316.0</v>
      </c>
      <c r="G24" s="159"/>
      <c r="H24" s="30">
        <v>100000.0</v>
      </c>
      <c r="I24" s="32" t="s">
        <v>24</v>
      </c>
      <c r="J24" s="18"/>
      <c r="K24" s="18"/>
      <c r="L24" s="32" t="s">
        <v>29</v>
      </c>
      <c r="M24" s="18"/>
      <c r="N24" s="38"/>
      <c r="O24" s="38"/>
      <c r="P24" s="38"/>
      <c r="Q24" s="1"/>
      <c r="R24" s="1"/>
    </row>
    <row r="25" ht="15.75" customHeight="1">
      <c r="A25" s="1"/>
      <c r="B25" s="32">
        <v>22.0</v>
      </c>
      <c r="C25" s="20" t="s">
        <v>411</v>
      </c>
      <c r="D25" s="19" t="s">
        <v>22</v>
      </c>
      <c r="E25" s="17"/>
      <c r="F25" s="157">
        <v>46312.0</v>
      </c>
      <c r="G25" s="159"/>
      <c r="H25" s="30">
        <v>250000.0</v>
      </c>
      <c r="I25" s="32" t="s">
        <v>25</v>
      </c>
      <c r="J25" s="32" t="s">
        <v>26</v>
      </c>
      <c r="K25" s="32" t="s">
        <v>27</v>
      </c>
      <c r="L25" s="32" t="s">
        <v>28</v>
      </c>
      <c r="M25" s="32" t="s">
        <v>59</v>
      </c>
      <c r="N25" s="38"/>
      <c r="O25" s="38"/>
      <c r="P25" s="38"/>
      <c r="Q25" s="1"/>
      <c r="R25" s="1"/>
    </row>
    <row r="26" ht="15.75" customHeight="1">
      <c r="A26" s="1"/>
      <c r="B26" s="32">
        <v>23.0</v>
      </c>
      <c r="C26" s="20" t="s">
        <v>360</v>
      </c>
      <c r="D26" s="19" t="s">
        <v>22</v>
      </c>
      <c r="E26" s="17"/>
      <c r="F26" s="157">
        <v>46312.0</v>
      </c>
      <c r="G26" s="159"/>
      <c r="H26" s="30">
        <v>250000.0</v>
      </c>
      <c r="I26" s="32" t="s">
        <v>25</v>
      </c>
      <c r="J26" s="32" t="s">
        <v>26</v>
      </c>
      <c r="K26" s="32" t="s">
        <v>27</v>
      </c>
      <c r="L26" s="32" t="s">
        <v>29</v>
      </c>
      <c r="M26" s="32" t="s">
        <v>59</v>
      </c>
      <c r="N26" s="38"/>
      <c r="O26" s="38"/>
      <c r="P26" s="38"/>
      <c r="Q26" s="1"/>
      <c r="R26" s="1"/>
    </row>
    <row r="27" ht="15.75" customHeight="1">
      <c r="A27" s="1"/>
      <c r="B27" s="32">
        <v>24.0</v>
      </c>
      <c r="C27" s="20" t="s">
        <v>363</v>
      </c>
      <c r="D27" s="19" t="s">
        <v>22</v>
      </c>
      <c r="E27" s="17"/>
      <c r="F27" s="157">
        <v>46312.0</v>
      </c>
      <c r="G27" s="161">
        <v>250000.0</v>
      </c>
      <c r="H27" s="60"/>
      <c r="I27" s="32" t="s">
        <v>25</v>
      </c>
      <c r="J27" s="32" t="s">
        <v>26</v>
      </c>
      <c r="K27" s="32" t="s">
        <v>27</v>
      </c>
      <c r="L27" s="32" t="s">
        <v>29</v>
      </c>
      <c r="M27" s="32" t="s">
        <v>42</v>
      </c>
      <c r="N27" s="38"/>
      <c r="O27" s="38"/>
      <c r="P27" s="38"/>
      <c r="Q27" s="1"/>
      <c r="R27" s="1"/>
    </row>
    <row r="28" ht="15.75" customHeight="1">
      <c r="A28" s="1"/>
      <c r="B28" s="32">
        <v>25.0</v>
      </c>
      <c r="C28" s="20" t="s">
        <v>412</v>
      </c>
      <c r="D28" s="19" t="s">
        <v>22</v>
      </c>
      <c r="E28" s="17"/>
      <c r="F28" s="157">
        <v>46312.0</v>
      </c>
      <c r="G28" s="159"/>
      <c r="H28" s="30">
        <v>250000.0</v>
      </c>
      <c r="I28" s="32" t="s">
        <v>25</v>
      </c>
      <c r="J28" s="32" t="s">
        <v>26</v>
      </c>
      <c r="K28" s="32" t="s">
        <v>27</v>
      </c>
      <c r="L28" s="32" t="s">
        <v>29</v>
      </c>
      <c r="M28" s="32" t="s">
        <v>42</v>
      </c>
      <c r="N28" s="38"/>
      <c r="O28" s="38"/>
      <c r="P28" s="38"/>
      <c r="Q28" s="1"/>
      <c r="R28" s="1"/>
    </row>
    <row r="29" ht="15.75" customHeight="1">
      <c r="A29" s="1"/>
      <c r="B29" s="32">
        <v>26.0</v>
      </c>
      <c r="C29" s="20" t="s">
        <v>364</v>
      </c>
      <c r="D29" s="19" t="s">
        <v>67</v>
      </c>
      <c r="E29" s="17"/>
      <c r="F29" s="157">
        <v>46312.0</v>
      </c>
      <c r="G29" s="159"/>
      <c r="H29" s="30">
        <v>200000.0</v>
      </c>
      <c r="I29" s="32" t="s">
        <v>25</v>
      </c>
      <c r="J29" s="32" t="s">
        <v>40</v>
      </c>
      <c r="K29" s="18"/>
      <c r="L29" s="32" t="s">
        <v>29</v>
      </c>
      <c r="M29" s="18"/>
      <c r="N29" s="38"/>
      <c r="O29" s="38"/>
      <c r="P29" s="38"/>
      <c r="Q29" s="1"/>
      <c r="R29" s="1"/>
    </row>
    <row r="30" ht="15.75" customHeight="1">
      <c r="A30" s="1"/>
      <c r="B30" s="32">
        <v>27.0</v>
      </c>
      <c r="C30" s="20" t="s">
        <v>413</v>
      </c>
      <c r="D30" s="19" t="s">
        <v>22</v>
      </c>
      <c r="E30" s="17"/>
      <c r="F30" s="157">
        <v>46312.0</v>
      </c>
      <c r="G30" s="159"/>
      <c r="H30" s="30">
        <v>290000.0</v>
      </c>
      <c r="I30" s="32" t="s">
        <v>25</v>
      </c>
      <c r="J30" s="32" t="s">
        <v>26</v>
      </c>
      <c r="K30" s="32" t="s">
        <v>27</v>
      </c>
      <c r="L30" s="32" t="s">
        <v>29</v>
      </c>
      <c r="M30" s="32" t="s">
        <v>42</v>
      </c>
      <c r="N30" s="38"/>
      <c r="O30" s="38"/>
      <c r="P30" s="38"/>
      <c r="Q30" s="1"/>
      <c r="R30" s="1"/>
    </row>
    <row r="31" ht="15.75" customHeight="1">
      <c r="A31" s="1"/>
      <c r="B31" s="32">
        <v>28.0</v>
      </c>
      <c r="C31" s="78"/>
      <c r="D31" s="59"/>
      <c r="E31" s="17"/>
      <c r="F31" s="18"/>
      <c r="G31" s="159"/>
      <c r="H31" s="60"/>
      <c r="I31" s="18"/>
      <c r="J31" s="18"/>
      <c r="K31" s="18"/>
      <c r="L31" s="18"/>
      <c r="M31" s="18"/>
      <c r="N31" s="38"/>
      <c r="O31" s="38"/>
      <c r="P31" s="38"/>
      <c r="Q31" s="1"/>
      <c r="R31" s="1"/>
    </row>
    <row r="32" ht="15.75" customHeight="1">
      <c r="A32" s="1"/>
      <c r="B32" s="32">
        <v>29.0</v>
      </c>
      <c r="C32" s="78"/>
      <c r="D32" s="59"/>
      <c r="E32" s="17"/>
      <c r="F32" s="18"/>
      <c r="G32" s="159"/>
      <c r="H32" s="60"/>
      <c r="I32" s="18"/>
      <c r="J32" s="18"/>
      <c r="K32" s="18"/>
      <c r="L32" s="18"/>
      <c r="M32" s="18"/>
      <c r="N32" s="38"/>
      <c r="O32" s="38"/>
      <c r="P32" s="38"/>
      <c r="Q32" s="1"/>
      <c r="R32" s="1"/>
    </row>
    <row r="33" ht="18.75" customHeight="1">
      <c r="A33" s="1"/>
      <c r="B33" s="1"/>
      <c r="C33" s="3"/>
      <c r="D33" s="3"/>
      <c r="E33" s="1"/>
      <c r="F33" s="1"/>
      <c r="G33" s="119">
        <f t="shared" ref="G33:H33" si="1">SUM(G4:G32)</f>
        <v>2940000</v>
      </c>
      <c r="H33" s="70">
        <f t="shared" si="1"/>
        <v>3705000</v>
      </c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23.2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71" t="s">
        <v>1</v>
      </c>
      <c r="C36" s="72" t="s">
        <v>7</v>
      </c>
      <c r="D36" s="72" t="s">
        <v>120</v>
      </c>
      <c r="E36" s="1"/>
      <c r="F36" s="1"/>
      <c r="G36" s="1"/>
      <c r="H36" s="1"/>
      <c r="I36" s="1"/>
      <c r="J36" s="1"/>
      <c r="K36" s="1"/>
      <c r="L36" s="1"/>
      <c r="M36" s="1"/>
      <c r="N36" s="72" t="s">
        <v>121</v>
      </c>
      <c r="O36" s="72" t="s">
        <v>2</v>
      </c>
      <c r="P36" s="1"/>
      <c r="Q36" s="1"/>
      <c r="R36" s="1"/>
    </row>
    <row r="37" ht="15.75" customHeight="1">
      <c r="A37" s="1"/>
      <c r="B37" s="73">
        <v>1.0</v>
      </c>
      <c r="C37" s="75" t="s">
        <v>124</v>
      </c>
      <c r="D37" s="76">
        <f>SUM(G33)</f>
        <v>2940000</v>
      </c>
      <c r="E37" s="77"/>
      <c r="F37" s="1"/>
      <c r="G37" s="1"/>
      <c r="H37" s="1"/>
      <c r="I37" s="1"/>
      <c r="J37" s="1"/>
      <c r="K37" s="1"/>
      <c r="L37" s="1"/>
      <c r="M37" s="2" t="s">
        <v>414</v>
      </c>
      <c r="N37" s="79" t="s">
        <v>128</v>
      </c>
      <c r="O37" s="80" t="s">
        <v>28</v>
      </c>
      <c r="P37" s="1"/>
      <c r="Q37" s="1"/>
      <c r="R37" s="1"/>
    </row>
    <row r="38" ht="15.75" customHeight="1">
      <c r="A38" s="1"/>
      <c r="B38" s="82">
        <v>2.0</v>
      </c>
      <c r="C38" s="173" t="s">
        <v>415</v>
      </c>
      <c r="D38" s="143">
        <v>-50000.0</v>
      </c>
      <c r="E38" s="77"/>
      <c r="F38" s="1"/>
      <c r="G38" s="1"/>
      <c r="H38" s="1"/>
      <c r="I38" s="1"/>
      <c r="J38" s="1"/>
      <c r="K38" s="1"/>
      <c r="L38" s="1"/>
      <c r="M38" s="1"/>
      <c r="N38" s="85" t="s">
        <v>132</v>
      </c>
      <c r="O38" s="86" t="s">
        <v>29</v>
      </c>
      <c r="P38" s="1"/>
      <c r="Q38" s="1"/>
      <c r="R38" s="1"/>
    </row>
    <row r="39" ht="15.75" customHeight="1">
      <c r="A39" s="1"/>
      <c r="B39" s="73">
        <v>3.0</v>
      </c>
      <c r="C39" s="142" t="s">
        <v>416</v>
      </c>
      <c r="D39" s="182">
        <v>-40000.0</v>
      </c>
      <c r="E39" s="77"/>
      <c r="F39" s="1"/>
      <c r="G39" s="1"/>
      <c r="H39" s="1"/>
      <c r="I39" s="1"/>
      <c r="J39" s="1"/>
      <c r="K39" s="1"/>
      <c r="L39" s="1"/>
      <c r="M39" s="2" t="s">
        <v>417</v>
      </c>
      <c r="N39" s="88" t="s">
        <v>136</v>
      </c>
      <c r="O39" s="89" t="s">
        <v>42</v>
      </c>
      <c r="P39" s="1"/>
      <c r="Q39" s="1"/>
      <c r="R39" s="1"/>
    </row>
    <row r="40" ht="15.75" customHeight="1">
      <c r="A40" s="1"/>
      <c r="B40" s="82">
        <v>4.0</v>
      </c>
      <c r="C40" s="173" t="s">
        <v>297</v>
      </c>
      <c r="D40" s="143">
        <v>-250000.0</v>
      </c>
      <c r="E40" s="77"/>
      <c r="F40" s="1"/>
      <c r="G40" s="1"/>
      <c r="H40" s="1"/>
      <c r="I40" s="1"/>
      <c r="J40" s="1"/>
      <c r="K40" s="1"/>
      <c r="L40" s="1"/>
      <c r="M40" s="1"/>
      <c r="N40" s="95" t="s">
        <v>147</v>
      </c>
      <c r="O40" s="86" t="s">
        <v>59</v>
      </c>
      <c r="P40" s="1"/>
      <c r="Q40" s="1"/>
      <c r="R40" s="1"/>
    </row>
    <row r="41" ht="15.75" customHeight="1">
      <c r="A41" s="1"/>
      <c r="B41" s="73">
        <v>5.0</v>
      </c>
      <c r="C41" s="75"/>
      <c r="D41" s="76"/>
      <c r="E41" s="77"/>
      <c r="F41" s="94"/>
      <c r="G41" s="1"/>
      <c r="H41" s="1"/>
      <c r="I41" s="1"/>
      <c r="J41" s="1"/>
      <c r="K41" s="1"/>
      <c r="L41" s="1"/>
      <c r="M41" s="1"/>
      <c r="N41" s="98"/>
      <c r="O41" s="1"/>
      <c r="P41" s="1"/>
      <c r="Q41" s="1"/>
      <c r="R41" s="1"/>
    </row>
    <row r="42" ht="15.75" customHeight="1">
      <c r="A42" s="1"/>
      <c r="B42" s="82">
        <v>6.0</v>
      </c>
      <c r="C42" s="92"/>
      <c r="D42" s="93"/>
      <c r="E42" s="77"/>
      <c r="F42" s="94"/>
      <c r="G42" s="1"/>
      <c r="H42" s="1"/>
      <c r="I42" s="1"/>
      <c r="J42" s="1"/>
      <c r="K42" s="100" t="s">
        <v>150</v>
      </c>
      <c r="Q42" s="1"/>
      <c r="R42" s="1"/>
    </row>
    <row r="43" ht="15.75" customHeight="1">
      <c r="A43" s="1"/>
      <c r="B43" s="73">
        <v>7.0</v>
      </c>
      <c r="C43" s="75"/>
      <c r="D43" s="76"/>
      <c r="E43" s="77"/>
      <c r="F43" s="1"/>
      <c r="G43" s="1"/>
      <c r="H43" s="1"/>
      <c r="I43" s="1"/>
      <c r="J43" s="1"/>
      <c r="K43" s="101" t="s">
        <v>2</v>
      </c>
      <c r="L43" s="101" t="s">
        <v>153</v>
      </c>
      <c r="M43" s="101" t="s">
        <v>155</v>
      </c>
      <c r="N43" s="101" t="s">
        <v>156</v>
      </c>
      <c r="O43" s="101" t="s">
        <v>157</v>
      </c>
      <c r="P43" s="101" t="s">
        <v>158</v>
      </c>
      <c r="Q43" s="1"/>
      <c r="R43" s="1"/>
      <c r="AC43" s="102" t="s">
        <v>159</v>
      </c>
      <c r="AD43" s="102" t="s">
        <v>160</v>
      </c>
      <c r="AE43" s="102" t="s">
        <v>161</v>
      </c>
      <c r="AF43" s="102" t="s">
        <v>163</v>
      </c>
      <c r="AG43" s="102" t="s">
        <v>164</v>
      </c>
    </row>
    <row r="44" ht="15.75" customHeight="1">
      <c r="A44" s="1"/>
      <c r="B44" s="82">
        <v>8.0</v>
      </c>
      <c r="C44" s="92"/>
      <c r="D44" s="93"/>
      <c r="E44" s="77"/>
      <c r="F44" s="1"/>
      <c r="G44" s="1"/>
      <c r="H44" s="1"/>
      <c r="I44" s="1"/>
      <c r="J44" s="1"/>
      <c r="K44" s="104" t="str">
        <f t="shared" ref="K44:K47" si="2">IF(O37="","",O37)</f>
        <v>AMEL</v>
      </c>
      <c r="L44" s="145">
        <v>5.0</v>
      </c>
      <c r="M44" s="145">
        <v>5.0</v>
      </c>
      <c r="N44" s="145">
        <v>5.0</v>
      </c>
      <c r="O44" s="145">
        <v>5.0</v>
      </c>
      <c r="P44" s="145">
        <v>5.0</v>
      </c>
      <c r="Q44" s="1"/>
      <c r="R44" s="1"/>
      <c r="AC44" s="102">
        <f t="shared" ref="AC44:AC49" si="3">IF(AG44="","",IF(COUNT(L44:P44)&lt;5,"",L44/5*20+M44/5*25+N44/5*25+O44/5*15+P44/5*15))</f>
        <v>100</v>
      </c>
      <c r="AD44" s="102" t="str">
        <f t="shared" ref="AD44:AD49" si="4">IF(AC44="","",IF(AC44&gt;=90,"Sangat Baik",IF(AC44&gt;=80,"Baik",IF(AC44&gt;=70,"Coaching","Underperform"))))</f>
        <v>Sangat Baik</v>
      </c>
      <c r="AE44" s="102" t="str">
        <f t="shared" ref="AE44:AE49" si="5">IF(AG44="","",IF(OR(AG44="INDAH",AG44="ADDEL",AG44="AMEL",AG44="PENTIL",AG44="JIJANG"),"Admin/CS","Fotografer"))</f>
        <v>Admin/CS</v>
      </c>
      <c r="AF44" s="102">
        <f t="shared" ref="AF44:AF49" si="6">IF(OR(AG44="",COUNT(L44:P44)&lt;5),"",1)</f>
        <v>1</v>
      </c>
      <c r="AG44" s="102" t="str">
        <f t="shared" ref="AG44:AG49" si="7">IFERROR(K44,"")</f>
        <v>AMEL</v>
      </c>
    </row>
    <row r="45" ht="15.75" customHeight="1">
      <c r="A45" s="1"/>
      <c r="B45" s="73">
        <v>9.0</v>
      </c>
      <c r="C45" s="75"/>
      <c r="D45" s="76"/>
      <c r="E45" s="77"/>
      <c r="F45" s="1"/>
      <c r="G45" s="1"/>
      <c r="H45" s="1"/>
      <c r="I45" s="1"/>
      <c r="J45" s="1"/>
      <c r="K45" s="104" t="str">
        <f t="shared" si="2"/>
        <v>INDAH</v>
      </c>
      <c r="L45" s="145">
        <v>5.0</v>
      </c>
      <c r="M45" s="145">
        <v>5.0</v>
      </c>
      <c r="N45" s="145">
        <v>5.0</v>
      </c>
      <c r="O45" s="145">
        <v>5.0</v>
      </c>
      <c r="P45" s="145">
        <v>5.0</v>
      </c>
      <c r="Q45" s="1"/>
      <c r="R45" s="1"/>
      <c r="AC45" s="102">
        <f t="shared" si="3"/>
        <v>100</v>
      </c>
      <c r="AD45" s="102" t="str">
        <f t="shared" si="4"/>
        <v>Sangat Baik</v>
      </c>
      <c r="AE45" s="102" t="str">
        <f t="shared" si="5"/>
        <v>Admin/CS</v>
      </c>
      <c r="AF45" s="102">
        <f t="shared" si="6"/>
        <v>1</v>
      </c>
      <c r="AG45" s="102" t="str">
        <f t="shared" si="7"/>
        <v>INDAH</v>
      </c>
    </row>
    <row r="46" ht="15.75" customHeight="1">
      <c r="A46" s="1"/>
      <c r="B46" s="82">
        <v>10.0</v>
      </c>
      <c r="C46" s="92"/>
      <c r="D46" s="93"/>
      <c r="E46" s="77"/>
      <c r="F46" s="1"/>
      <c r="G46" s="1"/>
      <c r="H46" s="1"/>
      <c r="I46" s="1"/>
      <c r="J46" s="1"/>
      <c r="K46" s="104" t="str">
        <f t="shared" si="2"/>
        <v>ADIF</v>
      </c>
      <c r="L46" s="145">
        <v>5.0</v>
      </c>
      <c r="M46" s="145">
        <v>5.0</v>
      </c>
      <c r="N46" s="145">
        <v>5.0</v>
      </c>
      <c r="O46" s="145">
        <v>5.0</v>
      </c>
      <c r="P46" s="145">
        <v>5.0</v>
      </c>
      <c r="Q46" s="1"/>
      <c r="R46" s="1"/>
      <c r="AC46" s="102">
        <f t="shared" si="3"/>
        <v>100</v>
      </c>
      <c r="AD46" s="102" t="str">
        <f t="shared" si="4"/>
        <v>Sangat Baik</v>
      </c>
      <c r="AE46" s="102" t="str">
        <f t="shared" si="5"/>
        <v>Fotografer</v>
      </c>
      <c r="AF46" s="102">
        <f t="shared" si="6"/>
        <v>1</v>
      </c>
      <c r="AG46" s="102" t="str">
        <f t="shared" si="7"/>
        <v>ADIF</v>
      </c>
    </row>
    <row r="47" ht="15.75" customHeight="1">
      <c r="A47" s="1"/>
      <c r="B47" s="114">
        <v>11.0</v>
      </c>
      <c r="C47" s="115"/>
      <c r="D47" s="116"/>
      <c r="E47" s="77"/>
      <c r="F47" s="1"/>
      <c r="G47" s="1"/>
      <c r="H47" s="1"/>
      <c r="I47" s="1"/>
      <c r="J47" s="1"/>
      <c r="K47" s="104" t="str">
        <f t="shared" si="2"/>
        <v>SAKA</v>
      </c>
      <c r="L47" s="145">
        <v>5.0</v>
      </c>
      <c r="M47" s="145">
        <v>5.0</v>
      </c>
      <c r="N47" s="145">
        <v>5.0</v>
      </c>
      <c r="O47" s="145">
        <v>5.0</v>
      </c>
      <c r="P47" s="145">
        <v>5.0</v>
      </c>
      <c r="Q47" s="1"/>
      <c r="R47" s="1"/>
      <c r="AC47" s="102">
        <f t="shared" si="3"/>
        <v>100</v>
      </c>
      <c r="AD47" s="102" t="str">
        <f t="shared" si="4"/>
        <v>Sangat Baik</v>
      </c>
      <c r="AE47" s="102" t="str">
        <f t="shared" si="5"/>
        <v>Fotografer</v>
      </c>
      <c r="AF47" s="102">
        <f t="shared" si="6"/>
        <v>1</v>
      </c>
      <c r="AG47" s="102" t="str">
        <f t="shared" si="7"/>
        <v>SAKA</v>
      </c>
    </row>
    <row r="48" ht="15.75" customHeight="1">
      <c r="A48" s="1"/>
      <c r="B48" s="1"/>
      <c r="C48" s="3"/>
      <c r="D48" s="117">
        <f>SUM(D37:D47)</f>
        <v>2600000</v>
      </c>
      <c r="E48" s="1"/>
      <c r="F48" s="1"/>
      <c r="G48" s="1"/>
      <c r="H48" s="1"/>
      <c r="I48" s="1"/>
      <c r="J48" s="1"/>
      <c r="K48" s="104"/>
      <c r="L48" s="118"/>
      <c r="M48" s="118"/>
      <c r="N48" s="118"/>
      <c r="O48" s="118"/>
      <c r="P48" s="118"/>
      <c r="Q48" s="1"/>
      <c r="R48" s="1"/>
      <c r="AC48" s="102" t="str">
        <f t="shared" si="3"/>
        <v/>
      </c>
      <c r="AD48" s="102" t="str">
        <f t="shared" si="4"/>
        <v/>
      </c>
      <c r="AE48" s="102" t="str">
        <f t="shared" si="5"/>
        <v/>
      </c>
      <c r="AF48" s="102" t="str">
        <f t="shared" si="6"/>
        <v/>
      </c>
      <c r="AG48" s="102" t="str">
        <f t="shared" si="7"/>
        <v/>
      </c>
    </row>
    <row r="49" ht="15.75" customHeight="1">
      <c r="A49" s="1"/>
      <c r="B49" s="1"/>
      <c r="C49" s="3"/>
      <c r="D49" s="3"/>
      <c r="E49" s="1"/>
      <c r="F49" s="1"/>
      <c r="G49" s="1"/>
      <c r="H49" s="1"/>
      <c r="I49" s="1"/>
      <c r="J49" s="1"/>
      <c r="K49" s="104"/>
      <c r="L49" s="118"/>
      <c r="M49" s="118"/>
      <c r="N49" s="118"/>
      <c r="O49" s="118"/>
      <c r="P49" s="118"/>
      <c r="Q49" s="1"/>
      <c r="R49" s="1"/>
      <c r="AC49" s="102" t="str">
        <f t="shared" si="3"/>
        <v/>
      </c>
      <c r="AD49" s="102" t="str">
        <f t="shared" si="4"/>
        <v/>
      </c>
      <c r="AE49" s="102" t="str">
        <f t="shared" si="5"/>
        <v/>
      </c>
      <c r="AF49" s="102" t="str">
        <f t="shared" si="6"/>
        <v/>
      </c>
      <c r="AG49" s="102" t="str">
        <f t="shared" si="7"/>
        <v/>
      </c>
    </row>
    <row r="50" ht="15.75" customHeight="1">
      <c r="A50" s="1"/>
      <c r="B50" s="1"/>
      <c r="C50" s="3"/>
      <c r="D50" s="3"/>
      <c r="E50" s="1"/>
      <c r="F50" s="1"/>
      <c r="G50" s="1"/>
      <c r="H50" s="1"/>
      <c r="I50" s="1"/>
      <c r="J50" s="1"/>
      <c r="K50" s="120" t="s">
        <v>195</v>
      </c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21" t="s">
        <v>198</v>
      </c>
      <c r="N52" s="183"/>
      <c r="O52" s="1"/>
      <c r="P52" s="1"/>
      <c r="Q52" s="1"/>
      <c r="R52" s="1"/>
    </row>
    <row r="53" ht="15.75" customHeight="1">
      <c r="K53" s="123" t="s">
        <v>8</v>
      </c>
      <c r="L53" s="123" t="s">
        <v>200</v>
      </c>
      <c r="M53" s="123" t="s">
        <v>201</v>
      </c>
      <c r="N53" s="184" t="s">
        <v>202</v>
      </c>
    </row>
    <row r="54" ht="15.75" customHeight="1">
      <c r="K54" s="126" t="str">
        <f t="shared" ref="K54:K55" si="8">IF(O37="","",O37)</f>
        <v>AMEL</v>
      </c>
      <c r="L54" s="127">
        <v>4.0</v>
      </c>
      <c r="M54" s="129"/>
      <c r="N54" s="185"/>
    </row>
    <row r="55" ht="15.75" customHeight="1">
      <c r="K55" s="126" t="str">
        <f t="shared" si="8"/>
        <v>INDAH</v>
      </c>
      <c r="L55" s="127">
        <v>1.0</v>
      </c>
      <c r="M55" s="129"/>
      <c r="N55" s="185"/>
    </row>
    <row r="56" ht="15.75" customHeight="1"/>
    <row r="57" ht="19.5" customHeight="1">
      <c r="K57" s="132" t="s">
        <v>206</v>
      </c>
    </row>
    <row r="58" ht="19.5" customHeight="1">
      <c r="K58" s="134" t="s">
        <v>207</v>
      </c>
      <c r="M58" s="127">
        <v>21.0</v>
      </c>
    </row>
    <row r="59" ht="19.5" customHeight="1">
      <c r="K59" s="135" t="s">
        <v>208</v>
      </c>
      <c r="M59" s="150">
        <v>4.0</v>
      </c>
    </row>
    <row r="60" ht="19.5" customHeight="1">
      <c r="K60" s="135" t="s">
        <v>210</v>
      </c>
      <c r="M60" s="150">
        <v>21.0</v>
      </c>
    </row>
    <row r="61" ht="19.5" customHeight="1">
      <c r="K61" s="139" t="s">
        <v>211</v>
      </c>
      <c r="M61" s="138">
        <f>M59+M60</f>
        <v>25</v>
      </c>
    </row>
    <row r="62" ht="19.5" customHeight="1">
      <c r="K62" s="134" t="s">
        <v>212</v>
      </c>
      <c r="M62" s="141">
        <f>IF(OR(M58="",M58=0),"",M59/M58)</f>
        <v>0.1904761905</v>
      </c>
    </row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8:L58"/>
    <mergeCell ref="K59:L59"/>
    <mergeCell ref="K60:L60"/>
    <mergeCell ref="K61:L61"/>
    <mergeCell ref="K62:L62"/>
    <mergeCell ref="L2:L3"/>
    <mergeCell ref="M2:M3"/>
    <mergeCell ref="N2:P2"/>
    <mergeCell ref="K42:P42"/>
    <mergeCell ref="K50:P50"/>
    <mergeCell ref="K52:M52"/>
    <mergeCell ref="K57:M57"/>
  </mergeCells>
  <conditionalFormatting sqref="I4:I35">
    <cfRule type="expression" dxfId="0" priority="1">
      <formula>I4="DP"</formula>
    </cfRule>
  </conditionalFormatting>
  <conditionalFormatting sqref="I4:I35">
    <cfRule type="expression" dxfId="1" priority="2">
      <formula>I4="Lunas"</formula>
    </cfRule>
  </conditionalFormatting>
  <conditionalFormatting sqref="J4:K35">
    <cfRule type="expression" dxfId="2" priority="3">
      <formula>OR(J4="Uploaded",J4="Delivered")</formula>
    </cfRule>
  </conditionalFormatting>
  <dataValidations>
    <dataValidation type="list" allowBlank="1" showDropDown="1" showErrorMessage="1" sqref="I4:I32">
      <formula1>"-,DP,Lunas"</formula1>
    </dataValidation>
    <dataValidation type="list" allowBlank="1" sqref="L44:P49">
      <formula1>"1,2,3,4,5"</formula1>
    </dataValidation>
    <dataValidation type="list" allowBlank="1" showDropDown="1" showErrorMessage="1" sqref="J4:K32">
      <formula1>"-,Pending,Uploaded"</formula1>
    </dataValidation>
    <dataValidation type="list" allowBlank="1" sqref="K44:K49">
      <formula1>'Resume Karyawan KPI'!$AK$5:$AK$15</formula1>
    </dataValidation>
    <dataValidation type="list" allowBlank="1" showDropDown="1" showErrorMessage="1" sqref="M4:M32">
      <formula1>"-,VERO,FADEL,PENTIL,HANIF,SAKA,ADIF"</formula1>
    </dataValidation>
    <dataValidation type="list" allowBlank="1" showErrorMessage="1" sqref="N4:N32">
      <formula1>"-,Pending,Progress,Uploaded"</formula1>
    </dataValidation>
    <dataValidation type="list" allowBlank="1" showDropDown="1" showErrorMessage="1" sqref="D4:D3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7:O40">
      <formula1>"INDAH,ADDEL,AMEL,PENTIL,JIJANG,HANIF,FAHME,ADIF,ABROR,FADEL,SAKA"</formula1>
    </dataValidation>
    <dataValidation type="list" allowBlank="1" showErrorMessage="1" sqref="O4:O32">
      <formula1>"-,In Pikako,In Foxe"</formula1>
    </dataValidation>
    <dataValidation type="list" allowBlank="1" showDropDown="1" showErrorMessage="1" sqref="L4:L32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382</v>
      </c>
      <c r="D4" s="19" t="s">
        <v>54</v>
      </c>
      <c r="E4" s="17"/>
      <c r="F4" s="157">
        <v>46314.0</v>
      </c>
      <c r="G4" s="161">
        <v>25000.0</v>
      </c>
      <c r="H4" s="30">
        <v>100000.0</v>
      </c>
      <c r="I4" s="32" t="s">
        <v>24</v>
      </c>
      <c r="J4" s="18"/>
      <c r="K4" s="18"/>
      <c r="L4" s="32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384</v>
      </c>
      <c r="D5" s="19" t="s">
        <v>182</v>
      </c>
      <c r="E5" s="17"/>
      <c r="F5" s="157">
        <v>46313.0</v>
      </c>
      <c r="G5" s="161" t="s">
        <v>40</v>
      </c>
      <c r="H5" s="30" t="s">
        <v>40</v>
      </c>
      <c r="I5" s="32" t="s">
        <v>25</v>
      </c>
      <c r="J5" s="32" t="s">
        <v>26</v>
      </c>
      <c r="K5" s="32" t="s">
        <v>26</v>
      </c>
      <c r="L5" s="32" t="s">
        <v>28</v>
      </c>
      <c r="M5" s="32" t="s">
        <v>42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385</v>
      </c>
      <c r="D6" s="19" t="s">
        <v>54</v>
      </c>
      <c r="E6" s="17"/>
      <c r="F6" s="157">
        <v>46313.0</v>
      </c>
      <c r="G6" s="159"/>
      <c r="H6" s="30">
        <v>100000.0</v>
      </c>
      <c r="I6" s="32" t="s">
        <v>25</v>
      </c>
      <c r="J6" s="32" t="s">
        <v>26</v>
      </c>
      <c r="K6" s="32" t="s">
        <v>26</v>
      </c>
      <c r="L6" s="32" t="s">
        <v>28</v>
      </c>
      <c r="M6" s="32" t="s">
        <v>42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387</v>
      </c>
      <c r="D7" s="19" t="s">
        <v>54</v>
      </c>
      <c r="E7" s="17"/>
      <c r="F7" s="157">
        <v>46316.0</v>
      </c>
      <c r="G7" s="159"/>
      <c r="H7" s="30">
        <v>100000.0</v>
      </c>
      <c r="I7" s="32" t="s">
        <v>24</v>
      </c>
      <c r="J7" s="18"/>
      <c r="K7" s="18"/>
      <c r="L7" s="32" t="s">
        <v>28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4" t="s">
        <v>330</v>
      </c>
      <c r="D8" s="19" t="s">
        <v>54</v>
      </c>
      <c r="E8" s="17"/>
      <c r="F8" s="157">
        <v>46313.0</v>
      </c>
      <c r="G8" s="161">
        <v>1125000.0</v>
      </c>
      <c r="H8" s="60"/>
      <c r="I8" s="32" t="s">
        <v>25</v>
      </c>
      <c r="J8" s="32" t="s">
        <v>26</v>
      </c>
      <c r="K8" s="32" t="s">
        <v>27</v>
      </c>
      <c r="L8" s="32" t="s">
        <v>28</v>
      </c>
      <c r="M8" s="32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390</v>
      </c>
      <c r="D9" s="19" t="s">
        <v>54</v>
      </c>
      <c r="E9" s="17"/>
      <c r="F9" s="157">
        <v>46313.0</v>
      </c>
      <c r="G9" s="161">
        <v>100000.0</v>
      </c>
      <c r="H9" s="60"/>
      <c r="I9" s="32" t="s">
        <v>25</v>
      </c>
      <c r="J9" s="32" t="s">
        <v>26</v>
      </c>
      <c r="K9" s="32" t="s">
        <v>26</v>
      </c>
      <c r="L9" s="32" t="s">
        <v>29</v>
      </c>
      <c r="M9" s="32" t="s">
        <v>59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392</v>
      </c>
      <c r="D10" s="19" t="s">
        <v>54</v>
      </c>
      <c r="E10" s="17"/>
      <c r="F10" s="53">
        <v>46313.0</v>
      </c>
      <c r="G10" s="161">
        <v>350000.0</v>
      </c>
      <c r="H10" s="60"/>
      <c r="I10" s="32" t="s">
        <v>25</v>
      </c>
      <c r="J10" s="32" t="s">
        <v>26</v>
      </c>
      <c r="K10" s="32" t="s">
        <v>26</v>
      </c>
      <c r="L10" s="32" t="s">
        <v>29</v>
      </c>
      <c r="M10" s="32" t="s">
        <v>59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394</v>
      </c>
      <c r="D11" s="19" t="s">
        <v>395</v>
      </c>
      <c r="E11" s="17"/>
      <c r="F11" s="53">
        <v>46313.0</v>
      </c>
      <c r="G11" s="161">
        <v>25000.0</v>
      </c>
      <c r="H11" s="60"/>
      <c r="I11" s="32" t="s">
        <v>25</v>
      </c>
      <c r="J11" s="18"/>
      <c r="K11" s="18"/>
      <c r="L11" s="32" t="s">
        <v>29</v>
      </c>
      <c r="M11" s="18"/>
      <c r="N11" s="38"/>
      <c r="O11" s="38"/>
      <c r="P11" s="38"/>
      <c r="Q11" s="1"/>
      <c r="R11" s="1"/>
    </row>
    <row r="12" ht="15.75" customHeight="1">
      <c r="A12" s="1"/>
      <c r="B12" s="18"/>
      <c r="C12" s="20" t="s">
        <v>397</v>
      </c>
      <c r="D12" s="19" t="s">
        <v>54</v>
      </c>
      <c r="E12" s="17"/>
      <c r="F12" s="53">
        <v>46313.0</v>
      </c>
      <c r="G12" s="161">
        <v>325000.0</v>
      </c>
      <c r="H12" s="60"/>
      <c r="I12" s="32" t="s">
        <v>25</v>
      </c>
      <c r="J12" s="32" t="s">
        <v>26</v>
      </c>
      <c r="K12" s="32" t="s">
        <v>27</v>
      </c>
      <c r="L12" s="32" t="s">
        <v>29</v>
      </c>
      <c r="M12" s="32" t="s">
        <v>59</v>
      </c>
      <c r="N12" s="38"/>
      <c r="O12" s="38"/>
      <c r="P12" s="38"/>
      <c r="Q12" s="1"/>
      <c r="R12" s="1"/>
    </row>
    <row r="13" ht="15.75" customHeight="1">
      <c r="A13" s="1"/>
      <c r="B13" s="18"/>
      <c r="C13" s="20" t="s">
        <v>398</v>
      </c>
      <c r="D13" s="19" t="s">
        <v>22</v>
      </c>
      <c r="E13" s="17"/>
      <c r="F13" s="157">
        <v>46314.0</v>
      </c>
      <c r="G13" s="159"/>
      <c r="H13" s="30">
        <v>100000.0</v>
      </c>
      <c r="I13" s="32" t="s">
        <v>24</v>
      </c>
      <c r="J13" s="18"/>
      <c r="K13" s="18"/>
      <c r="L13" s="32" t="s">
        <v>29</v>
      </c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20" t="s">
        <v>400</v>
      </c>
      <c r="D14" s="19" t="s">
        <v>22</v>
      </c>
      <c r="E14" s="17"/>
      <c r="F14" s="53">
        <v>46314.0</v>
      </c>
      <c r="G14" s="159"/>
      <c r="H14" s="30">
        <v>100000.0</v>
      </c>
      <c r="I14" s="32" t="s">
        <v>24</v>
      </c>
      <c r="J14" s="18"/>
      <c r="K14" s="18"/>
      <c r="L14" s="32" t="s">
        <v>29</v>
      </c>
      <c r="M14" s="18"/>
      <c r="N14" s="38"/>
      <c r="O14" s="38"/>
      <c r="P14" s="38"/>
      <c r="Q14" s="1"/>
      <c r="R14" s="1"/>
    </row>
    <row r="15" ht="15.75" customHeight="1">
      <c r="A15" s="1"/>
      <c r="B15" s="18">
        <v>9.0</v>
      </c>
      <c r="C15" s="20" t="s">
        <v>369</v>
      </c>
      <c r="D15" s="19" t="s">
        <v>54</v>
      </c>
      <c r="E15" s="17"/>
      <c r="F15" s="32" t="s">
        <v>401</v>
      </c>
      <c r="G15" s="159"/>
      <c r="H15" s="30">
        <v>275000.0</v>
      </c>
      <c r="I15" s="32" t="s">
        <v>25</v>
      </c>
      <c r="J15" s="32" t="s">
        <v>26</v>
      </c>
      <c r="K15" s="32" t="s">
        <v>27</v>
      </c>
      <c r="L15" s="32" t="s">
        <v>29</v>
      </c>
      <c r="M15" s="32" t="s">
        <v>59</v>
      </c>
      <c r="N15" s="38"/>
      <c r="O15" s="38"/>
      <c r="P15" s="38"/>
      <c r="Q15" s="1"/>
      <c r="R15" s="1"/>
    </row>
    <row r="16" ht="15.75" customHeight="1">
      <c r="A16" s="1"/>
      <c r="B16" s="18">
        <v>10.0</v>
      </c>
      <c r="C16" s="78"/>
      <c r="D16" s="59"/>
      <c r="E16" s="17"/>
      <c r="F16" s="97"/>
      <c r="G16" s="159"/>
      <c r="H16" s="60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19">
        <f t="shared" ref="G17:H17" si="1">SUM(G4:G16)</f>
        <v>1950000</v>
      </c>
      <c r="H17" s="70">
        <f t="shared" si="1"/>
        <v>775000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1</v>
      </c>
      <c r="C20" s="72" t="s">
        <v>7</v>
      </c>
      <c r="D20" s="72" t="s">
        <v>120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121</v>
      </c>
      <c r="O20" s="72" t="s">
        <v>2</v>
      </c>
      <c r="P20" s="1"/>
      <c r="Q20" s="1"/>
      <c r="R20" s="1"/>
    </row>
    <row r="21" ht="15.75" customHeight="1">
      <c r="A21" s="1"/>
      <c r="B21" s="73">
        <v>1.0</v>
      </c>
      <c r="C21" s="75" t="s">
        <v>124</v>
      </c>
      <c r="D21" s="76">
        <f>SUM(G17)</f>
        <v>1950000</v>
      </c>
      <c r="E21" s="77"/>
      <c r="F21" s="1"/>
      <c r="G21" s="1"/>
      <c r="H21" s="1"/>
      <c r="I21" s="1"/>
      <c r="J21" s="1"/>
      <c r="K21" s="1"/>
      <c r="L21" s="1"/>
      <c r="M21" s="1"/>
      <c r="N21" s="79" t="s">
        <v>128</v>
      </c>
      <c r="O21" s="80" t="s">
        <v>28</v>
      </c>
      <c r="P21" s="1"/>
      <c r="Q21" s="1"/>
      <c r="R21" s="1"/>
    </row>
    <row r="22" ht="15.75" customHeight="1">
      <c r="A22" s="1"/>
      <c r="B22" s="82">
        <v>2.0</v>
      </c>
      <c r="C22" s="173" t="s">
        <v>406</v>
      </c>
      <c r="D22" s="143">
        <v>-50000.0</v>
      </c>
      <c r="E22" s="77"/>
      <c r="F22" s="1"/>
      <c r="G22" s="1"/>
      <c r="H22" s="1"/>
      <c r="I22" s="1"/>
      <c r="J22" s="1"/>
      <c r="K22" s="1"/>
      <c r="L22" s="1"/>
      <c r="M22" s="1"/>
      <c r="N22" s="85" t="s">
        <v>132</v>
      </c>
      <c r="O22" s="86" t="s">
        <v>29</v>
      </c>
      <c r="P22" s="1"/>
      <c r="Q22" s="1"/>
      <c r="R22" s="1"/>
    </row>
    <row r="23" ht="15.75" customHeight="1">
      <c r="A23" s="1"/>
      <c r="B23" s="73">
        <v>3.0</v>
      </c>
      <c r="C23" s="142" t="s">
        <v>408</v>
      </c>
      <c r="D23" s="182">
        <v>-100000.0</v>
      </c>
      <c r="E23" s="77"/>
      <c r="F23" s="1"/>
      <c r="G23" s="1"/>
      <c r="H23" s="1"/>
      <c r="I23" s="1"/>
      <c r="J23" s="1"/>
      <c r="K23" s="1"/>
      <c r="L23" s="1"/>
      <c r="M23" s="1"/>
      <c r="N23" s="88" t="s">
        <v>136</v>
      </c>
      <c r="O23" s="89" t="s">
        <v>42</v>
      </c>
      <c r="P23" s="1"/>
      <c r="Q23" s="1"/>
      <c r="R23" s="1"/>
    </row>
    <row r="24" ht="15.75" customHeight="1">
      <c r="A24" s="1"/>
      <c r="B24" s="82">
        <v>4.0</v>
      </c>
      <c r="C24" s="92"/>
      <c r="D24" s="93"/>
      <c r="E24" s="77"/>
      <c r="F24" s="1"/>
      <c r="G24" s="1"/>
      <c r="H24" s="1"/>
      <c r="I24" s="1"/>
      <c r="J24" s="1"/>
      <c r="K24" s="1"/>
      <c r="L24" s="1"/>
      <c r="M24" s="1"/>
      <c r="N24" s="95" t="s">
        <v>147</v>
      </c>
      <c r="O24" s="86" t="s">
        <v>59</v>
      </c>
      <c r="P24" s="1"/>
      <c r="Q24" s="1"/>
      <c r="R24" s="1"/>
    </row>
    <row r="25" ht="15.75" customHeight="1">
      <c r="A25" s="1"/>
      <c r="B25" s="73">
        <v>5.0</v>
      </c>
      <c r="C25" s="75"/>
      <c r="D25" s="76"/>
      <c r="E25" s="77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2">
        <v>6.0</v>
      </c>
      <c r="C26" s="92"/>
      <c r="D26" s="93"/>
      <c r="E26" s="77"/>
      <c r="F26" s="1"/>
      <c r="G26" s="1"/>
      <c r="H26" s="1"/>
      <c r="I26" s="1"/>
      <c r="J26" s="1"/>
      <c r="K26" s="100" t="s">
        <v>150</v>
      </c>
      <c r="Q26" s="1"/>
      <c r="R26" s="1"/>
    </row>
    <row r="27" ht="15.75" customHeight="1">
      <c r="A27" s="1"/>
      <c r="B27" s="73">
        <v>7.0</v>
      </c>
      <c r="C27" s="75"/>
      <c r="D27" s="76"/>
      <c r="E27" s="77"/>
      <c r="F27" s="1"/>
      <c r="G27" s="1"/>
      <c r="H27" s="1"/>
      <c r="I27" s="1"/>
      <c r="J27" s="1"/>
      <c r="K27" s="101" t="s">
        <v>2</v>
      </c>
      <c r="L27" s="101" t="s">
        <v>153</v>
      </c>
      <c r="M27" s="101" t="s">
        <v>155</v>
      </c>
      <c r="N27" s="101" t="s">
        <v>156</v>
      </c>
      <c r="O27" s="101" t="s">
        <v>157</v>
      </c>
      <c r="P27" s="101" t="s">
        <v>158</v>
      </c>
      <c r="Q27" s="1"/>
      <c r="R27" s="1"/>
      <c r="AC27" s="102" t="s">
        <v>159</v>
      </c>
      <c r="AD27" s="102" t="s">
        <v>160</v>
      </c>
      <c r="AE27" s="102" t="s">
        <v>161</v>
      </c>
      <c r="AF27" s="102" t="s">
        <v>163</v>
      </c>
      <c r="AG27" s="102" t="s">
        <v>164</v>
      </c>
    </row>
    <row r="28" ht="15.75" customHeight="1">
      <c r="A28" s="1"/>
      <c r="B28" s="82">
        <v>8.0</v>
      </c>
      <c r="C28" s="92"/>
      <c r="D28" s="93"/>
      <c r="E28" s="77"/>
      <c r="F28" s="1"/>
      <c r="G28" s="1"/>
      <c r="H28" s="1"/>
      <c r="I28" s="1"/>
      <c r="J28" s="1"/>
      <c r="K28" s="104" t="str">
        <f t="shared" ref="K28:K31" si="2">IF(O21="","",O21)</f>
        <v>AMEL</v>
      </c>
      <c r="L28" s="105">
        <v>5.0</v>
      </c>
      <c r="M28" s="105">
        <v>5.0</v>
      </c>
      <c r="N28" s="105">
        <v>5.0</v>
      </c>
      <c r="O28" s="105">
        <v>5.0</v>
      </c>
      <c r="P28" s="105">
        <v>4.0</v>
      </c>
      <c r="Q28" s="1"/>
      <c r="R28" s="1"/>
      <c r="AC28" s="102">
        <f t="shared" ref="AC28:AC33" si="3">IF(AG28="","",IF(COUNT(L28:P28)&lt;5,"",L28/5*20+M28/5*25+N28/5*25+O28/5*15+P28/5*15))</f>
        <v>97</v>
      </c>
      <c r="AD28" s="102" t="str">
        <f t="shared" ref="AD28:AD33" si="4">IF(AC28="","",IF(AC28&gt;=90,"Sangat Baik",IF(AC28&gt;=80,"Baik",IF(AC28&gt;=70,"Coaching","Underperform"))))</f>
        <v>Sangat Baik</v>
      </c>
      <c r="AE28" s="102" t="str">
        <f t="shared" ref="AE28:AE33" si="5">IF(AG28="","",IF(OR(AG28="INDAH",AG28="ADDEL",AG28="AMEL",AG28="PENTIL",AG28="JIJANG"),"Admin/CS","Fotografer"))</f>
        <v>Admin/CS</v>
      </c>
      <c r="AF28" s="102">
        <f t="shared" ref="AF28:AF33" si="6">IF(OR(AG28="",COUNT(L28:P28)&lt;5),"",1)</f>
        <v>1</v>
      </c>
      <c r="AG28" s="102" t="str">
        <f t="shared" ref="AG28:AG33" si="7">IFERROR(K28,"")</f>
        <v>AMEL</v>
      </c>
    </row>
    <row r="29" ht="15.75" customHeight="1">
      <c r="A29" s="1"/>
      <c r="B29" s="73">
        <v>9.0</v>
      </c>
      <c r="C29" s="75"/>
      <c r="D29" s="76"/>
      <c r="E29" s="77"/>
      <c r="F29" s="1"/>
      <c r="G29" s="1"/>
      <c r="H29" s="1"/>
      <c r="I29" s="1"/>
      <c r="J29" s="1"/>
      <c r="K29" s="104" t="str">
        <f t="shared" si="2"/>
        <v>INDAH</v>
      </c>
      <c r="L29" s="105">
        <v>5.0</v>
      </c>
      <c r="M29" s="105">
        <v>5.0</v>
      </c>
      <c r="N29" s="105">
        <v>5.0</v>
      </c>
      <c r="O29" s="105">
        <v>5.0</v>
      </c>
      <c r="P29" s="105">
        <v>5.0</v>
      </c>
      <c r="Q29" s="1"/>
      <c r="R29" s="1"/>
      <c r="AC29" s="102">
        <f t="shared" si="3"/>
        <v>100</v>
      </c>
      <c r="AD29" s="102" t="str">
        <f t="shared" si="4"/>
        <v>Sangat Baik</v>
      </c>
      <c r="AE29" s="102" t="str">
        <f t="shared" si="5"/>
        <v>Admin/CS</v>
      </c>
      <c r="AF29" s="102">
        <f t="shared" si="6"/>
        <v>1</v>
      </c>
      <c r="AG29" s="102" t="str">
        <f t="shared" si="7"/>
        <v>INDAH</v>
      </c>
    </row>
    <row r="30" ht="15.75" customHeight="1">
      <c r="A30" s="1"/>
      <c r="B30" s="82">
        <v>10.0</v>
      </c>
      <c r="C30" s="92"/>
      <c r="D30" s="93"/>
      <c r="E30" s="77"/>
      <c r="F30" s="1"/>
      <c r="G30" s="1"/>
      <c r="H30" s="1"/>
      <c r="I30" s="1"/>
      <c r="J30" s="1"/>
      <c r="K30" s="104" t="str">
        <f t="shared" si="2"/>
        <v>ADIF</v>
      </c>
      <c r="L30" s="105">
        <v>5.0</v>
      </c>
      <c r="M30" s="105">
        <v>5.0</v>
      </c>
      <c r="N30" s="105">
        <v>5.0</v>
      </c>
      <c r="O30" s="105">
        <v>5.0</v>
      </c>
      <c r="P30" s="105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Fotografer</v>
      </c>
      <c r="AF30" s="102">
        <f t="shared" si="6"/>
        <v>1</v>
      </c>
      <c r="AG30" s="102" t="str">
        <f t="shared" si="7"/>
        <v>ADIF</v>
      </c>
    </row>
    <row r="31" ht="15.75" customHeight="1">
      <c r="A31" s="1"/>
      <c r="B31" s="114">
        <v>11.0</v>
      </c>
      <c r="C31" s="115"/>
      <c r="D31" s="116"/>
      <c r="E31" s="77"/>
      <c r="F31" s="1"/>
      <c r="G31" s="1"/>
      <c r="H31" s="1"/>
      <c r="I31" s="1"/>
      <c r="J31" s="1"/>
      <c r="K31" s="104" t="str">
        <f t="shared" si="2"/>
        <v>SAKA</v>
      </c>
      <c r="L31" s="105">
        <v>5.0</v>
      </c>
      <c r="M31" s="105">
        <v>5.0</v>
      </c>
      <c r="N31" s="105">
        <v>5.0</v>
      </c>
      <c r="O31" s="105">
        <v>5.0</v>
      </c>
      <c r="P31" s="105">
        <v>4.0</v>
      </c>
      <c r="Q31" s="1"/>
      <c r="R31" s="1"/>
      <c r="AC31" s="102">
        <f t="shared" si="3"/>
        <v>97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SAKA</v>
      </c>
    </row>
    <row r="32" ht="15.75" customHeight="1">
      <c r="A32" s="1"/>
      <c r="B32" s="1"/>
      <c r="C32" s="3"/>
      <c r="D32" s="117">
        <f>SUM(D21:D31)</f>
        <v>1800000</v>
      </c>
      <c r="E32" s="1"/>
      <c r="F32" s="1"/>
      <c r="G32" s="1"/>
      <c r="H32" s="1"/>
      <c r="I32" s="1"/>
      <c r="J32" s="1"/>
      <c r="K32" s="104"/>
      <c r="L32" s="118"/>
      <c r="M32" s="118"/>
      <c r="N32" s="118"/>
      <c r="O32" s="118"/>
      <c r="P32" s="118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8"/>
      <c r="M33" s="118"/>
      <c r="N33" s="118"/>
      <c r="O33" s="118"/>
      <c r="P33" s="118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195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1" t="s">
        <v>198</v>
      </c>
      <c r="N36" s="1"/>
      <c r="O36" s="1"/>
      <c r="P36" s="1"/>
      <c r="Q36" s="1"/>
      <c r="R36" s="1"/>
    </row>
    <row r="37" ht="15.75" customHeight="1">
      <c r="K37" s="123" t="s">
        <v>8</v>
      </c>
      <c r="L37" s="123" t="s">
        <v>200</v>
      </c>
      <c r="M37" s="123" t="s">
        <v>201</v>
      </c>
    </row>
    <row r="38" ht="15.75" customHeight="1">
      <c r="K38" s="126" t="str">
        <f t="shared" ref="K38:K39" si="8">IF(O21="","",O21)</f>
        <v>AMEL</v>
      </c>
      <c r="L38" s="127">
        <v>2.0</v>
      </c>
      <c r="M38" s="129"/>
    </row>
    <row r="39" ht="15.75" customHeight="1">
      <c r="K39" s="126" t="str">
        <f t="shared" si="8"/>
        <v>INDAH</v>
      </c>
      <c r="L39" s="127">
        <v>2.0</v>
      </c>
      <c r="M39" s="129"/>
    </row>
    <row r="40" ht="15.75" customHeight="1"/>
    <row r="41" ht="19.5" customHeight="1">
      <c r="K41" s="132" t="s">
        <v>206</v>
      </c>
    </row>
    <row r="42" ht="19.5" customHeight="1">
      <c r="K42" s="134" t="s">
        <v>207</v>
      </c>
      <c r="M42" s="127">
        <v>15.0</v>
      </c>
    </row>
    <row r="43" ht="19.5" customHeight="1">
      <c r="K43" s="135" t="s">
        <v>208</v>
      </c>
      <c r="M43" s="138">
        <f>COUNTIF($I$4:$I$19,"DP")</f>
        <v>4</v>
      </c>
    </row>
    <row r="44" ht="19.5" customHeight="1">
      <c r="K44" s="135" t="s">
        <v>210</v>
      </c>
      <c r="M44" s="138">
        <f>COUNTIFS($I$4:$I$19,"&lt;&gt;DP",$I$4:$I$19,"&lt;&gt;")</f>
        <v>8</v>
      </c>
    </row>
    <row r="45" ht="19.5" customHeight="1">
      <c r="K45" s="139" t="s">
        <v>211</v>
      </c>
      <c r="M45" s="138">
        <f>M43+M44</f>
        <v>12</v>
      </c>
    </row>
    <row r="46" ht="19.5" customHeight="1">
      <c r="K46" s="134" t="s">
        <v>212</v>
      </c>
      <c r="M46" s="141">
        <f>IF(OR(M42="",M42=0),"",M43/M42)</f>
        <v>0.2666666667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5:D16">
      <formula1>"-,Single,Couple A,Couple B,Group A,Group B,Group C,Large Group,Graduation,Graduation Premium,Family A,Family B,Maternity,Concept,Studio Rent,Pas Foto,Single,Add Person,Add Edit,Photofox,Add 10R"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">
      <formula1>"-,JIJANG,ADDEL,PENTIL,FAHME,INDAH,AMEL"</formula1>
    </dataValidation>
    <dataValidation type="list" allowBlank="1" showDropDown="1" showErrorMessage="1" sqref="L5:L16">
      <formula1>"-,JIJANG,AXEL,PENTIL,FAHME,INDAH,AMEL"</formula1>
    </dataValidation>
    <dataValidation type="list" allowBlank="1" showDropDown="1" showErrorMessage="1" sqref="M4:M16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418</v>
      </c>
      <c r="D4" s="19" t="s">
        <v>22</v>
      </c>
      <c r="E4" s="17"/>
      <c r="F4" s="157">
        <v>46314.0</v>
      </c>
      <c r="G4" s="159"/>
      <c r="H4" s="30">
        <v>350000.0</v>
      </c>
      <c r="I4" s="32" t="s">
        <v>25</v>
      </c>
      <c r="J4" s="18"/>
      <c r="K4" s="18"/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419</v>
      </c>
      <c r="D5" s="19" t="s">
        <v>22</v>
      </c>
      <c r="E5" s="17"/>
      <c r="F5" s="157">
        <v>46314.0</v>
      </c>
      <c r="G5" s="159"/>
      <c r="H5" s="30">
        <v>100000.0</v>
      </c>
      <c r="I5" s="32" t="s">
        <v>24</v>
      </c>
      <c r="J5" s="18"/>
      <c r="K5" s="18"/>
      <c r="L5" s="32" t="s">
        <v>29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420</v>
      </c>
      <c r="D6" s="19" t="s">
        <v>54</v>
      </c>
      <c r="E6" s="17"/>
      <c r="F6" s="157">
        <v>46314.0</v>
      </c>
      <c r="G6" s="159"/>
      <c r="H6" s="30">
        <v>100000.0</v>
      </c>
      <c r="I6" s="32" t="s">
        <v>24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421</v>
      </c>
      <c r="D7" s="19" t="s">
        <v>54</v>
      </c>
      <c r="E7" s="17"/>
      <c r="F7" s="157">
        <v>46314.0</v>
      </c>
      <c r="G7" s="161">
        <v>25000.0</v>
      </c>
      <c r="H7" s="30">
        <v>100000.0</v>
      </c>
      <c r="I7" s="32" t="s">
        <v>25</v>
      </c>
      <c r="J7" s="32" t="s">
        <v>26</v>
      </c>
      <c r="K7" s="32" t="s">
        <v>26</v>
      </c>
      <c r="L7" s="32" t="s">
        <v>29</v>
      </c>
      <c r="M7" s="32" t="s">
        <v>42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400</v>
      </c>
      <c r="D8" s="19" t="s">
        <v>22</v>
      </c>
      <c r="E8" s="17"/>
      <c r="F8" s="157">
        <v>46314.0</v>
      </c>
      <c r="G8" s="161">
        <v>270000.0</v>
      </c>
      <c r="H8" s="60"/>
      <c r="I8" s="32" t="s">
        <v>25</v>
      </c>
      <c r="J8" s="32" t="s">
        <v>26</v>
      </c>
      <c r="K8" s="32" t="s">
        <v>27</v>
      </c>
      <c r="L8" s="32" t="s">
        <v>29</v>
      </c>
      <c r="M8" s="32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91</v>
      </c>
      <c r="D9" s="19" t="s">
        <v>34</v>
      </c>
      <c r="E9" s="24" t="s">
        <v>197</v>
      </c>
      <c r="F9" s="53">
        <v>46314.0</v>
      </c>
      <c r="G9" s="159"/>
      <c r="H9" s="30">
        <v>200000.0</v>
      </c>
      <c r="I9" s="32" t="s">
        <v>25</v>
      </c>
      <c r="J9" s="32" t="s">
        <v>26</v>
      </c>
      <c r="K9" s="32" t="s">
        <v>26</v>
      </c>
      <c r="L9" s="32" t="s">
        <v>29</v>
      </c>
      <c r="M9" s="32" t="s">
        <v>42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418</v>
      </c>
      <c r="D10" s="19" t="s">
        <v>22</v>
      </c>
      <c r="E10" s="17"/>
      <c r="F10" s="53">
        <v>46314.0</v>
      </c>
      <c r="G10" s="161">
        <v>0.0</v>
      </c>
      <c r="H10" s="30">
        <v>0.0</v>
      </c>
      <c r="I10" s="32" t="s">
        <v>25</v>
      </c>
      <c r="J10" s="32" t="s">
        <v>26</v>
      </c>
      <c r="K10" s="32" t="s">
        <v>27</v>
      </c>
      <c r="L10" s="32" t="s">
        <v>29</v>
      </c>
      <c r="M10" s="32" t="s">
        <v>42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422</v>
      </c>
      <c r="D11" s="19" t="s">
        <v>54</v>
      </c>
      <c r="E11" s="17"/>
      <c r="F11" s="53">
        <v>46315.0</v>
      </c>
      <c r="G11" s="159"/>
      <c r="H11" s="30">
        <v>100000.0</v>
      </c>
      <c r="I11" s="32" t="s">
        <v>24</v>
      </c>
      <c r="J11" s="18"/>
      <c r="K11" s="18"/>
      <c r="L11" s="32" t="s">
        <v>28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398</v>
      </c>
      <c r="D12" s="19" t="s">
        <v>22</v>
      </c>
      <c r="E12" s="17"/>
      <c r="F12" s="53">
        <v>46314.0</v>
      </c>
      <c r="G12" s="159"/>
      <c r="H12" s="30">
        <v>390000.0</v>
      </c>
      <c r="I12" s="32" t="s">
        <v>25</v>
      </c>
      <c r="J12" s="32" t="s">
        <v>26</v>
      </c>
      <c r="K12" s="32" t="s">
        <v>27</v>
      </c>
      <c r="L12" s="32" t="s">
        <v>28</v>
      </c>
      <c r="M12" s="32" t="s">
        <v>59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398</v>
      </c>
      <c r="D13" s="19" t="s">
        <v>86</v>
      </c>
      <c r="E13" s="24" t="s">
        <v>423</v>
      </c>
      <c r="F13" s="53">
        <v>46314.0</v>
      </c>
      <c r="G13" s="159"/>
      <c r="H13" s="30">
        <v>50000.0</v>
      </c>
      <c r="I13" s="32" t="s">
        <v>25</v>
      </c>
      <c r="J13" s="32" t="s">
        <v>26</v>
      </c>
      <c r="K13" s="32" t="s">
        <v>26</v>
      </c>
      <c r="L13" s="32" t="s">
        <v>28</v>
      </c>
      <c r="M13" s="18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420</v>
      </c>
      <c r="D14" s="19" t="s">
        <v>54</v>
      </c>
      <c r="E14" s="17"/>
      <c r="F14" s="53">
        <v>46296.0</v>
      </c>
      <c r="G14" s="161">
        <v>75000.0</v>
      </c>
      <c r="H14" s="60"/>
      <c r="I14" s="32" t="s">
        <v>25</v>
      </c>
      <c r="J14" s="32" t="s">
        <v>26</v>
      </c>
      <c r="K14" s="32" t="s">
        <v>40</v>
      </c>
      <c r="L14" s="32" t="s">
        <v>28</v>
      </c>
      <c r="M14" s="32" t="s">
        <v>59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425</v>
      </c>
      <c r="D15" s="19" t="s">
        <v>22</v>
      </c>
      <c r="E15" s="17"/>
      <c r="F15" s="53">
        <v>46314.0</v>
      </c>
      <c r="G15" s="159"/>
      <c r="H15" s="30">
        <v>250000.0</v>
      </c>
      <c r="I15" s="32" t="s">
        <v>25</v>
      </c>
      <c r="J15" s="32" t="s">
        <v>26</v>
      </c>
      <c r="K15" s="32" t="s">
        <v>26</v>
      </c>
      <c r="L15" s="32" t="s">
        <v>28</v>
      </c>
      <c r="M15" s="32" t="s">
        <v>59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428</v>
      </c>
      <c r="D16" s="19" t="s">
        <v>34</v>
      </c>
      <c r="E16" s="17"/>
      <c r="F16" s="53">
        <v>46315.0</v>
      </c>
      <c r="G16" s="159"/>
      <c r="H16" s="30">
        <v>100000.0</v>
      </c>
      <c r="I16" s="32" t="s">
        <v>24</v>
      </c>
      <c r="J16" s="18"/>
      <c r="K16" s="18"/>
      <c r="L16" s="32" t="s">
        <v>28</v>
      </c>
      <c r="M16" s="18"/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430</v>
      </c>
      <c r="D17" s="19" t="s">
        <v>54</v>
      </c>
      <c r="E17" s="17"/>
      <c r="F17" s="53">
        <v>46314.0</v>
      </c>
      <c r="G17" s="161">
        <v>250000.0</v>
      </c>
      <c r="H17" s="30"/>
      <c r="I17" s="32" t="s">
        <v>25</v>
      </c>
      <c r="J17" s="32" t="s">
        <v>26</v>
      </c>
      <c r="K17" s="32" t="s">
        <v>27</v>
      </c>
      <c r="L17" s="32" t="s">
        <v>28</v>
      </c>
      <c r="M17" s="32" t="s">
        <v>59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433</v>
      </c>
      <c r="D18" s="19" t="s">
        <v>43</v>
      </c>
      <c r="E18" s="17"/>
      <c r="F18" s="53">
        <v>46314.0</v>
      </c>
      <c r="G18" s="161">
        <v>50000.0</v>
      </c>
      <c r="H18" s="60"/>
      <c r="I18" s="32" t="s">
        <v>25</v>
      </c>
      <c r="J18" s="32" t="s">
        <v>26</v>
      </c>
      <c r="K18" s="32" t="s">
        <v>26</v>
      </c>
      <c r="L18" s="32" t="s">
        <v>28</v>
      </c>
      <c r="M18" s="32" t="s">
        <v>59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20" t="s">
        <v>434</v>
      </c>
      <c r="D19" s="19" t="s">
        <v>54</v>
      </c>
      <c r="E19" s="17"/>
      <c r="F19" s="53">
        <v>46315.0</v>
      </c>
      <c r="G19" s="159"/>
      <c r="H19" s="30">
        <v>100000.0</v>
      </c>
      <c r="I19" s="32" t="s">
        <v>24</v>
      </c>
      <c r="J19" s="18"/>
      <c r="K19" s="18"/>
      <c r="L19" s="32" t="s">
        <v>28</v>
      </c>
      <c r="M19" s="18"/>
      <c r="N19" s="38"/>
      <c r="O19" s="38"/>
      <c r="P19" s="38"/>
      <c r="Q19" s="1"/>
      <c r="R19" s="1"/>
    </row>
    <row r="20" ht="15.75" customHeight="1">
      <c r="A20" s="1"/>
      <c r="B20" s="18">
        <v>16.0</v>
      </c>
      <c r="C20" s="20"/>
      <c r="D20" s="19"/>
      <c r="E20" s="17"/>
      <c r="F20" s="157"/>
      <c r="G20" s="159"/>
      <c r="H20" s="30"/>
      <c r="I20" s="32"/>
      <c r="J20" s="32"/>
      <c r="K20" s="32"/>
      <c r="L20" s="32"/>
      <c r="M20" s="32"/>
      <c r="N20" s="38"/>
      <c r="O20" s="38"/>
      <c r="P20" s="38"/>
      <c r="Q20" s="1"/>
      <c r="R20" s="1"/>
    </row>
    <row r="21" ht="15.75" customHeight="1">
      <c r="A21" s="1"/>
      <c r="B21" s="18">
        <v>16.0</v>
      </c>
      <c r="C21" s="20" t="s">
        <v>436</v>
      </c>
      <c r="D21" s="19" t="s">
        <v>54</v>
      </c>
      <c r="E21" s="17"/>
      <c r="F21" s="157">
        <v>46314.0</v>
      </c>
      <c r="G21" s="159"/>
      <c r="H21" s="30">
        <v>175000.0</v>
      </c>
      <c r="I21" s="32" t="s">
        <v>25</v>
      </c>
      <c r="J21" s="32" t="s">
        <v>26</v>
      </c>
      <c r="K21" s="32" t="s">
        <v>27</v>
      </c>
      <c r="L21" s="32" t="s">
        <v>28</v>
      </c>
      <c r="M21" s="32" t="s">
        <v>59</v>
      </c>
      <c r="N21" s="38"/>
      <c r="O21" s="38"/>
      <c r="P21" s="38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19">
        <f t="shared" ref="G22:H22" si="1">SUM(G4:G21)</f>
        <v>670000</v>
      </c>
      <c r="H22" s="70">
        <f t="shared" si="1"/>
        <v>2015000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1" t="s">
        <v>1</v>
      </c>
      <c r="C25" s="72" t="s">
        <v>7</v>
      </c>
      <c r="D25" s="72" t="s">
        <v>120</v>
      </c>
      <c r="E25" s="1"/>
      <c r="F25" s="1"/>
      <c r="G25" s="1"/>
      <c r="H25" s="1"/>
      <c r="I25" s="1"/>
      <c r="J25" s="1"/>
      <c r="K25" s="1"/>
      <c r="L25" s="1"/>
      <c r="M25" s="1"/>
      <c r="N25" s="72" t="s">
        <v>121</v>
      </c>
      <c r="O25" s="72" t="s">
        <v>2</v>
      </c>
      <c r="P25" s="1"/>
      <c r="Q25" s="1"/>
      <c r="R25" s="1"/>
    </row>
    <row r="26" ht="15.75" customHeight="1">
      <c r="A26" s="1"/>
      <c r="B26" s="73">
        <v>1.0</v>
      </c>
      <c r="C26" s="75" t="s">
        <v>124</v>
      </c>
      <c r="D26" s="76">
        <f>SUM(G22)</f>
        <v>670000</v>
      </c>
      <c r="E26" s="77"/>
      <c r="F26" s="1"/>
      <c r="G26" s="1"/>
      <c r="H26" s="1"/>
      <c r="I26" s="1"/>
      <c r="J26" s="1"/>
      <c r="K26" s="1"/>
      <c r="L26" s="1"/>
      <c r="M26" s="1"/>
      <c r="N26" s="79" t="s">
        <v>128</v>
      </c>
      <c r="O26" s="80" t="s">
        <v>29</v>
      </c>
      <c r="P26" s="1"/>
      <c r="Q26" s="1"/>
      <c r="R26" s="1"/>
    </row>
    <row r="27" ht="15.75" customHeight="1">
      <c r="A27" s="1"/>
      <c r="B27" s="82">
        <v>2.0</v>
      </c>
      <c r="C27" s="173" t="s">
        <v>441</v>
      </c>
      <c r="D27" s="143">
        <v>-20000.0</v>
      </c>
      <c r="E27" s="77"/>
      <c r="F27" s="1"/>
      <c r="G27" s="1"/>
      <c r="H27" s="1"/>
      <c r="I27" s="1"/>
      <c r="J27" s="1"/>
      <c r="K27" s="1"/>
      <c r="L27" s="1"/>
      <c r="M27" s="1"/>
      <c r="N27" s="85" t="s">
        <v>132</v>
      </c>
      <c r="O27" s="86" t="s">
        <v>28</v>
      </c>
      <c r="P27" s="1"/>
      <c r="Q27" s="1"/>
      <c r="R27" s="1"/>
    </row>
    <row r="28" ht="15.75" customHeight="1">
      <c r="A28" s="1"/>
      <c r="B28" s="73">
        <v>3.0</v>
      </c>
      <c r="C28" s="75"/>
      <c r="D28" s="76"/>
      <c r="E28" s="77"/>
      <c r="F28" s="1"/>
      <c r="G28" s="1"/>
      <c r="H28" s="1"/>
      <c r="I28" s="1"/>
      <c r="J28" s="1"/>
      <c r="K28" s="1"/>
      <c r="L28" s="1"/>
      <c r="M28" s="1"/>
      <c r="N28" s="88" t="s">
        <v>136</v>
      </c>
      <c r="O28" s="89" t="s">
        <v>42</v>
      </c>
      <c r="P28" s="1"/>
      <c r="Q28" s="1"/>
      <c r="R28" s="1"/>
    </row>
    <row r="29" ht="15.75" customHeight="1">
      <c r="A29" s="1"/>
      <c r="B29" s="82">
        <v>4.0</v>
      </c>
      <c r="C29" s="92"/>
      <c r="D29" s="93"/>
      <c r="E29" s="77"/>
      <c r="F29" s="1"/>
      <c r="G29" s="1"/>
      <c r="H29" s="1"/>
      <c r="I29" s="1"/>
      <c r="J29" s="1"/>
      <c r="K29" s="1"/>
      <c r="L29" s="1"/>
      <c r="M29" s="1"/>
      <c r="N29" s="95" t="s">
        <v>147</v>
      </c>
      <c r="O29" s="86" t="s">
        <v>59</v>
      </c>
      <c r="P29" s="1"/>
      <c r="Q29" s="1"/>
      <c r="R29" s="1"/>
    </row>
    <row r="30" ht="15.75" customHeight="1">
      <c r="A30" s="1"/>
      <c r="B30" s="73">
        <v>5.0</v>
      </c>
      <c r="C30" s="75"/>
      <c r="D30" s="76"/>
      <c r="E30" s="77"/>
      <c r="F30" s="1"/>
      <c r="G30" s="1"/>
      <c r="H30" s="1"/>
      <c r="I30" s="1"/>
      <c r="J30" s="1"/>
      <c r="K30" s="1"/>
      <c r="L30" s="1"/>
      <c r="M30" s="1"/>
      <c r="N30" s="98"/>
      <c r="O30" s="1"/>
      <c r="P30" s="1"/>
      <c r="Q30" s="1"/>
      <c r="R30" s="1"/>
    </row>
    <row r="31" ht="15.75" customHeight="1">
      <c r="A31" s="1"/>
      <c r="B31" s="82">
        <v>6.0</v>
      </c>
      <c r="C31" s="92"/>
      <c r="D31" s="93"/>
      <c r="E31" s="77"/>
      <c r="F31" s="1"/>
      <c r="G31" s="1"/>
      <c r="H31" s="1"/>
      <c r="I31" s="1"/>
      <c r="J31" s="1"/>
      <c r="K31" s="100" t="s">
        <v>150</v>
      </c>
      <c r="Q31" s="1"/>
      <c r="R31" s="1"/>
    </row>
    <row r="32" ht="15.75" customHeight="1">
      <c r="A32" s="1"/>
      <c r="B32" s="73">
        <v>7.0</v>
      </c>
      <c r="C32" s="75"/>
      <c r="D32" s="76"/>
      <c r="E32" s="77"/>
      <c r="F32" s="1"/>
      <c r="G32" s="1"/>
      <c r="H32" s="1"/>
      <c r="I32" s="1"/>
      <c r="J32" s="1"/>
      <c r="K32" s="101" t="s">
        <v>2</v>
      </c>
      <c r="L32" s="101" t="s">
        <v>153</v>
      </c>
      <c r="M32" s="101" t="s">
        <v>155</v>
      </c>
      <c r="N32" s="101" t="s">
        <v>156</v>
      </c>
      <c r="O32" s="101" t="s">
        <v>157</v>
      </c>
      <c r="P32" s="101" t="s">
        <v>158</v>
      </c>
      <c r="Q32" s="1"/>
      <c r="R32" s="1"/>
      <c r="AC32" s="102" t="s">
        <v>159</v>
      </c>
      <c r="AD32" s="102" t="s">
        <v>160</v>
      </c>
      <c r="AE32" s="102" t="s">
        <v>161</v>
      </c>
      <c r="AF32" s="102" t="s">
        <v>163</v>
      </c>
      <c r="AG32" s="102" t="s">
        <v>164</v>
      </c>
    </row>
    <row r="33" ht="15.75" customHeight="1">
      <c r="A33" s="1"/>
      <c r="B33" s="82">
        <v>8.0</v>
      </c>
      <c r="C33" s="92"/>
      <c r="D33" s="93"/>
      <c r="E33" s="77"/>
      <c r="F33" s="1"/>
      <c r="G33" s="1"/>
      <c r="H33" s="1"/>
      <c r="I33" s="1"/>
      <c r="J33" s="1"/>
      <c r="K33" s="104" t="str">
        <f t="shared" ref="K33:K36" si="2">IF(O26="","",O26)</f>
        <v>INDAH</v>
      </c>
      <c r="L33" s="145">
        <v>5.0</v>
      </c>
      <c r="M33" s="145">
        <v>5.0</v>
      </c>
      <c r="N33" s="145">
        <v>5.0</v>
      </c>
      <c r="O33" s="145">
        <v>5.0</v>
      </c>
      <c r="P33" s="145">
        <v>5.0</v>
      </c>
      <c r="Q33" s="1"/>
      <c r="R33" s="1"/>
      <c r="AC33" s="102">
        <f t="shared" ref="AC33:AC38" si="3">IF(AG33="","",IF(COUNT(L33:P33)&lt;5,"",L33/5*20+M33/5*25+N33/5*25+O33/5*15+P33/5*15))</f>
        <v>100</v>
      </c>
      <c r="AD33" s="102" t="str">
        <f t="shared" ref="AD33:AD38" si="4">IF(AC33="","",IF(AC33&gt;=90,"Sangat Baik",IF(AC33&gt;=80,"Baik",IF(AC33&gt;=70,"Coaching","Underperform"))))</f>
        <v>Sangat Baik</v>
      </c>
      <c r="AE33" s="102" t="str">
        <f t="shared" ref="AE33:AE38" si="5">IF(AG33="","",IF(OR(AG33="INDAH",AG33="ADDEL",AG33="AMEL",AG33="PENTIL",AG33="JIJANG"),"Admin/CS","Fotografer"))</f>
        <v>Admin/CS</v>
      </c>
      <c r="AF33" s="102">
        <f t="shared" ref="AF33:AF38" si="6">IF(OR(AG33="",COUNT(L33:P33)&lt;5),"",1)</f>
        <v>1</v>
      </c>
      <c r="AG33" s="102" t="str">
        <f t="shared" ref="AG33:AG38" si="7">IFERROR(K33,"")</f>
        <v>INDAH</v>
      </c>
    </row>
    <row r="34" ht="15.75" customHeight="1">
      <c r="A34" s="1"/>
      <c r="B34" s="73">
        <v>9.0</v>
      </c>
      <c r="C34" s="75"/>
      <c r="D34" s="76"/>
      <c r="E34" s="77"/>
      <c r="F34" s="1"/>
      <c r="G34" s="1"/>
      <c r="H34" s="1"/>
      <c r="I34" s="1"/>
      <c r="J34" s="1"/>
      <c r="K34" s="104" t="str">
        <f t="shared" si="2"/>
        <v>AMEL</v>
      </c>
      <c r="L34" s="145">
        <v>5.0</v>
      </c>
      <c r="M34" s="145">
        <v>5.0</v>
      </c>
      <c r="N34" s="145">
        <v>5.0</v>
      </c>
      <c r="O34" s="145">
        <v>5.0</v>
      </c>
      <c r="P34" s="180">
        <v>4.0</v>
      </c>
      <c r="Q34" s="1"/>
      <c r="R34" s="1"/>
      <c r="AC34" s="102">
        <f t="shared" si="3"/>
        <v>97</v>
      </c>
      <c r="AD34" s="102" t="str">
        <f t="shared" si="4"/>
        <v>Sangat Baik</v>
      </c>
      <c r="AE34" s="102" t="str">
        <f t="shared" si="5"/>
        <v>Admin/CS</v>
      </c>
      <c r="AF34" s="102">
        <f t="shared" si="6"/>
        <v>1</v>
      </c>
      <c r="AG34" s="102" t="str">
        <f t="shared" si="7"/>
        <v>AMEL</v>
      </c>
    </row>
    <row r="35" ht="15.75" customHeight="1">
      <c r="A35" s="1"/>
      <c r="B35" s="82">
        <v>10.0</v>
      </c>
      <c r="C35" s="92"/>
      <c r="D35" s="93"/>
      <c r="E35" s="77"/>
      <c r="F35" s="1"/>
      <c r="G35" s="1"/>
      <c r="H35" s="1"/>
      <c r="I35" s="1"/>
      <c r="J35" s="1"/>
      <c r="K35" s="104" t="str">
        <f t="shared" si="2"/>
        <v>ADIF</v>
      </c>
      <c r="L35" s="145">
        <v>5.0</v>
      </c>
      <c r="M35" s="145">
        <v>5.0</v>
      </c>
      <c r="N35" s="145">
        <v>5.0</v>
      </c>
      <c r="O35" s="145">
        <v>5.0</v>
      </c>
      <c r="P35" s="145">
        <v>5.0</v>
      </c>
      <c r="Q35" s="1"/>
      <c r="R35" s="1"/>
      <c r="AC35" s="102">
        <f t="shared" si="3"/>
        <v>100</v>
      </c>
      <c r="AD35" s="102" t="str">
        <f t="shared" si="4"/>
        <v>Sangat Baik</v>
      </c>
      <c r="AE35" s="102" t="str">
        <f t="shared" si="5"/>
        <v>Fotografer</v>
      </c>
      <c r="AF35" s="102">
        <f t="shared" si="6"/>
        <v>1</v>
      </c>
      <c r="AG35" s="102" t="str">
        <f t="shared" si="7"/>
        <v>ADIF</v>
      </c>
    </row>
    <row r="36" ht="15.75" customHeight="1">
      <c r="A36" s="1"/>
      <c r="B36" s="114">
        <v>11.0</v>
      </c>
      <c r="C36" s="115"/>
      <c r="D36" s="116"/>
      <c r="E36" s="77"/>
      <c r="F36" s="1"/>
      <c r="G36" s="1"/>
      <c r="H36" s="1"/>
      <c r="I36" s="1"/>
      <c r="J36" s="1"/>
      <c r="K36" s="104" t="str">
        <f t="shared" si="2"/>
        <v>SAKA</v>
      </c>
      <c r="L36" s="145">
        <v>5.0</v>
      </c>
      <c r="M36" s="145">
        <v>5.0</v>
      </c>
      <c r="N36" s="145">
        <v>5.0</v>
      </c>
      <c r="O36" s="145">
        <v>5.0</v>
      </c>
      <c r="P36" s="180">
        <v>4.0</v>
      </c>
      <c r="Q36" s="1"/>
      <c r="R36" s="1"/>
      <c r="AC36" s="102">
        <f t="shared" si="3"/>
        <v>97</v>
      </c>
      <c r="AD36" s="102" t="str">
        <f t="shared" si="4"/>
        <v>Sangat Baik</v>
      </c>
      <c r="AE36" s="102" t="str">
        <f t="shared" si="5"/>
        <v>Fotografer</v>
      </c>
      <c r="AF36" s="102">
        <f t="shared" si="6"/>
        <v>1</v>
      </c>
      <c r="AG36" s="102" t="str">
        <f t="shared" si="7"/>
        <v>SAKA</v>
      </c>
    </row>
    <row r="37" ht="15.75" customHeight="1">
      <c r="A37" s="1"/>
      <c r="B37" s="1"/>
      <c r="C37" s="3"/>
      <c r="D37" s="117">
        <f>SUM(D26:D36)</f>
        <v>650000</v>
      </c>
      <c r="E37" s="1"/>
      <c r="F37" s="1"/>
      <c r="G37" s="1"/>
      <c r="H37" s="1"/>
      <c r="I37" s="1"/>
      <c r="J37" s="1"/>
      <c r="K37" s="104"/>
      <c r="L37" s="118"/>
      <c r="M37" s="118"/>
      <c r="N37" s="118"/>
      <c r="O37" s="118"/>
      <c r="P37" s="118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4"/>
      <c r="L38" s="118"/>
      <c r="M38" s="118"/>
      <c r="N38" s="118"/>
      <c r="O38" s="118"/>
      <c r="P38" s="118"/>
      <c r="Q38" s="1"/>
      <c r="R38" s="1"/>
      <c r="AC38" s="102" t="str">
        <f t="shared" si="3"/>
        <v/>
      </c>
      <c r="AD38" s="102" t="str">
        <f t="shared" si="4"/>
        <v/>
      </c>
      <c r="AE38" s="102" t="str">
        <f t="shared" si="5"/>
        <v/>
      </c>
      <c r="AF38" s="102" t="str">
        <f t="shared" si="6"/>
        <v/>
      </c>
      <c r="AG38" s="102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20" t="s">
        <v>195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1" t="s">
        <v>198</v>
      </c>
      <c r="N41" s="1"/>
      <c r="O41" s="1"/>
      <c r="P41" s="1"/>
      <c r="Q41" s="1"/>
      <c r="R41" s="1"/>
    </row>
    <row r="42" ht="15.75" customHeight="1">
      <c r="K42" s="123" t="s">
        <v>8</v>
      </c>
      <c r="L42" s="123" t="s">
        <v>200</v>
      </c>
      <c r="M42" s="123" t="s">
        <v>201</v>
      </c>
    </row>
    <row r="43" ht="15.75" customHeight="1">
      <c r="K43" s="126" t="str">
        <f t="shared" ref="K43:K44" si="8">IF(O26="","",O26)</f>
        <v>INDAH</v>
      </c>
      <c r="L43" s="127">
        <v>3.0</v>
      </c>
      <c r="M43" s="129"/>
    </row>
    <row r="44" ht="15.75" customHeight="1">
      <c r="K44" s="126" t="str">
        <f t="shared" si="8"/>
        <v>AMEL</v>
      </c>
      <c r="L44" s="127">
        <v>3.0</v>
      </c>
      <c r="M44" s="129"/>
    </row>
    <row r="45" ht="15.75" customHeight="1"/>
    <row r="46" ht="19.5" customHeight="1">
      <c r="K46" s="132" t="s">
        <v>206</v>
      </c>
    </row>
    <row r="47" ht="19.5" customHeight="1">
      <c r="K47" s="134" t="s">
        <v>207</v>
      </c>
      <c r="M47" s="127">
        <v>23.0</v>
      </c>
    </row>
    <row r="48" ht="19.5" customHeight="1">
      <c r="K48" s="135" t="s">
        <v>208</v>
      </c>
      <c r="M48" s="138">
        <f>COUNTIF($I$4:$I$24,"DP")</f>
        <v>5</v>
      </c>
    </row>
    <row r="49" ht="19.5" customHeight="1">
      <c r="K49" s="135" t="s">
        <v>210</v>
      </c>
      <c r="M49" s="138">
        <f>COUNTIFS($I$4:$I$24,"&lt;&gt;DP",$I$4:$I$24,"&lt;&gt;")</f>
        <v>12</v>
      </c>
    </row>
    <row r="50" ht="19.5" customHeight="1">
      <c r="K50" s="139" t="s">
        <v>211</v>
      </c>
      <c r="M50" s="138">
        <f>M48+M49</f>
        <v>17</v>
      </c>
    </row>
    <row r="51" ht="19.5" customHeight="1">
      <c r="K51" s="134" t="s">
        <v>212</v>
      </c>
      <c r="M51" s="141">
        <f>IF(OR(M47="",M47=0),"",M48/M47)</f>
        <v>0.2173913043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M4:M21">
      <formula1>"-,VERO,FADEL,PENTIL,FAHME,ADIF,SAKA"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16R,Photofox,Add cetak"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1.0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424</v>
      </c>
      <c r="D4" s="19" t="s">
        <v>54</v>
      </c>
      <c r="E4" s="24" t="s">
        <v>426</v>
      </c>
      <c r="F4" s="32" t="s">
        <v>427</v>
      </c>
      <c r="G4" s="159"/>
      <c r="H4" s="30">
        <v>100000.0</v>
      </c>
      <c r="I4" s="32" t="s">
        <v>24</v>
      </c>
      <c r="J4" s="18"/>
      <c r="K4" s="18"/>
      <c r="L4" s="32" t="s">
        <v>429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431</v>
      </c>
      <c r="D5" s="19" t="s">
        <v>22</v>
      </c>
      <c r="E5" s="17"/>
      <c r="F5" s="32" t="s">
        <v>432</v>
      </c>
      <c r="G5" s="159"/>
      <c r="H5" s="30">
        <v>100000.0</v>
      </c>
      <c r="I5" s="32" t="s">
        <v>24</v>
      </c>
      <c r="J5" s="18"/>
      <c r="K5" s="18"/>
      <c r="L5" s="32" t="s">
        <v>429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305</v>
      </c>
      <c r="D6" s="19" t="s">
        <v>43</v>
      </c>
      <c r="E6" s="17"/>
      <c r="F6" s="32" t="s">
        <v>435</v>
      </c>
      <c r="G6" s="161">
        <v>100000.0</v>
      </c>
      <c r="H6" s="60"/>
      <c r="I6" s="32" t="s">
        <v>25</v>
      </c>
      <c r="J6" s="32" t="s">
        <v>26</v>
      </c>
      <c r="K6" s="32" t="s">
        <v>26</v>
      </c>
      <c r="L6" s="32" t="s">
        <v>429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437</v>
      </c>
      <c r="D7" s="19" t="s">
        <v>54</v>
      </c>
      <c r="E7" s="24">
        <v>14.0</v>
      </c>
      <c r="F7" s="32" t="s">
        <v>432</v>
      </c>
      <c r="G7" s="159"/>
      <c r="H7" s="30">
        <v>100000.0</v>
      </c>
      <c r="I7" s="32" t="s">
        <v>24</v>
      </c>
      <c r="J7" s="18"/>
      <c r="K7" s="18"/>
      <c r="L7" s="32" t="s">
        <v>429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434</v>
      </c>
      <c r="D8" s="19" t="s">
        <v>54</v>
      </c>
      <c r="E8" s="17"/>
      <c r="F8" s="157">
        <v>46315.0</v>
      </c>
      <c r="G8" s="159"/>
      <c r="H8" s="30">
        <v>250000.0</v>
      </c>
      <c r="I8" s="32" t="s">
        <v>25</v>
      </c>
      <c r="J8" s="32" t="s">
        <v>26</v>
      </c>
      <c r="K8" s="32" t="s">
        <v>26</v>
      </c>
      <c r="L8" s="32" t="s">
        <v>28</v>
      </c>
      <c r="M8" s="32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422</v>
      </c>
      <c r="D9" s="19" t="s">
        <v>54</v>
      </c>
      <c r="E9" s="17"/>
      <c r="F9" s="157">
        <v>46315.0</v>
      </c>
      <c r="G9" s="159"/>
      <c r="H9" s="30">
        <v>100000.0</v>
      </c>
      <c r="I9" s="32" t="s">
        <v>25</v>
      </c>
      <c r="J9" s="32" t="s">
        <v>26</v>
      </c>
      <c r="K9" s="32" t="s">
        <v>26</v>
      </c>
      <c r="L9" s="32" t="s">
        <v>28</v>
      </c>
      <c r="M9" s="32" t="s">
        <v>42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438</v>
      </c>
      <c r="D10" s="19" t="s">
        <v>75</v>
      </c>
      <c r="E10" s="17"/>
      <c r="F10" s="157">
        <v>46317.0</v>
      </c>
      <c r="G10" s="159"/>
      <c r="H10" s="30">
        <v>100000.0</v>
      </c>
      <c r="I10" s="32" t="s">
        <v>24</v>
      </c>
      <c r="J10" s="18"/>
      <c r="K10" s="18"/>
      <c r="L10" s="32" t="s">
        <v>28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439</v>
      </c>
      <c r="D11" s="19" t="s">
        <v>54</v>
      </c>
      <c r="E11" s="17"/>
      <c r="F11" s="157">
        <v>46328.0</v>
      </c>
      <c r="G11" s="159"/>
      <c r="H11" s="30">
        <v>100000.0</v>
      </c>
      <c r="I11" s="32" t="s">
        <v>24</v>
      </c>
      <c r="J11" s="18"/>
      <c r="K11" s="18"/>
      <c r="L11" s="32" t="s">
        <v>28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440</v>
      </c>
      <c r="D12" s="19" t="s">
        <v>34</v>
      </c>
      <c r="E12" s="17"/>
      <c r="F12" s="157">
        <v>46315.0</v>
      </c>
      <c r="G12" s="161">
        <v>125000.0</v>
      </c>
      <c r="H12" s="60"/>
      <c r="I12" s="32" t="s">
        <v>25</v>
      </c>
      <c r="J12" s="32" t="s">
        <v>26</v>
      </c>
      <c r="K12" s="32" t="s">
        <v>40</v>
      </c>
      <c r="L12" s="32" t="s">
        <v>28</v>
      </c>
      <c r="M12" s="32" t="s">
        <v>59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365</v>
      </c>
      <c r="D13" s="19" t="s">
        <v>54</v>
      </c>
      <c r="E13" s="17"/>
      <c r="F13" s="157">
        <v>46315.0</v>
      </c>
      <c r="G13" s="159"/>
      <c r="H13" s="30">
        <v>200000.0</v>
      </c>
      <c r="I13" s="32" t="s">
        <v>25</v>
      </c>
      <c r="J13" s="32" t="s">
        <v>26</v>
      </c>
      <c r="K13" s="32" t="s">
        <v>26</v>
      </c>
      <c r="L13" s="32" t="s">
        <v>28</v>
      </c>
      <c r="M13" s="32" t="s">
        <v>59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442</v>
      </c>
      <c r="D14" s="19" t="s">
        <v>54</v>
      </c>
      <c r="E14" s="17"/>
      <c r="F14" s="157">
        <v>46318.0</v>
      </c>
      <c r="G14" s="159"/>
      <c r="H14" s="30">
        <v>100000.0</v>
      </c>
      <c r="I14" s="32" t="s">
        <v>24</v>
      </c>
      <c r="J14" s="18"/>
      <c r="K14" s="18"/>
      <c r="L14" s="32" t="s">
        <v>28</v>
      </c>
      <c r="M14" s="18"/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345</v>
      </c>
      <c r="D15" s="19" t="s">
        <v>54</v>
      </c>
      <c r="E15" s="17"/>
      <c r="F15" s="157">
        <v>46315.0</v>
      </c>
      <c r="G15" s="159"/>
      <c r="H15" s="60"/>
      <c r="I15" s="18"/>
      <c r="J15" s="18"/>
      <c r="K15" s="32" t="s">
        <v>27</v>
      </c>
      <c r="L15" s="18"/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78"/>
      <c r="D16" s="59"/>
      <c r="E16" s="17"/>
      <c r="F16" s="18"/>
      <c r="G16" s="159"/>
      <c r="H16" s="60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8.75" customHeight="1">
      <c r="A17" s="1"/>
      <c r="B17" s="1"/>
      <c r="C17" s="3"/>
      <c r="D17" s="3"/>
      <c r="E17" s="1"/>
      <c r="F17" s="1"/>
      <c r="G17" s="119">
        <f t="shared" ref="G17:H17" si="1">SUM(G4:G16)</f>
        <v>225000</v>
      </c>
      <c r="H17" s="70">
        <f t="shared" si="1"/>
        <v>1150000</v>
      </c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23.2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71" t="s">
        <v>1</v>
      </c>
      <c r="C20" s="72" t="s">
        <v>7</v>
      </c>
      <c r="D20" s="72" t="s">
        <v>120</v>
      </c>
      <c r="E20" s="1"/>
      <c r="F20" s="1"/>
      <c r="G20" s="1"/>
      <c r="H20" s="1"/>
      <c r="I20" s="1"/>
      <c r="J20" s="1"/>
      <c r="K20" s="1"/>
      <c r="L20" s="1"/>
      <c r="M20" s="1"/>
      <c r="N20" s="72" t="s">
        <v>121</v>
      </c>
      <c r="O20" s="72" t="s">
        <v>2</v>
      </c>
      <c r="P20" s="1"/>
      <c r="Q20" s="1"/>
      <c r="R20" s="1"/>
    </row>
    <row r="21" ht="15.75" customHeight="1">
      <c r="A21" s="1"/>
      <c r="B21" s="73">
        <v>1.0</v>
      </c>
      <c r="C21" s="75" t="s">
        <v>124</v>
      </c>
      <c r="D21" s="76">
        <f>SUM(G17)</f>
        <v>225000</v>
      </c>
      <c r="E21" s="77"/>
      <c r="F21" s="1"/>
      <c r="G21" s="1"/>
      <c r="H21" s="1"/>
      <c r="I21" s="1"/>
      <c r="J21" s="1"/>
      <c r="K21" s="1"/>
      <c r="L21" s="1"/>
      <c r="M21" s="1"/>
      <c r="N21" s="79" t="s">
        <v>128</v>
      </c>
      <c r="O21" s="80" t="s">
        <v>29</v>
      </c>
      <c r="P21" s="2" t="s">
        <v>443</v>
      </c>
      <c r="Q21" s="1"/>
      <c r="R21" s="1"/>
    </row>
    <row r="22" ht="15.75" customHeight="1">
      <c r="A22" s="1"/>
      <c r="B22" s="82">
        <v>2.0</v>
      </c>
      <c r="C22" s="173" t="s">
        <v>261</v>
      </c>
      <c r="D22" s="143">
        <v>-100000.0</v>
      </c>
      <c r="E22" s="77"/>
      <c r="F22" s="1"/>
      <c r="G22" s="1"/>
      <c r="H22" s="1"/>
      <c r="I22" s="1"/>
      <c r="J22" s="1"/>
      <c r="K22" s="1"/>
      <c r="L22" s="1"/>
      <c r="M22" s="1"/>
      <c r="N22" s="85" t="s">
        <v>132</v>
      </c>
      <c r="O22" s="86" t="s">
        <v>28</v>
      </c>
      <c r="P22" s="1"/>
      <c r="Q22" s="1"/>
      <c r="R22" s="1"/>
    </row>
    <row r="23" ht="15.75" customHeight="1">
      <c r="A23" s="1"/>
      <c r="B23" s="73">
        <v>3.0</v>
      </c>
      <c r="C23" s="142" t="s">
        <v>441</v>
      </c>
      <c r="D23" s="182">
        <v>-27000.0</v>
      </c>
      <c r="E23" s="77"/>
      <c r="F23" s="1"/>
      <c r="G23" s="1"/>
      <c r="H23" s="1"/>
      <c r="I23" s="1"/>
      <c r="J23" s="1"/>
      <c r="K23" s="1"/>
      <c r="L23" s="1"/>
      <c r="M23" s="1"/>
      <c r="N23" s="88" t="s">
        <v>136</v>
      </c>
      <c r="O23" s="89" t="s">
        <v>42</v>
      </c>
      <c r="P23" s="1"/>
      <c r="Q23" s="1"/>
      <c r="R23" s="1"/>
    </row>
    <row r="24" ht="15.75" customHeight="1">
      <c r="A24" s="1"/>
      <c r="B24" s="82">
        <v>4.0</v>
      </c>
      <c r="C24" s="92"/>
      <c r="D24" s="93"/>
      <c r="E24" s="77"/>
      <c r="F24" s="1"/>
      <c r="G24" s="1"/>
      <c r="H24" s="1"/>
      <c r="I24" s="1"/>
      <c r="J24" s="1"/>
      <c r="K24" s="1"/>
      <c r="L24" s="1"/>
      <c r="M24" s="1"/>
      <c r="N24" s="95" t="s">
        <v>147</v>
      </c>
      <c r="O24" s="86" t="s">
        <v>59</v>
      </c>
      <c r="P24" s="1"/>
      <c r="Q24" s="1"/>
      <c r="R24" s="1"/>
    </row>
    <row r="25" ht="15.75" customHeight="1">
      <c r="A25" s="1"/>
      <c r="B25" s="73">
        <v>5.0</v>
      </c>
      <c r="C25" s="75"/>
      <c r="D25" s="76"/>
      <c r="E25" s="77"/>
      <c r="F25" s="1"/>
      <c r="G25" s="1"/>
      <c r="H25" s="1"/>
      <c r="I25" s="1"/>
      <c r="J25" s="1"/>
      <c r="K25" s="1"/>
      <c r="L25" s="1"/>
      <c r="M25" s="1"/>
      <c r="N25" s="98"/>
      <c r="O25" s="1"/>
      <c r="P25" s="1"/>
      <c r="Q25" s="1"/>
      <c r="R25" s="1"/>
    </row>
    <row r="26" ht="15.75" customHeight="1">
      <c r="A26" s="1"/>
      <c r="B26" s="82">
        <v>6.0</v>
      </c>
      <c r="C26" s="92"/>
      <c r="D26" s="93"/>
      <c r="E26" s="77"/>
      <c r="F26" s="1"/>
      <c r="G26" s="1"/>
      <c r="H26" s="1"/>
      <c r="I26" s="1"/>
      <c r="J26" s="1"/>
      <c r="K26" s="100" t="s">
        <v>150</v>
      </c>
      <c r="Q26" s="1"/>
      <c r="R26" s="1"/>
    </row>
    <row r="27" ht="15.75" customHeight="1">
      <c r="A27" s="1"/>
      <c r="B27" s="73">
        <v>7.0</v>
      </c>
      <c r="C27" s="75"/>
      <c r="D27" s="76"/>
      <c r="E27" s="77"/>
      <c r="F27" s="1"/>
      <c r="G27" s="1"/>
      <c r="H27" s="1"/>
      <c r="I27" s="1"/>
      <c r="J27" s="1"/>
      <c r="K27" s="101" t="s">
        <v>2</v>
      </c>
      <c r="L27" s="101" t="s">
        <v>153</v>
      </c>
      <c r="M27" s="101" t="s">
        <v>155</v>
      </c>
      <c r="N27" s="101" t="s">
        <v>156</v>
      </c>
      <c r="O27" s="101" t="s">
        <v>157</v>
      </c>
      <c r="P27" s="101" t="s">
        <v>158</v>
      </c>
      <c r="Q27" s="1"/>
      <c r="R27" s="1"/>
      <c r="AC27" s="102" t="s">
        <v>159</v>
      </c>
      <c r="AD27" s="102" t="s">
        <v>160</v>
      </c>
      <c r="AE27" s="102" t="s">
        <v>161</v>
      </c>
      <c r="AF27" s="102" t="s">
        <v>163</v>
      </c>
      <c r="AG27" s="102" t="s">
        <v>164</v>
      </c>
    </row>
    <row r="28" ht="15.75" customHeight="1">
      <c r="A28" s="1"/>
      <c r="B28" s="82">
        <v>8.0</v>
      </c>
      <c r="C28" s="92"/>
      <c r="D28" s="93"/>
      <c r="E28" s="77"/>
      <c r="F28" s="1"/>
      <c r="G28" s="1"/>
      <c r="H28" s="1"/>
      <c r="I28" s="1"/>
      <c r="J28" s="1"/>
      <c r="K28" s="104" t="str">
        <f t="shared" ref="K28:K31" si="2">IF(O21="","",O21)</f>
        <v>INDAH</v>
      </c>
      <c r="L28" s="145">
        <v>5.0</v>
      </c>
      <c r="M28" s="145">
        <v>5.0</v>
      </c>
      <c r="N28" s="145">
        <v>5.0</v>
      </c>
      <c r="O28" s="145">
        <v>5.0</v>
      </c>
      <c r="P28" s="145">
        <v>5.0</v>
      </c>
      <c r="Q28" s="1"/>
      <c r="R28" s="1"/>
      <c r="AC28" s="102">
        <f t="shared" ref="AC28:AC33" si="3">IF(AG28="","",IF(COUNT(L28:P28)&lt;5,"",L28/5*20+M28/5*25+N28/5*25+O28/5*15+P28/5*15))</f>
        <v>100</v>
      </c>
      <c r="AD28" s="102" t="str">
        <f t="shared" ref="AD28:AD33" si="4">IF(AC28="","",IF(AC28&gt;=90,"Sangat Baik",IF(AC28&gt;=80,"Baik",IF(AC28&gt;=70,"Coaching","Underperform"))))</f>
        <v>Sangat Baik</v>
      </c>
      <c r="AE28" s="102" t="str">
        <f t="shared" ref="AE28:AE33" si="5">IF(AG28="","",IF(OR(AG28="INDAH",AG28="ADDEL",AG28="AMEL",AG28="PENTIL",AG28="JIJANG"),"Admin/CS","Fotografer"))</f>
        <v>Admin/CS</v>
      </c>
      <c r="AF28" s="102">
        <f t="shared" ref="AF28:AF33" si="6">IF(OR(AG28="",COUNT(L28:P28)&lt;5),"",1)</f>
        <v>1</v>
      </c>
      <c r="AG28" s="102" t="str">
        <f t="shared" ref="AG28:AG33" si="7">IFERROR(K28,"")</f>
        <v>INDAH</v>
      </c>
    </row>
    <row r="29" ht="15.75" customHeight="1">
      <c r="A29" s="1"/>
      <c r="B29" s="73">
        <v>9.0</v>
      </c>
      <c r="C29" s="75"/>
      <c r="D29" s="76"/>
      <c r="E29" s="77"/>
      <c r="F29" s="1"/>
      <c r="G29" s="1"/>
      <c r="H29" s="1"/>
      <c r="I29" s="1"/>
      <c r="J29" s="1"/>
      <c r="K29" s="104" t="str">
        <f t="shared" si="2"/>
        <v>AMEL</v>
      </c>
      <c r="L29" s="145">
        <v>5.0</v>
      </c>
      <c r="M29" s="145">
        <v>5.0</v>
      </c>
      <c r="N29" s="145">
        <v>5.0</v>
      </c>
      <c r="O29" s="145">
        <v>5.0</v>
      </c>
      <c r="P29" s="145">
        <v>5.0</v>
      </c>
      <c r="Q29" s="1"/>
      <c r="R29" s="1"/>
      <c r="AC29" s="102">
        <f t="shared" si="3"/>
        <v>100</v>
      </c>
      <c r="AD29" s="102" t="str">
        <f t="shared" si="4"/>
        <v>Sangat Baik</v>
      </c>
      <c r="AE29" s="102" t="str">
        <f t="shared" si="5"/>
        <v>Admin/CS</v>
      </c>
      <c r="AF29" s="102">
        <f t="shared" si="6"/>
        <v>1</v>
      </c>
      <c r="AG29" s="102" t="str">
        <f t="shared" si="7"/>
        <v>AMEL</v>
      </c>
    </row>
    <row r="30" ht="15.75" customHeight="1">
      <c r="A30" s="1"/>
      <c r="B30" s="82">
        <v>10.0</v>
      </c>
      <c r="C30" s="92"/>
      <c r="D30" s="93"/>
      <c r="E30" s="77"/>
      <c r="F30" s="1"/>
      <c r="G30" s="1"/>
      <c r="H30" s="1"/>
      <c r="I30" s="1"/>
      <c r="J30" s="1"/>
      <c r="K30" s="104" t="str">
        <f t="shared" si="2"/>
        <v>ADIF</v>
      </c>
      <c r="L30" s="145">
        <v>5.0</v>
      </c>
      <c r="M30" s="145">
        <v>5.0</v>
      </c>
      <c r="N30" s="145">
        <v>5.0</v>
      </c>
      <c r="O30" s="145">
        <v>5.0</v>
      </c>
      <c r="P30" s="145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Fotografer</v>
      </c>
      <c r="AF30" s="102">
        <f t="shared" si="6"/>
        <v>1</v>
      </c>
      <c r="AG30" s="102" t="str">
        <f t="shared" si="7"/>
        <v>ADIF</v>
      </c>
    </row>
    <row r="31" ht="15.75" customHeight="1">
      <c r="A31" s="1"/>
      <c r="B31" s="114">
        <v>11.0</v>
      </c>
      <c r="C31" s="115"/>
      <c r="D31" s="116"/>
      <c r="E31" s="77"/>
      <c r="F31" s="1"/>
      <c r="G31" s="1"/>
      <c r="H31" s="1"/>
      <c r="I31" s="1"/>
      <c r="J31" s="1"/>
      <c r="K31" s="104" t="str">
        <f t="shared" si="2"/>
        <v>SAKA</v>
      </c>
      <c r="L31" s="145">
        <v>5.0</v>
      </c>
      <c r="M31" s="145">
        <v>5.0</v>
      </c>
      <c r="N31" s="145">
        <v>5.0</v>
      </c>
      <c r="O31" s="145">
        <v>5.0</v>
      </c>
      <c r="P31" s="145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Fotografer</v>
      </c>
      <c r="AF31" s="102">
        <f t="shared" si="6"/>
        <v>1</v>
      </c>
      <c r="AG31" s="102" t="str">
        <f t="shared" si="7"/>
        <v>SAKA</v>
      </c>
    </row>
    <row r="32" ht="15.75" customHeight="1">
      <c r="A32" s="1"/>
      <c r="B32" s="1"/>
      <c r="C32" s="3"/>
      <c r="D32" s="117">
        <f>SUM(D21:D31)</f>
        <v>98000</v>
      </c>
      <c r="E32" s="1"/>
      <c r="F32" s="1"/>
      <c r="G32" s="1"/>
      <c r="H32" s="1"/>
      <c r="I32" s="1"/>
      <c r="J32" s="1"/>
      <c r="K32" s="104"/>
      <c r="L32" s="118"/>
      <c r="M32" s="118"/>
      <c r="N32" s="118"/>
      <c r="O32" s="118"/>
      <c r="P32" s="118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8"/>
      <c r="M33" s="118"/>
      <c r="N33" s="118"/>
      <c r="O33" s="118"/>
      <c r="P33" s="118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195</v>
      </c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1" t="s">
        <v>198</v>
      </c>
      <c r="N36" s="183"/>
      <c r="O36" s="1"/>
      <c r="P36" s="1"/>
      <c r="Q36" s="1"/>
      <c r="R36" s="1"/>
    </row>
    <row r="37" ht="15.75" customHeight="1">
      <c r="K37" s="123" t="s">
        <v>8</v>
      </c>
      <c r="L37" s="123" t="s">
        <v>200</v>
      </c>
      <c r="M37" s="123" t="s">
        <v>201</v>
      </c>
      <c r="N37" s="184" t="s">
        <v>202</v>
      </c>
    </row>
    <row r="38" ht="15.75" customHeight="1">
      <c r="K38" s="126" t="str">
        <f t="shared" ref="K38:K39" si="8">IF(O21="","",O21)</f>
        <v>INDAH</v>
      </c>
      <c r="L38" s="127">
        <v>3.0</v>
      </c>
      <c r="M38" s="129"/>
      <c r="N38" s="185"/>
    </row>
    <row r="39" ht="15.75" customHeight="1">
      <c r="K39" s="126" t="str">
        <f t="shared" si="8"/>
        <v>AMEL</v>
      </c>
      <c r="L39" s="127">
        <v>3.0</v>
      </c>
      <c r="M39" s="127" t="s">
        <v>453</v>
      </c>
      <c r="N39" s="185"/>
    </row>
    <row r="40" ht="15.75" customHeight="1"/>
    <row r="41" ht="19.5" customHeight="1">
      <c r="K41" s="132" t="s">
        <v>206</v>
      </c>
    </row>
    <row r="42" ht="19.5" customHeight="1">
      <c r="K42" s="134" t="s">
        <v>207</v>
      </c>
      <c r="M42" s="127">
        <v>20.0</v>
      </c>
    </row>
    <row r="43" ht="19.5" customHeight="1">
      <c r="K43" s="135" t="s">
        <v>208</v>
      </c>
      <c r="M43" s="138">
        <f>COUNTIF($I$4:$I$19,"DP")</f>
        <v>6</v>
      </c>
    </row>
    <row r="44" ht="19.5" customHeight="1">
      <c r="K44" s="135" t="s">
        <v>210</v>
      </c>
      <c r="M44" s="138">
        <f>COUNTIFS($I$4:$I$19,"&lt;&gt;DP",$I$4:$I$19,"&lt;&gt;")</f>
        <v>5</v>
      </c>
    </row>
    <row r="45" ht="19.5" customHeight="1">
      <c r="K45" s="139" t="s">
        <v>211</v>
      </c>
      <c r="M45" s="138">
        <f>M43+M44</f>
        <v>11</v>
      </c>
    </row>
    <row r="46" ht="19.5" customHeight="1">
      <c r="K46" s="134" t="s">
        <v>212</v>
      </c>
      <c r="M46" s="141">
        <f>IF(OR(M42="",M42=0),"",M43/M42)</f>
        <v>0.3</v>
      </c>
    </row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2:L42"/>
    <mergeCell ref="K43:L43"/>
    <mergeCell ref="K44:L44"/>
    <mergeCell ref="K45:L45"/>
    <mergeCell ref="K46:L46"/>
    <mergeCell ref="L2:L3"/>
    <mergeCell ref="M2:M3"/>
    <mergeCell ref="N2:P2"/>
    <mergeCell ref="K26:P26"/>
    <mergeCell ref="K34:P34"/>
    <mergeCell ref="K36:M36"/>
    <mergeCell ref="K41:M41"/>
  </mergeCells>
  <conditionalFormatting sqref="I4:I19">
    <cfRule type="expression" dxfId="0" priority="1">
      <formula>I4="DP"</formula>
    </cfRule>
  </conditionalFormatting>
  <conditionalFormatting sqref="I4:I19">
    <cfRule type="expression" dxfId="1" priority="2">
      <formula>I4="Lunas"</formula>
    </cfRule>
  </conditionalFormatting>
  <conditionalFormatting sqref="J4:K19">
    <cfRule type="expression" dxfId="2" priority="3">
      <formula>OR(J4="Uploaded",J4="Delivered")</formula>
    </cfRule>
  </conditionalFormatting>
  <dataValidations>
    <dataValidation type="list" allowBlank="1" showDropDown="1" showErrorMessage="1" sqref="I4:I16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M4:M16">
      <formula1>"-,VERO,FADEL,PENTIL,FAHME,ADIF,SAKA"</formula1>
    </dataValidation>
    <dataValidation type="list" allowBlank="1" showDropDown="1" showErrorMessage="1" sqref="J4:K16">
      <formula1>"-,Pending,Uploaded"</formula1>
    </dataValidation>
    <dataValidation type="list" allowBlank="1" sqref="K28:K33">
      <formula1>'Resume Karyawan KPI'!$AK$5:$AK$15</formula1>
    </dataValidation>
    <dataValidation type="list" allowBlank="1" showDropDown="1" showErrorMessage="1" sqref="D4:D16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6">
      <formula1>"-,Pending,Progress,Uploaded"</formula1>
    </dataValidation>
    <dataValidation type="list" allowBlank="1" sqref="O21:O24">
      <formula1>"INDAH,ADDEL,AMEL,PENTIL,JIJANG,HANIF,FAHME,ADIF,ABROR,FADEL,SAKA"</formula1>
    </dataValidation>
    <dataValidation type="list" allowBlank="1" showErrorMessage="1" sqref="O4:O16">
      <formula1>"-,In Pikako,In Foxe"</formula1>
    </dataValidation>
    <dataValidation type="list" allowBlank="1" showDropDown="1" showErrorMessage="1" sqref="L4:L16">
      <formula1>"-,JIJANG,AXEL,PENTIL,FAHME,INDAH,AMEL,dip"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1.5"/>
    <col customWidth="1" min="17" max="17" width="22.88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444</v>
      </c>
      <c r="D4" s="19" t="s">
        <v>54</v>
      </c>
      <c r="E4" s="17"/>
      <c r="F4" s="157">
        <v>46318.0</v>
      </c>
      <c r="G4" s="159"/>
      <c r="H4" s="30">
        <v>100000.0</v>
      </c>
      <c r="I4" s="32" t="s">
        <v>24</v>
      </c>
      <c r="J4" s="18"/>
      <c r="K4" s="18"/>
      <c r="L4" s="32" t="s">
        <v>28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445</v>
      </c>
      <c r="D5" s="19" t="s">
        <v>54</v>
      </c>
      <c r="E5" s="17"/>
      <c r="F5" s="157">
        <v>46319.0</v>
      </c>
      <c r="G5" s="159"/>
      <c r="H5" s="30">
        <v>100000.0</v>
      </c>
      <c r="I5" s="32" t="s">
        <v>24</v>
      </c>
      <c r="J5" s="18"/>
      <c r="K5" s="18"/>
      <c r="L5" s="32" t="s">
        <v>28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446</v>
      </c>
      <c r="D6" s="19" t="s">
        <v>67</v>
      </c>
      <c r="E6" s="24" t="s">
        <v>447</v>
      </c>
      <c r="F6" s="157">
        <v>46317.0</v>
      </c>
      <c r="G6" s="159"/>
      <c r="H6" s="30">
        <v>250000.0</v>
      </c>
      <c r="I6" s="32" t="s">
        <v>25</v>
      </c>
      <c r="J6" s="18"/>
      <c r="K6" s="18"/>
      <c r="L6" s="32" t="s">
        <v>28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448</v>
      </c>
      <c r="D7" s="19" t="s">
        <v>54</v>
      </c>
      <c r="E7" s="17"/>
      <c r="F7" s="157">
        <v>46317.0</v>
      </c>
      <c r="G7" s="159"/>
      <c r="H7" s="30">
        <v>100000.0</v>
      </c>
      <c r="I7" s="32" t="s">
        <v>24</v>
      </c>
      <c r="J7" s="18"/>
      <c r="K7" s="18"/>
      <c r="L7" s="32" t="s">
        <v>28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151" t="s">
        <v>449</v>
      </c>
      <c r="D8" s="19" t="s">
        <v>22</v>
      </c>
      <c r="E8" s="17"/>
      <c r="F8" s="157">
        <v>46317.0</v>
      </c>
      <c r="G8" s="159"/>
      <c r="H8" s="30">
        <v>100000.0</v>
      </c>
      <c r="I8" s="32" t="s">
        <v>24</v>
      </c>
      <c r="J8" s="18"/>
      <c r="K8" s="18"/>
      <c r="L8" s="32" t="s">
        <v>28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450</v>
      </c>
      <c r="D9" s="19" t="s">
        <v>22</v>
      </c>
      <c r="E9" s="17"/>
      <c r="F9" s="157">
        <v>46317.0</v>
      </c>
      <c r="G9" s="159"/>
      <c r="H9" s="30">
        <v>100000.0</v>
      </c>
      <c r="I9" s="32" t="s">
        <v>24</v>
      </c>
      <c r="J9" s="18"/>
      <c r="K9" s="18"/>
      <c r="L9" s="32" t="s">
        <v>28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151</v>
      </c>
      <c r="D10" s="19" t="s">
        <v>34</v>
      </c>
      <c r="E10" s="24" t="s">
        <v>197</v>
      </c>
      <c r="F10" s="53">
        <v>46316.0</v>
      </c>
      <c r="G10" s="161">
        <v>200000.0</v>
      </c>
      <c r="H10" s="60"/>
      <c r="I10" s="32" t="s">
        <v>25</v>
      </c>
      <c r="J10" s="32" t="s">
        <v>26</v>
      </c>
      <c r="K10" s="32" t="s">
        <v>40</v>
      </c>
      <c r="L10" s="32" t="s">
        <v>28</v>
      </c>
      <c r="M10" s="32" t="s">
        <v>59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360</v>
      </c>
      <c r="D11" s="19" t="s">
        <v>54</v>
      </c>
      <c r="E11" s="17"/>
      <c r="F11" s="157">
        <v>46316.0</v>
      </c>
      <c r="G11" s="161">
        <v>150000.0</v>
      </c>
      <c r="H11" s="60"/>
      <c r="I11" s="32" t="s">
        <v>25</v>
      </c>
      <c r="J11" s="32" t="s">
        <v>26</v>
      </c>
      <c r="K11" s="32" t="s">
        <v>27</v>
      </c>
      <c r="L11" s="32" t="s">
        <v>29</v>
      </c>
      <c r="M11" s="32" t="s">
        <v>59</v>
      </c>
      <c r="N11" s="38"/>
      <c r="O11" s="38"/>
      <c r="P11" s="38"/>
      <c r="Q11" s="192" t="s">
        <v>451</v>
      </c>
      <c r="R11" s="1"/>
    </row>
    <row r="12" ht="15.75" customHeight="1">
      <c r="A12" s="1"/>
      <c r="B12" s="18"/>
      <c r="C12" s="20" t="s">
        <v>452</v>
      </c>
      <c r="D12" s="19" t="s">
        <v>54</v>
      </c>
      <c r="E12" s="17"/>
      <c r="F12" s="157">
        <v>46316.0</v>
      </c>
      <c r="G12" s="161">
        <v>525000.0</v>
      </c>
      <c r="H12" s="30"/>
      <c r="I12" s="32" t="s">
        <v>25</v>
      </c>
      <c r="J12" s="32" t="s">
        <v>26</v>
      </c>
      <c r="K12" s="32" t="s">
        <v>27</v>
      </c>
      <c r="L12" s="32" t="s">
        <v>29</v>
      </c>
      <c r="M12" s="32" t="s">
        <v>59</v>
      </c>
      <c r="N12" s="38"/>
      <c r="O12" s="38"/>
      <c r="P12" s="38"/>
      <c r="Q12" s="1"/>
      <c r="R12" s="1"/>
    </row>
    <row r="13" ht="15.75" customHeight="1">
      <c r="A13" s="1"/>
      <c r="B13" s="18"/>
      <c r="C13" s="20" t="s">
        <v>454</v>
      </c>
      <c r="D13" s="19" t="s">
        <v>54</v>
      </c>
      <c r="E13" s="17"/>
      <c r="F13" s="157">
        <v>46321.0</v>
      </c>
      <c r="G13" s="159"/>
      <c r="H13" s="30">
        <v>100000.0</v>
      </c>
      <c r="I13" s="32" t="s">
        <v>24</v>
      </c>
      <c r="J13" s="18"/>
      <c r="K13" s="18"/>
      <c r="L13" s="32" t="s">
        <v>29</v>
      </c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20" t="s">
        <v>455</v>
      </c>
      <c r="D14" s="19" t="s">
        <v>54</v>
      </c>
      <c r="E14" s="17"/>
      <c r="F14" s="157">
        <v>46318.0</v>
      </c>
      <c r="G14" s="159"/>
      <c r="H14" s="30">
        <v>300000.0</v>
      </c>
      <c r="I14" s="32" t="s">
        <v>25</v>
      </c>
      <c r="J14" s="18"/>
      <c r="K14" s="18"/>
      <c r="L14" s="32" t="s">
        <v>29</v>
      </c>
      <c r="M14" s="18"/>
      <c r="N14" s="38"/>
      <c r="O14" s="38"/>
      <c r="P14" s="38"/>
      <c r="Q14" s="1"/>
      <c r="R14" s="1"/>
    </row>
    <row r="15" ht="15.75" customHeight="1">
      <c r="A15" s="1"/>
      <c r="B15" s="18"/>
      <c r="C15" s="20" t="s">
        <v>326</v>
      </c>
      <c r="D15" s="19" t="s">
        <v>75</v>
      </c>
      <c r="E15" s="17"/>
      <c r="F15" s="157">
        <v>46316.0</v>
      </c>
      <c r="G15" s="159"/>
      <c r="H15" s="30">
        <v>50000.0</v>
      </c>
      <c r="I15" s="32" t="s">
        <v>25</v>
      </c>
      <c r="J15" s="32" t="s">
        <v>26</v>
      </c>
      <c r="K15" s="32" t="s">
        <v>27</v>
      </c>
      <c r="L15" s="32" t="s">
        <v>29</v>
      </c>
      <c r="M15" s="32" t="s">
        <v>42</v>
      </c>
      <c r="N15" s="38"/>
      <c r="O15" s="38"/>
      <c r="P15" s="38"/>
      <c r="Q15" s="1"/>
      <c r="R15" s="1"/>
    </row>
    <row r="16" ht="15.75" customHeight="1">
      <c r="A16" s="1"/>
      <c r="B16" s="18"/>
      <c r="C16" s="20" t="s">
        <v>457</v>
      </c>
      <c r="D16" s="19" t="s">
        <v>54</v>
      </c>
      <c r="E16" s="17"/>
      <c r="F16" s="157">
        <v>46316.0</v>
      </c>
      <c r="G16" s="159"/>
      <c r="H16" s="30">
        <v>50000.0</v>
      </c>
      <c r="I16" s="32" t="s">
        <v>25</v>
      </c>
      <c r="J16" s="32" t="s">
        <v>26</v>
      </c>
      <c r="K16" s="32" t="s">
        <v>27</v>
      </c>
      <c r="L16" s="32" t="s">
        <v>29</v>
      </c>
      <c r="M16" s="32" t="s">
        <v>42</v>
      </c>
      <c r="N16" s="38"/>
      <c r="O16" s="38"/>
      <c r="P16" s="38"/>
      <c r="Q16" s="1"/>
      <c r="R16" s="1"/>
    </row>
    <row r="17" ht="15.75" customHeight="1">
      <c r="A17" s="1"/>
      <c r="B17" s="18"/>
      <c r="C17" s="20" t="s">
        <v>387</v>
      </c>
      <c r="D17" s="19" t="s">
        <v>54</v>
      </c>
      <c r="E17" s="193">
        <v>0.2</v>
      </c>
      <c r="F17" s="157">
        <v>46316.0</v>
      </c>
      <c r="G17" s="159"/>
      <c r="H17" s="30">
        <v>360000.0</v>
      </c>
      <c r="I17" s="32" t="s">
        <v>25</v>
      </c>
      <c r="J17" s="32" t="s">
        <v>26</v>
      </c>
      <c r="K17" s="32" t="s">
        <v>26</v>
      </c>
      <c r="L17" s="32" t="s">
        <v>29</v>
      </c>
      <c r="M17" s="32" t="s">
        <v>42</v>
      </c>
      <c r="N17" s="38"/>
      <c r="O17" s="38"/>
      <c r="P17" s="38"/>
      <c r="Q17" s="1"/>
      <c r="R17" s="1"/>
    </row>
    <row r="18" ht="15.75" customHeight="1">
      <c r="A18" s="1"/>
      <c r="B18" s="18"/>
      <c r="C18" s="20" t="s">
        <v>459</v>
      </c>
      <c r="D18" s="19" t="s">
        <v>54</v>
      </c>
      <c r="E18" s="17"/>
      <c r="F18" s="157">
        <v>46316.0</v>
      </c>
      <c r="G18" s="159"/>
      <c r="H18" s="30">
        <v>800000.0</v>
      </c>
      <c r="I18" s="32" t="s">
        <v>25</v>
      </c>
      <c r="J18" s="32" t="s">
        <v>26</v>
      </c>
      <c r="K18" s="32" t="s">
        <v>26</v>
      </c>
      <c r="L18" s="32" t="s">
        <v>29</v>
      </c>
      <c r="M18" s="32" t="s">
        <v>42</v>
      </c>
      <c r="N18" s="38"/>
      <c r="O18" s="38"/>
      <c r="P18" s="38"/>
      <c r="Q18" s="1"/>
      <c r="R18" s="1"/>
    </row>
    <row r="19" ht="15.75" customHeight="1">
      <c r="A19" s="1"/>
      <c r="B19" s="18">
        <v>9.0</v>
      </c>
      <c r="C19" s="78"/>
      <c r="D19" s="59"/>
      <c r="E19" s="17"/>
      <c r="F19" s="178"/>
      <c r="G19" s="159"/>
      <c r="H19" s="60"/>
      <c r="I19" s="18"/>
      <c r="J19" s="18"/>
      <c r="K19" s="18"/>
      <c r="L19" s="18"/>
      <c r="M19" s="18"/>
      <c r="N19" s="38"/>
      <c r="O19" s="38"/>
      <c r="P19" s="38"/>
      <c r="Q19" s="1"/>
      <c r="R19" s="1"/>
    </row>
    <row r="20" ht="15.75" customHeight="1">
      <c r="A20" s="1"/>
      <c r="B20" s="18">
        <v>10.0</v>
      </c>
      <c r="C20" s="78"/>
      <c r="D20" s="59"/>
      <c r="E20" s="17"/>
      <c r="F20" s="178"/>
      <c r="G20" s="159"/>
      <c r="H20" s="60"/>
      <c r="I20" s="18"/>
      <c r="J20" s="18"/>
      <c r="K20" s="18"/>
      <c r="L20" s="18"/>
      <c r="M20" s="18"/>
      <c r="N20" s="38"/>
      <c r="O20" s="38"/>
      <c r="P20" s="38"/>
      <c r="Q20" s="1"/>
      <c r="R20" s="1"/>
    </row>
    <row r="21" ht="18.75" customHeight="1">
      <c r="A21" s="1"/>
      <c r="B21" s="1"/>
      <c r="C21" s="3"/>
      <c r="D21" s="3"/>
      <c r="E21" s="1"/>
      <c r="F21" s="1"/>
      <c r="G21" s="119">
        <f t="shared" ref="G21:H21" si="1">SUM(G4:G20)</f>
        <v>875000</v>
      </c>
      <c r="H21" s="70">
        <f t="shared" si="1"/>
        <v>2410000</v>
      </c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23.2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71" t="s">
        <v>1</v>
      </c>
      <c r="C24" s="72" t="s">
        <v>7</v>
      </c>
      <c r="D24" s="72" t="s">
        <v>120</v>
      </c>
      <c r="E24" s="1"/>
      <c r="F24" s="1"/>
      <c r="G24" s="1"/>
      <c r="H24" s="1"/>
      <c r="I24" s="1"/>
      <c r="J24" s="1"/>
      <c r="K24" s="1"/>
      <c r="L24" s="1"/>
      <c r="M24" s="1"/>
      <c r="N24" s="72" t="s">
        <v>121</v>
      </c>
      <c r="O24" s="72" t="s">
        <v>2</v>
      </c>
      <c r="P24" s="1"/>
      <c r="Q24" s="1"/>
      <c r="R24" s="1"/>
    </row>
    <row r="25" ht="15.75" customHeight="1">
      <c r="A25" s="1"/>
      <c r="B25" s="73">
        <v>1.0</v>
      </c>
      <c r="C25" s="75" t="s">
        <v>124</v>
      </c>
      <c r="D25" s="76">
        <f>SUM(G21)</f>
        <v>875000</v>
      </c>
      <c r="E25" s="77"/>
      <c r="F25" s="1"/>
      <c r="G25" s="1"/>
      <c r="H25" s="1"/>
      <c r="I25" s="1"/>
      <c r="J25" s="1"/>
      <c r="K25" s="1"/>
      <c r="L25" s="1"/>
      <c r="M25" s="1"/>
      <c r="N25" s="79" t="s">
        <v>128</v>
      </c>
      <c r="O25" s="80" t="s">
        <v>28</v>
      </c>
      <c r="P25" s="1"/>
      <c r="Q25" s="1"/>
      <c r="R25" s="1"/>
    </row>
    <row r="26" ht="15.75" customHeight="1">
      <c r="A26" s="1"/>
      <c r="B26" s="82">
        <v>2.0</v>
      </c>
      <c r="C26" s="92"/>
      <c r="D26" s="93"/>
      <c r="E26" s="77"/>
      <c r="F26" s="1"/>
      <c r="G26" s="1"/>
      <c r="H26" s="1"/>
      <c r="I26" s="1"/>
      <c r="J26" s="1"/>
      <c r="K26" s="1"/>
      <c r="L26" s="1"/>
      <c r="M26" s="1"/>
      <c r="N26" s="85" t="s">
        <v>132</v>
      </c>
      <c r="O26" s="86" t="s">
        <v>29</v>
      </c>
      <c r="P26" s="1"/>
      <c r="Q26" s="1"/>
      <c r="R26" s="1"/>
    </row>
    <row r="27" ht="15.75" customHeight="1">
      <c r="A27" s="1"/>
      <c r="B27" s="73">
        <v>3.0</v>
      </c>
      <c r="C27" s="75"/>
      <c r="D27" s="76"/>
      <c r="E27" s="77"/>
      <c r="F27" s="1"/>
      <c r="G27" s="1"/>
      <c r="H27" s="1"/>
      <c r="I27" s="1"/>
      <c r="J27" s="1"/>
      <c r="K27" s="1"/>
      <c r="L27" s="1"/>
      <c r="M27" s="1"/>
      <c r="N27" s="88" t="s">
        <v>136</v>
      </c>
      <c r="O27" s="89" t="s">
        <v>59</v>
      </c>
      <c r="P27" s="1"/>
      <c r="Q27" s="1"/>
      <c r="R27" s="1"/>
    </row>
    <row r="28" ht="15.75" customHeight="1">
      <c r="A28" s="1"/>
      <c r="B28" s="82">
        <v>4.0</v>
      </c>
      <c r="C28" s="92"/>
      <c r="D28" s="93"/>
      <c r="E28" s="77"/>
      <c r="F28" s="1"/>
      <c r="G28" s="1"/>
      <c r="H28" s="1"/>
      <c r="I28" s="1"/>
      <c r="J28" s="1"/>
      <c r="K28" s="1"/>
      <c r="L28" s="1"/>
      <c r="M28" s="1"/>
      <c r="N28" s="95" t="s">
        <v>147</v>
      </c>
      <c r="O28" s="86" t="s">
        <v>42</v>
      </c>
      <c r="P28" s="1"/>
      <c r="Q28" s="1"/>
      <c r="R28" s="1"/>
    </row>
    <row r="29" ht="15.75" customHeight="1">
      <c r="A29" s="1"/>
      <c r="B29" s="73">
        <v>5.0</v>
      </c>
      <c r="C29" s="75"/>
      <c r="D29" s="76"/>
      <c r="E29" s="77"/>
      <c r="F29" s="1"/>
      <c r="G29" s="1"/>
      <c r="H29" s="1"/>
      <c r="I29" s="1"/>
      <c r="J29" s="1"/>
      <c r="K29" s="1"/>
      <c r="L29" s="1"/>
      <c r="M29" s="1"/>
      <c r="N29" s="98"/>
      <c r="O29" s="1"/>
      <c r="P29" s="1"/>
      <c r="Q29" s="1"/>
      <c r="R29" s="1"/>
    </row>
    <row r="30" ht="15.75" customHeight="1">
      <c r="A30" s="1"/>
      <c r="B30" s="82">
        <v>6.0</v>
      </c>
      <c r="C30" s="92"/>
      <c r="D30" s="93"/>
      <c r="E30" s="77"/>
      <c r="F30" s="1"/>
      <c r="G30" s="1"/>
      <c r="H30" s="1"/>
      <c r="I30" s="1"/>
      <c r="J30" s="1"/>
      <c r="K30" s="100" t="s">
        <v>150</v>
      </c>
      <c r="Q30" s="1"/>
      <c r="R30" s="1"/>
    </row>
    <row r="31" ht="15.75" customHeight="1">
      <c r="A31" s="1"/>
      <c r="B31" s="73">
        <v>7.0</v>
      </c>
      <c r="C31" s="75"/>
      <c r="D31" s="76"/>
      <c r="E31" s="77"/>
      <c r="F31" s="1"/>
      <c r="G31" s="1"/>
      <c r="H31" s="1"/>
      <c r="I31" s="1"/>
      <c r="J31" s="1"/>
      <c r="K31" s="101" t="s">
        <v>2</v>
      </c>
      <c r="L31" s="101" t="s">
        <v>153</v>
      </c>
      <c r="M31" s="101" t="s">
        <v>155</v>
      </c>
      <c r="N31" s="101" t="s">
        <v>156</v>
      </c>
      <c r="O31" s="101" t="s">
        <v>157</v>
      </c>
      <c r="P31" s="101" t="s">
        <v>158</v>
      </c>
      <c r="Q31" s="1"/>
      <c r="R31" s="1"/>
      <c r="AC31" s="102" t="s">
        <v>159</v>
      </c>
      <c r="AD31" s="102" t="s">
        <v>160</v>
      </c>
      <c r="AE31" s="102" t="s">
        <v>161</v>
      </c>
      <c r="AF31" s="102" t="s">
        <v>163</v>
      </c>
      <c r="AG31" s="102" t="s">
        <v>164</v>
      </c>
    </row>
    <row r="32" ht="15.75" customHeight="1">
      <c r="A32" s="1"/>
      <c r="B32" s="82">
        <v>8.0</v>
      </c>
      <c r="C32" s="92"/>
      <c r="D32" s="93"/>
      <c r="E32" s="77"/>
      <c r="F32" s="1"/>
      <c r="G32" s="1"/>
      <c r="H32" s="1"/>
      <c r="I32" s="1"/>
      <c r="J32" s="1"/>
      <c r="K32" s="104" t="str">
        <f t="shared" ref="K32:K35" si="2">IF(O25="","",O25)</f>
        <v>AMEL</v>
      </c>
      <c r="L32" s="180">
        <v>4.0</v>
      </c>
      <c r="M32" s="180">
        <v>4.0</v>
      </c>
      <c r="N32" s="180">
        <v>5.0</v>
      </c>
      <c r="O32" s="180">
        <v>5.0</v>
      </c>
      <c r="P32" s="180">
        <v>3.0</v>
      </c>
      <c r="Q32" s="1"/>
      <c r="R32" s="1"/>
      <c r="AC32" s="102">
        <f t="shared" ref="AC32:AC37" si="3">IF(AG32="","",IF(COUNT(L32:P32)&lt;5,"",L32/5*20+M32/5*25+N32/5*25+O32/5*15+P32/5*15))</f>
        <v>85</v>
      </c>
      <c r="AD32" s="102" t="str">
        <f t="shared" ref="AD32:AD37" si="4">IF(AC32="","",IF(AC32&gt;=90,"Sangat Baik",IF(AC32&gt;=80,"Baik",IF(AC32&gt;=70,"Coaching","Underperform"))))</f>
        <v>Baik</v>
      </c>
      <c r="AE32" s="102" t="str">
        <f t="shared" ref="AE32:AE37" si="5">IF(AG32="","",IF(OR(AG32="INDAH",AG32="ADDEL",AG32="AMEL",AG32="PENTIL",AG32="JIJANG"),"Admin/CS","Fotografer"))</f>
        <v>Admin/CS</v>
      </c>
      <c r="AF32" s="102">
        <f t="shared" ref="AF32:AF37" si="6">IF(OR(AG32="",COUNT(L32:P32)&lt;5),"",1)</f>
        <v>1</v>
      </c>
      <c r="AG32" s="102" t="str">
        <f t="shared" ref="AG32:AG37" si="7">IFERROR(K32,"")</f>
        <v>AMEL</v>
      </c>
    </row>
    <row r="33" ht="15.75" customHeight="1">
      <c r="A33" s="1"/>
      <c r="B33" s="73">
        <v>9.0</v>
      </c>
      <c r="C33" s="75"/>
      <c r="D33" s="76"/>
      <c r="E33" s="77"/>
      <c r="F33" s="1"/>
      <c r="G33" s="1"/>
      <c r="H33" s="1"/>
      <c r="I33" s="1"/>
      <c r="J33" s="1"/>
      <c r="K33" s="104" t="str">
        <f t="shared" si="2"/>
        <v>INDAH</v>
      </c>
      <c r="L33" s="180">
        <v>5.0</v>
      </c>
      <c r="M33" s="180">
        <v>5.0</v>
      </c>
      <c r="N33" s="180">
        <v>5.0</v>
      </c>
      <c r="O33" s="180">
        <v>5.0</v>
      </c>
      <c r="P33" s="180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Admin/CS</v>
      </c>
      <c r="AF33" s="102">
        <f t="shared" si="6"/>
        <v>1</v>
      </c>
      <c r="AG33" s="102" t="str">
        <f t="shared" si="7"/>
        <v>INDAH</v>
      </c>
    </row>
    <row r="34" ht="15.75" customHeight="1">
      <c r="A34" s="1"/>
      <c r="B34" s="82">
        <v>10.0</v>
      </c>
      <c r="C34" s="92"/>
      <c r="D34" s="93"/>
      <c r="E34" s="77"/>
      <c r="F34" s="1"/>
      <c r="G34" s="1"/>
      <c r="H34" s="1"/>
      <c r="I34" s="1"/>
      <c r="J34" s="1"/>
      <c r="K34" s="104" t="str">
        <f t="shared" si="2"/>
        <v>SAKA</v>
      </c>
      <c r="L34" s="180">
        <v>4.0</v>
      </c>
      <c r="M34" s="180">
        <v>5.0</v>
      </c>
      <c r="N34" s="180">
        <v>5.0</v>
      </c>
      <c r="O34" s="180">
        <v>5.0</v>
      </c>
      <c r="P34" s="180">
        <v>5.0</v>
      </c>
      <c r="Q34" s="1"/>
      <c r="R34" s="1"/>
      <c r="AC34" s="102">
        <f t="shared" si="3"/>
        <v>96</v>
      </c>
      <c r="AD34" s="102" t="str">
        <f t="shared" si="4"/>
        <v>Sangat Baik</v>
      </c>
      <c r="AE34" s="102" t="str">
        <f t="shared" si="5"/>
        <v>Fotografer</v>
      </c>
      <c r="AF34" s="102">
        <f t="shared" si="6"/>
        <v>1</v>
      </c>
      <c r="AG34" s="102" t="str">
        <f t="shared" si="7"/>
        <v>SAKA</v>
      </c>
    </row>
    <row r="35" ht="15.75" customHeight="1">
      <c r="A35" s="1"/>
      <c r="B35" s="114">
        <v>11.0</v>
      </c>
      <c r="C35" s="115"/>
      <c r="D35" s="116"/>
      <c r="E35" s="77"/>
      <c r="F35" s="1"/>
      <c r="G35" s="1"/>
      <c r="H35" s="1"/>
      <c r="I35" s="1"/>
      <c r="J35" s="1"/>
      <c r="K35" s="104" t="str">
        <f t="shared" si="2"/>
        <v>ADIF</v>
      </c>
      <c r="L35" s="180">
        <v>5.0</v>
      </c>
      <c r="M35" s="180">
        <v>5.0</v>
      </c>
      <c r="N35" s="180">
        <v>5.0</v>
      </c>
      <c r="O35" s="180">
        <v>5.0</v>
      </c>
      <c r="P35" s="180">
        <v>5.0</v>
      </c>
      <c r="Q35" s="1"/>
      <c r="R35" s="1"/>
      <c r="AC35" s="102">
        <f t="shared" si="3"/>
        <v>100</v>
      </c>
      <c r="AD35" s="102" t="str">
        <f t="shared" si="4"/>
        <v>Sangat Baik</v>
      </c>
      <c r="AE35" s="102" t="str">
        <f t="shared" si="5"/>
        <v>Fotografer</v>
      </c>
      <c r="AF35" s="102">
        <f t="shared" si="6"/>
        <v>1</v>
      </c>
      <c r="AG35" s="102" t="str">
        <f t="shared" si="7"/>
        <v>ADIF</v>
      </c>
    </row>
    <row r="36" ht="15.75" customHeight="1">
      <c r="A36" s="1"/>
      <c r="B36" s="1"/>
      <c r="C36" s="3"/>
      <c r="D36" s="117">
        <f>SUM(D25:D35)</f>
        <v>875000</v>
      </c>
      <c r="E36" s="1"/>
      <c r="F36" s="1"/>
      <c r="G36" s="1"/>
      <c r="H36" s="1"/>
      <c r="I36" s="1"/>
      <c r="J36" s="1"/>
      <c r="K36" s="104"/>
      <c r="L36" s="118"/>
      <c r="M36" s="118"/>
      <c r="N36" s="118"/>
      <c r="O36" s="118"/>
      <c r="P36" s="118"/>
      <c r="Q36" s="1"/>
      <c r="R36" s="1"/>
      <c r="AC36" s="102" t="str">
        <f t="shared" si="3"/>
        <v/>
      </c>
      <c r="AD36" s="102" t="str">
        <f t="shared" si="4"/>
        <v/>
      </c>
      <c r="AE36" s="102" t="str">
        <f t="shared" si="5"/>
        <v/>
      </c>
      <c r="AF36" s="102" t="str">
        <f t="shared" si="6"/>
        <v/>
      </c>
      <c r="AG36" s="102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04"/>
      <c r="L37" s="118"/>
      <c r="M37" s="118"/>
      <c r="N37" s="118"/>
      <c r="O37" s="118"/>
      <c r="P37" s="118"/>
      <c r="Q37" s="1"/>
      <c r="R37" s="1"/>
      <c r="AC37" s="102" t="str">
        <f t="shared" si="3"/>
        <v/>
      </c>
      <c r="AD37" s="102" t="str">
        <f t="shared" si="4"/>
        <v/>
      </c>
      <c r="AE37" s="102" t="str">
        <f t="shared" si="5"/>
        <v/>
      </c>
      <c r="AF37" s="102" t="str">
        <f t="shared" si="6"/>
        <v/>
      </c>
      <c r="AG37" s="102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0" t="s">
        <v>195</v>
      </c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21" t="s">
        <v>198</v>
      </c>
      <c r="N40" s="183"/>
      <c r="O40" s="1"/>
      <c r="P40" s="1"/>
      <c r="Q40" s="1"/>
      <c r="R40" s="1"/>
    </row>
    <row r="41" ht="15.75" customHeight="1">
      <c r="K41" s="123" t="s">
        <v>8</v>
      </c>
      <c r="L41" s="123" t="s">
        <v>200</v>
      </c>
      <c r="M41" s="123" t="s">
        <v>201</v>
      </c>
      <c r="N41" s="184" t="s">
        <v>202</v>
      </c>
    </row>
    <row r="42" ht="15.75" customHeight="1">
      <c r="K42" s="126" t="str">
        <f t="shared" ref="K42:K43" si="8">IF(O25="","",O25)</f>
        <v>AMEL</v>
      </c>
      <c r="L42" s="127">
        <v>6.0</v>
      </c>
      <c r="M42" s="129"/>
      <c r="N42" s="185"/>
    </row>
    <row r="43" ht="15.75" customHeight="1">
      <c r="K43" s="126" t="str">
        <f t="shared" si="8"/>
        <v>INDAH</v>
      </c>
      <c r="L43" s="127">
        <v>2.0</v>
      </c>
      <c r="M43" s="129"/>
      <c r="N43" s="185"/>
    </row>
    <row r="44" ht="15.75" customHeight="1"/>
    <row r="45" ht="19.5" customHeight="1">
      <c r="K45" s="132" t="s">
        <v>206</v>
      </c>
    </row>
    <row r="46" ht="19.5" customHeight="1">
      <c r="K46" s="134" t="s">
        <v>207</v>
      </c>
      <c r="M46" s="127">
        <v>29.0</v>
      </c>
    </row>
    <row r="47" ht="19.5" customHeight="1">
      <c r="K47" s="135" t="s">
        <v>208</v>
      </c>
      <c r="M47" s="195">
        <v>6.0</v>
      </c>
    </row>
    <row r="48" ht="19.5" customHeight="1">
      <c r="K48" s="135" t="s">
        <v>210</v>
      </c>
      <c r="M48" s="150">
        <v>7.0</v>
      </c>
    </row>
    <row r="49" ht="19.5" customHeight="1">
      <c r="K49" s="139" t="s">
        <v>211</v>
      </c>
      <c r="M49" s="150">
        <v>13.0</v>
      </c>
    </row>
    <row r="50" ht="19.5" customHeight="1">
      <c r="K50" s="134" t="s">
        <v>212</v>
      </c>
      <c r="M50" s="141">
        <f>IF(OR(M46="",M46=0),"",M47/M46)</f>
        <v>0.2068965517</v>
      </c>
    </row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6:L46"/>
    <mergeCell ref="K47:L47"/>
    <mergeCell ref="K48:L48"/>
    <mergeCell ref="K49:L49"/>
    <mergeCell ref="K50:L50"/>
    <mergeCell ref="L2:L3"/>
    <mergeCell ref="M2:M3"/>
    <mergeCell ref="N2:P2"/>
    <mergeCell ref="K30:P30"/>
    <mergeCell ref="K38:P38"/>
    <mergeCell ref="K40:M40"/>
    <mergeCell ref="K45:M45"/>
  </mergeCells>
  <conditionalFormatting sqref="I4:I23">
    <cfRule type="expression" dxfId="0" priority="1">
      <formula>I4="DP"</formula>
    </cfRule>
  </conditionalFormatting>
  <conditionalFormatting sqref="I4:I23">
    <cfRule type="expression" dxfId="1" priority="2">
      <formula>I4="Lunas"</formula>
    </cfRule>
  </conditionalFormatting>
  <conditionalFormatting sqref="J4:K23">
    <cfRule type="expression" dxfId="2" priority="3">
      <formula>OR(J4="Uploaded",J4="Delivered")</formula>
    </cfRule>
  </conditionalFormatting>
  <dataValidations>
    <dataValidation type="list" allowBlank="1" showDropDown="1" showErrorMessage="1" sqref="I4:I20">
      <formula1>"-,DP,Lunas"</formula1>
    </dataValidation>
    <dataValidation type="list" allowBlank="1" sqref="L32:P37">
      <formula1>"1,2,3,4,5"</formula1>
    </dataValidation>
    <dataValidation type="list" allowBlank="1" showDropDown="1" showErrorMessage="1" sqref="J4:K20">
      <formula1>"-,Pending,Uploaded"</formula1>
    </dataValidation>
    <dataValidation type="list" allowBlank="1" sqref="K32:K37">
      <formula1>'Resume Karyawan KPI'!$AK$5:$AK$15</formula1>
    </dataValidation>
    <dataValidation type="list" allowBlank="1" showDropDown="1" showErrorMessage="1" sqref="M4:M20">
      <formula1>"-,VERO,FADEL,PENTIL,FAHME,SAKA,ADIF"</formula1>
    </dataValidation>
    <dataValidation type="list" allowBlank="1" showErrorMessage="1" sqref="N4:N20">
      <formula1>"-,Pending,Progress,Uploaded"</formula1>
    </dataValidation>
    <dataValidation type="list" allowBlank="1" showDropDown="1" showErrorMessage="1" sqref="D4:D20">
      <formula1>"-,Single,Couple A,Couple B,Group A,Group B,Group C,Large Group,Graduation,Graduation Premium,Family A,Family B,Maternity,Concept,Studio Rent,Pas Foto,Single,Add Person,Add Edit,Add cetak,Photofox"</formula1>
    </dataValidation>
    <dataValidation type="list" allowBlank="1" sqref="O25:O28">
      <formula1>"INDAH,ADDEL,AMEL,PENTIL,JIJANG,HANIF,FAHME,ADIF,ABROR,FADEL,SAKA"</formula1>
    </dataValidation>
    <dataValidation type="list" allowBlank="1" showErrorMessage="1" sqref="O4:O20">
      <formula1>"-,In Pikako,In Foxe"</formula1>
    </dataValidation>
    <dataValidation type="list" allowBlank="1" showDropDown="1" showErrorMessage="1" sqref="L4:L20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456</v>
      </c>
      <c r="D4" s="19" t="s">
        <v>54</v>
      </c>
      <c r="E4" s="17"/>
      <c r="F4" s="25">
        <v>46317.0</v>
      </c>
      <c r="G4" s="159"/>
      <c r="H4" s="30">
        <v>200000.0</v>
      </c>
      <c r="I4" s="32" t="s">
        <v>24</v>
      </c>
      <c r="J4" s="18"/>
      <c r="K4" s="18"/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458</v>
      </c>
      <c r="D5" s="19" t="s">
        <v>54</v>
      </c>
      <c r="E5" s="17"/>
      <c r="F5" s="25">
        <v>46317.0</v>
      </c>
      <c r="G5" s="161">
        <v>250000.0</v>
      </c>
      <c r="H5" s="60"/>
      <c r="I5" s="32" t="s">
        <v>25</v>
      </c>
      <c r="J5" s="32" t="s">
        <v>26</v>
      </c>
      <c r="K5" s="32" t="s">
        <v>26</v>
      </c>
      <c r="L5" s="32" t="s">
        <v>29</v>
      </c>
      <c r="M5" s="32" t="s">
        <v>42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460</v>
      </c>
      <c r="D6" s="19" t="s">
        <v>231</v>
      </c>
      <c r="E6" s="17"/>
      <c r="F6" s="157">
        <v>46299.0</v>
      </c>
      <c r="G6" s="159"/>
      <c r="H6" s="30">
        <v>20000.0</v>
      </c>
      <c r="I6" s="32" t="s">
        <v>25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48" t="s">
        <v>461</v>
      </c>
      <c r="D7" s="19" t="s">
        <v>22</v>
      </c>
      <c r="E7" s="17"/>
      <c r="F7" s="157">
        <v>46317.0</v>
      </c>
      <c r="G7" s="159"/>
      <c r="H7" s="30">
        <v>250000.0</v>
      </c>
      <c r="I7" s="32" t="s">
        <v>25</v>
      </c>
      <c r="J7" s="32" t="s">
        <v>26</v>
      </c>
      <c r="K7" s="32" t="s">
        <v>27</v>
      </c>
      <c r="L7" s="32" t="s">
        <v>29</v>
      </c>
      <c r="M7" s="32" t="s">
        <v>42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456</v>
      </c>
      <c r="D8" s="19" t="s">
        <v>22</v>
      </c>
      <c r="E8" s="17"/>
      <c r="F8" s="157">
        <v>46317.0</v>
      </c>
      <c r="G8" s="159"/>
      <c r="H8" s="30">
        <v>170000.0</v>
      </c>
      <c r="I8" s="32" t="s">
        <v>25</v>
      </c>
      <c r="J8" s="32" t="s">
        <v>26</v>
      </c>
      <c r="K8" s="32" t="s">
        <v>27</v>
      </c>
      <c r="L8" s="32" t="s">
        <v>29</v>
      </c>
      <c r="M8" s="32" t="s">
        <v>59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462</v>
      </c>
      <c r="D9" s="19" t="s">
        <v>54</v>
      </c>
      <c r="E9" s="17"/>
      <c r="F9" s="157">
        <v>46318.0</v>
      </c>
      <c r="G9" s="159"/>
      <c r="H9" s="30">
        <v>100000.0</v>
      </c>
      <c r="I9" s="32" t="s">
        <v>24</v>
      </c>
      <c r="J9" s="18"/>
      <c r="K9" s="18"/>
      <c r="L9" s="32" t="s">
        <v>29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463</v>
      </c>
      <c r="D10" s="19" t="s">
        <v>44</v>
      </c>
      <c r="E10" s="17"/>
      <c r="F10" s="157">
        <v>46317.0</v>
      </c>
      <c r="G10" s="161">
        <v>400000.0</v>
      </c>
      <c r="H10" s="60"/>
      <c r="I10" s="32" t="s">
        <v>25</v>
      </c>
      <c r="J10" s="32" t="s">
        <v>26</v>
      </c>
      <c r="K10" s="32" t="s">
        <v>27</v>
      </c>
      <c r="L10" s="32" t="s">
        <v>29</v>
      </c>
      <c r="M10" s="32" t="s">
        <v>42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464</v>
      </c>
      <c r="D11" s="19" t="s">
        <v>22</v>
      </c>
      <c r="E11" s="17"/>
      <c r="F11" s="157">
        <v>46317.0</v>
      </c>
      <c r="G11" s="161">
        <v>290000.0</v>
      </c>
      <c r="H11" s="60"/>
      <c r="I11" s="32" t="s">
        <v>25</v>
      </c>
      <c r="J11" s="32" t="s">
        <v>26</v>
      </c>
      <c r="K11" s="32" t="s">
        <v>27</v>
      </c>
      <c r="L11" s="32" t="s">
        <v>29</v>
      </c>
      <c r="M11" s="32" t="s">
        <v>59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446</v>
      </c>
      <c r="D12" s="19" t="s">
        <v>67</v>
      </c>
      <c r="E12" s="17"/>
      <c r="F12" s="157">
        <v>46317.0</v>
      </c>
      <c r="G12" s="161">
        <v>0.0</v>
      </c>
      <c r="H12" s="30">
        <v>0.0</v>
      </c>
      <c r="I12" s="32" t="s">
        <v>25</v>
      </c>
      <c r="J12" s="18"/>
      <c r="K12" s="18"/>
      <c r="L12" s="32" t="s">
        <v>29</v>
      </c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465</v>
      </c>
      <c r="D13" s="19" t="s">
        <v>22</v>
      </c>
      <c r="E13" s="17"/>
      <c r="F13" s="157">
        <v>46317.0</v>
      </c>
      <c r="G13" s="159"/>
      <c r="H13" s="30">
        <v>470000.0</v>
      </c>
      <c r="I13" s="32" t="s">
        <v>25</v>
      </c>
      <c r="J13" s="32" t="s">
        <v>26</v>
      </c>
      <c r="K13" s="32" t="s">
        <v>27</v>
      </c>
      <c r="L13" s="32" t="s">
        <v>29</v>
      </c>
      <c r="M13" s="32" t="s">
        <v>42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466</v>
      </c>
      <c r="D14" s="19" t="s">
        <v>22</v>
      </c>
      <c r="E14" s="17"/>
      <c r="F14" s="157">
        <v>46317.0</v>
      </c>
      <c r="G14" s="159"/>
      <c r="H14" s="30">
        <v>250000.0</v>
      </c>
      <c r="I14" s="32" t="s">
        <v>25</v>
      </c>
      <c r="J14" s="32" t="s">
        <v>26</v>
      </c>
      <c r="K14" s="32" t="s">
        <v>27</v>
      </c>
      <c r="L14" s="32" t="s">
        <v>29</v>
      </c>
      <c r="M14" s="32" t="s">
        <v>59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467</v>
      </c>
      <c r="D15" s="19" t="s">
        <v>22</v>
      </c>
      <c r="E15" s="17"/>
      <c r="F15" s="157">
        <v>46317.0</v>
      </c>
      <c r="G15" s="159"/>
      <c r="H15" s="30">
        <v>290000.0</v>
      </c>
      <c r="I15" s="32" t="s">
        <v>25</v>
      </c>
      <c r="J15" s="32" t="s">
        <v>26</v>
      </c>
      <c r="K15" s="32" t="s">
        <v>27</v>
      </c>
      <c r="L15" s="32" t="s">
        <v>28</v>
      </c>
      <c r="M15" s="32" t="s">
        <v>59</v>
      </c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46</v>
      </c>
      <c r="D16" s="19" t="s">
        <v>22</v>
      </c>
      <c r="E16" s="17"/>
      <c r="F16" s="157">
        <v>46317.0</v>
      </c>
      <c r="G16" s="159"/>
      <c r="H16" s="30">
        <v>250000.0</v>
      </c>
      <c r="I16" s="32" t="s">
        <v>25</v>
      </c>
      <c r="J16" s="32" t="s">
        <v>26</v>
      </c>
      <c r="K16" s="32" t="s">
        <v>27</v>
      </c>
      <c r="L16" s="32" t="s">
        <v>28</v>
      </c>
      <c r="M16" s="32" t="s">
        <v>42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468</v>
      </c>
      <c r="D17" s="19" t="s">
        <v>22</v>
      </c>
      <c r="E17" s="17"/>
      <c r="F17" s="157">
        <v>46317.0</v>
      </c>
      <c r="G17" s="159"/>
      <c r="H17" s="30">
        <v>250000.0</v>
      </c>
      <c r="I17" s="32" t="s">
        <v>25</v>
      </c>
      <c r="J17" s="32" t="s">
        <v>26</v>
      </c>
      <c r="K17" s="32" t="s">
        <v>27</v>
      </c>
      <c r="L17" s="32" t="s">
        <v>28</v>
      </c>
      <c r="M17" s="32" t="s">
        <v>59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20" t="s">
        <v>438</v>
      </c>
      <c r="D18" s="19" t="s">
        <v>75</v>
      </c>
      <c r="E18" s="17"/>
      <c r="F18" s="157">
        <v>46317.0</v>
      </c>
      <c r="G18" s="159"/>
      <c r="H18" s="30">
        <v>50000.0</v>
      </c>
      <c r="I18" s="32" t="s">
        <v>25</v>
      </c>
      <c r="J18" s="32" t="s">
        <v>26</v>
      </c>
      <c r="K18" s="32" t="s">
        <v>26</v>
      </c>
      <c r="L18" s="32" t="s">
        <v>28</v>
      </c>
      <c r="M18" s="32" t="s">
        <v>42</v>
      </c>
      <c r="N18" s="38"/>
      <c r="O18" s="38"/>
      <c r="P18" s="38"/>
      <c r="Q18" s="1"/>
      <c r="R18" s="1"/>
    </row>
    <row r="19" ht="15.75" customHeight="1">
      <c r="A19" s="1"/>
      <c r="B19" s="18">
        <v>16.0</v>
      </c>
      <c r="C19" s="20" t="s">
        <v>297</v>
      </c>
      <c r="D19" s="19" t="s">
        <v>75</v>
      </c>
      <c r="E19" s="17"/>
      <c r="F19" s="157">
        <v>46317.0</v>
      </c>
      <c r="G19" s="159"/>
      <c r="H19" s="30">
        <v>350000.0</v>
      </c>
      <c r="I19" s="32" t="s">
        <v>25</v>
      </c>
      <c r="J19" s="32" t="s">
        <v>26</v>
      </c>
      <c r="K19" s="32" t="s">
        <v>26</v>
      </c>
      <c r="L19" s="32" t="s">
        <v>28</v>
      </c>
      <c r="M19" s="32" t="s">
        <v>42</v>
      </c>
      <c r="N19" s="38"/>
      <c r="O19" s="38"/>
      <c r="P19" s="38"/>
      <c r="Q19" s="1"/>
      <c r="R19" s="1"/>
    </row>
    <row r="20" ht="15.75" customHeight="1">
      <c r="A20" s="1"/>
      <c r="B20" s="18">
        <v>17.0</v>
      </c>
      <c r="C20" s="20" t="s">
        <v>469</v>
      </c>
      <c r="D20" s="19" t="s">
        <v>54</v>
      </c>
      <c r="E20" s="17"/>
      <c r="F20" s="157">
        <v>46317.0</v>
      </c>
      <c r="G20" s="159"/>
      <c r="H20" s="30">
        <v>175000.0</v>
      </c>
      <c r="I20" s="32" t="s">
        <v>25</v>
      </c>
      <c r="J20" s="32" t="s">
        <v>26</v>
      </c>
      <c r="K20" s="32" t="s">
        <v>26</v>
      </c>
      <c r="L20" s="32" t="s">
        <v>28</v>
      </c>
      <c r="M20" s="32" t="s">
        <v>59</v>
      </c>
      <c r="N20" s="38"/>
      <c r="O20" s="38"/>
      <c r="P20" s="38"/>
      <c r="Q20" s="1"/>
      <c r="R20" s="1"/>
    </row>
    <row r="21" ht="15.75" customHeight="1">
      <c r="A21" s="1"/>
      <c r="B21" s="18">
        <v>18.0</v>
      </c>
      <c r="C21" s="48" t="s">
        <v>450</v>
      </c>
      <c r="D21" s="19" t="s">
        <v>22</v>
      </c>
      <c r="E21" s="17"/>
      <c r="F21" s="157">
        <v>46317.0</v>
      </c>
      <c r="G21" s="161">
        <v>290000.0</v>
      </c>
      <c r="H21" s="60"/>
      <c r="I21" s="32" t="s">
        <v>25</v>
      </c>
      <c r="J21" s="32" t="s">
        <v>26</v>
      </c>
      <c r="K21" s="32" t="s">
        <v>27</v>
      </c>
      <c r="L21" s="32" t="s">
        <v>28</v>
      </c>
      <c r="M21" s="32" t="s">
        <v>59</v>
      </c>
      <c r="N21" s="38"/>
      <c r="O21" s="38"/>
      <c r="P21" s="38"/>
      <c r="Q21" s="1"/>
      <c r="R21" s="1"/>
    </row>
    <row r="22" ht="15.75" customHeight="1">
      <c r="A22" s="1"/>
      <c r="B22" s="18">
        <v>19.0</v>
      </c>
      <c r="C22" s="20" t="s">
        <v>470</v>
      </c>
      <c r="D22" s="19" t="s">
        <v>22</v>
      </c>
      <c r="E22" s="17"/>
      <c r="F22" s="157">
        <v>46317.0</v>
      </c>
      <c r="G22" s="159"/>
      <c r="H22" s="30">
        <v>270000.0</v>
      </c>
      <c r="I22" s="32" t="s">
        <v>25</v>
      </c>
      <c r="J22" s="32" t="s">
        <v>26</v>
      </c>
      <c r="K22" s="32" t="s">
        <v>27</v>
      </c>
      <c r="L22" s="32" t="s">
        <v>28</v>
      </c>
      <c r="M22" s="32" t="s">
        <v>59</v>
      </c>
      <c r="N22" s="38"/>
      <c r="O22" s="38"/>
      <c r="P22" s="38"/>
      <c r="Q22" s="1"/>
      <c r="R22" s="1"/>
    </row>
    <row r="23" ht="15.75" customHeight="1">
      <c r="A23" s="1"/>
      <c r="B23" s="18">
        <v>20.0</v>
      </c>
      <c r="C23" s="78"/>
      <c r="D23" s="59"/>
      <c r="E23" s="17"/>
      <c r="F23" s="178"/>
      <c r="G23" s="159"/>
      <c r="H23" s="60"/>
      <c r="I23" s="18"/>
      <c r="J23" s="18"/>
      <c r="K23" s="18"/>
      <c r="L23" s="18"/>
      <c r="M23" s="18"/>
      <c r="N23" s="38"/>
      <c r="O23" s="38"/>
      <c r="P23" s="38"/>
      <c r="Q23" s="1"/>
      <c r="R23" s="1"/>
    </row>
    <row r="24" ht="18.75" customHeight="1">
      <c r="A24" s="1"/>
      <c r="B24" s="1"/>
      <c r="C24" s="3"/>
      <c r="D24" s="3"/>
      <c r="E24" s="1"/>
      <c r="F24" s="1"/>
      <c r="G24" s="119">
        <f t="shared" ref="G24:H24" si="1">SUM(G4:G23)</f>
        <v>1230000</v>
      </c>
      <c r="H24" s="70">
        <f t="shared" si="1"/>
        <v>3095000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3"/>
      <c r="D25" s="3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3"/>
      <c r="D26" s="3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71" t="s">
        <v>1</v>
      </c>
      <c r="C27" s="72" t="s">
        <v>7</v>
      </c>
      <c r="D27" s="72" t="s">
        <v>120</v>
      </c>
      <c r="E27" s="1"/>
      <c r="F27" s="1"/>
      <c r="G27" s="1"/>
      <c r="H27" s="1"/>
      <c r="I27" s="1"/>
      <c r="J27" s="1"/>
      <c r="K27" s="1"/>
      <c r="L27" s="1"/>
      <c r="M27" s="1"/>
      <c r="N27" s="72" t="s">
        <v>121</v>
      </c>
      <c r="O27" s="72" t="s">
        <v>2</v>
      </c>
      <c r="P27" s="1"/>
      <c r="Q27" s="1"/>
      <c r="R27" s="1"/>
    </row>
    <row r="28" ht="15.75" customHeight="1">
      <c r="A28" s="1"/>
      <c r="B28" s="73">
        <v>1.0</v>
      </c>
      <c r="C28" s="75" t="s">
        <v>124</v>
      </c>
      <c r="D28" s="76">
        <f>SUM(G24)</f>
        <v>1230000</v>
      </c>
      <c r="E28" s="77"/>
      <c r="F28" s="1"/>
      <c r="G28" s="1"/>
      <c r="H28" s="1"/>
      <c r="I28" s="1"/>
      <c r="J28" s="1"/>
      <c r="K28" s="1"/>
      <c r="L28" s="1"/>
      <c r="M28" s="1"/>
      <c r="N28" s="79" t="s">
        <v>128</v>
      </c>
      <c r="O28" s="80" t="s">
        <v>29</v>
      </c>
      <c r="P28" s="1"/>
      <c r="Q28" s="1"/>
      <c r="R28" s="1"/>
    </row>
    <row r="29" ht="15.75" customHeight="1">
      <c r="A29" s="1"/>
      <c r="B29" s="82">
        <v>2.0</v>
      </c>
      <c r="C29" s="92"/>
      <c r="D29" s="93"/>
      <c r="E29" s="77"/>
      <c r="F29" s="1"/>
      <c r="G29" s="1"/>
      <c r="H29" s="1"/>
      <c r="I29" s="1"/>
      <c r="J29" s="1"/>
      <c r="K29" s="1"/>
      <c r="L29" s="1"/>
      <c r="M29" s="1"/>
      <c r="N29" s="85" t="s">
        <v>132</v>
      </c>
      <c r="O29" s="86" t="s">
        <v>28</v>
      </c>
      <c r="P29" s="1"/>
      <c r="Q29" s="1"/>
      <c r="R29" s="1"/>
    </row>
    <row r="30" ht="15.75" customHeight="1">
      <c r="A30" s="1"/>
      <c r="B30" s="73">
        <v>3.0</v>
      </c>
      <c r="C30" s="75"/>
      <c r="D30" s="76"/>
      <c r="E30" s="77"/>
      <c r="F30" s="1"/>
      <c r="G30" s="1"/>
      <c r="H30" s="1"/>
      <c r="I30" s="1"/>
      <c r="J30" s="1"/>
      <c r="K30" s="1"/>
      <c r="L30" s="1"/>
      <c r="M30" s="1"/>
      <c r="N30" s="88" t="s">
        <v>136</v>
      </c>
      <c r="O30" s="194" t="s">
        <v>42</v>
      </c>
      <c r="P30" s="2" t="s">
        <v>417</v>
      </c>
      <c r="Q30" s="1"/>
      <c r="R30" s="1"/>
    </row>
    <row r="31" ht="15.75" customHeight="1">
      <c r="A31" s="1"/>
      <c r="B31" s="82">
        <v>4.0</v>
      </c>
      <c r="C31" s="92"/>
      <c r="D31" s="93"/>
      <c r="E31" s="77"/>
      <c r="F31" s="1"/>
      <c r="G31" s="1"/>
      <c r="H31" s="1"/>
      <c r="I31" s="1"/>
      <c r="J31" s="1"/>
      <c r="K31" s="1"/>
      <c r="L31" s="1"/>
      <c r="M31" s="1"/>
      <c r="N31" s="95" t="s">
        <v>147</v>
      </c>
      <c r="O31" s="86" t="s">
        <v>59</v>
      </c>
      <c r="P31" s="1"/>
      <c r="Q31" s="1"/>
      <c r="R31" s="1"/>
    </row>
    <row r="32" ht="15.75" customHeight="1">
      <c r="A32" s="1"/>
      <c r="B32" s="73">
        <v>5.0</v>
      </c>
      <c r="C32" s="75"/>
      <c r="D32" s="76"/>
      <c r="E32" s="77"/>
      <c r="F32" s="1"/>
      <c r="G32" s="1"/>
      <c r="H32" s="1"/>
      <c r="I32" s="1"/>
      <c r="J32" s="1"/>
      <c r="K32" s="1"/>
      <c r="L32" s="1"/>
      <c r="M32" s="1"/>
      <c r="N32" s="98"/>
      <c r="O32" s="1"/>
      <c r="P32" s="1"/>
      <c r="Q32" s="1"/>
      <c r="R32" s="1"/>
    </row>
    <row r="33" ht="15.75" customHeight="1">
      <c r="A33" s="1"/>
      <c r="B33" s="82">
        <v>6.0</v>
      </c>
      <c r="C33" s="92"/>
      <c r="D33" s="93"/>
      <c r="E33" s="77"/>
      <c r="F33" s="1"/>
      <c r="G33" s="1"/>
      <c r="H33" s="1"/>
      <c r="I33" s="1"/>
      <c r="J33" s="1"/>
      <c r="K33" s="100" t="s">
        <v>150</v>
      </c>
      <c r="Q33" s="1"/>
      <c r="R33" s="1"/>
    </row>
    <row r="34" ht="15.75" customHeight="1">
      <c r="A34" s="1"/>
      <c r="B34" s="73">
        <v>7.0</v>
      </c>
      <c r="C34" s="75"/>
      <c r="D34" s="76"/>
      <c r="E34" s="77"/>
      <c r="F34" s="1"/>
      <c r="G34" s="1"/>
      <c r="H34" s="1"/>
      <c r="I34" s="1"/>
      <c r="J34" s="1"/>
      <c r="K34" s="101" t="s">
        <v>2</v>
      </c>
      <c r="L34" s="101" t="s">
        <v>153</v>
      </c>
      <c r="M34" s="101" t="s">
        <v>155</v>
      </c>
      <c r="N34" s="101" t="s">
        <v>156</v>
      </c>
      <c r="O34" s="101" t="s">
        <v>157</v>
      </c>
      <c r="P34" s="101" t="s">
        <v>158</v>
      </c>
      <c r="Q34" s="1"/>
      <c r="R34" s="1"/>
      <c r="AC34" s="102" t="s">
        <v>159</v>
      </c>
      <c r="AD34" s="102" t="s">
        <v>160</v>
      </c>
      <c r="AE34" s="102" t="s">
        <v>161</v>
      </c>
      <c r="AF34" s="102" t="s">
        <v>163</v>
      </c>
      <c r="AG34" s="102" t="s">
        <v>164</v>
      </c>
    </row>
    <row r="35" ht="15.75" customHeight="1">
      <c r="A35" s="1"/>
      <c r="B35" s="82">
        <v>8.0</v>
      </c>
      <c r="C35" s="92"/>
      <c r="D35" s="93"/>
      <c r="E35" s="77"/>
      <c r="F35" s="1"/>
      <c r="G35" s="1"/>
      <c r="H35" s="1"/>
      <c r="I35" s="1"/>
      <c r="J35" s="1"/>
      <c r="K35" s="104" t="str">
        <f t="shared" ref="K35:K38" si="2">IF(O28="","",O28)</f>
        <v>INDAH</v>
      </c>
      <c r="L35" s="105">
        <v>5.0</v>
      </c>
      <c r="M35" s="105">
        <v>5.0</v>
      </c>
      <c r="N35" s="105">
        <v>5.0</v>
      </c>
      <c r="O35" s="105">
        <v>5.0</v>
      </c>
      <c r="P35" s="105">
        <v>5.0</v>
      </c>
      <c r="Q35" s="1"/>
      <c r="R35" s="1"/>
      <c r="AC35" s="102">
        <f t="shared" ref="AC35:AC40" si="3">IF(AG35="","",IF(COUNT(L35:P35)&lt;5,"",L35/5*20+M35/5*25+N35/5*25+O35/5*15+P35/5*15))</f>
        <v>100</v>
      </c>
      <c r="AD35" s="102" t="str">
        <f t="shared" ref="AD35:AD40" si="4">IF(AC35="","",IF(AC35&gt;=90,"Sangat Baik",IF(AC35&gt;=80,"Baik",IF(AC35&gt;=70,"Coaching","Underperform"))))</f>
        <v>Sangat Baik</v>
      </c>
      <c r="AE35" s="102" t="str">
        <f t="shared" ref="AE35:AE40" si="5">IF(AG35="","",IF(OR(AG35="INDAH",AG35="ADDEL",AG35="AMEL",AG35="PENTIL",AG35="JIJANG"),"Admin/CS","Fotografer"))</f>
        <v>Admin/CS</v>
      </c>
      <c r="AF35" s="102">
        <f t="shared" ref="AF35:AF40" si="6">IF(OR(AG35="",COUNT(L35:P35)&lt;5),"",1)</f>
        <v>1</v>
      </c>
      <c r="AG35" s="102" t="str">
        <f t="shared" ref="AG35:AG40" si="7">IFERROR(K35,"")</f>
        <v>INDAH</v>
      </c>
    </row>
    <row r="36" ht="15.75" customHeight="1">
      <c r="A36" s="1"/>
      <c r="B36" s="73">
        <v>9.0</v>
      </c>
      <c r="C36" s="75"/>
      <c r="D36" s="76"/>
      <c r="E36" s="77"/>
      <c r="F36" s="1"/>
      <c r="G36" s="1"/>
      <c r="H36" s="1"/>
      <c r="I36" s="1"/>
      <c r="J36" s="1"/>
      <c r="K36" s="104" t="str">
        <f t="shared" si="2"/>
        <v>AMEL</v>
      </c>
      <c r="L36" s="105">
        <v>4.0</v>
      </c>
      <c r="M36" s="105">
        <v>4.0</v>
      </c>
      <c r="N36" s="105">
        <v>4.0</v>
      </c>
      <c r="O36" s="105">
        <v>5.0</v>
      </c>
      <c r="P36" s="105">
        <v>3.0</v>
      </c>
      <c r="Q36" s="1"/>
      <c r="R36" s="1"/>
      <c r="AC36" s="102">
        <f t="shared" si="3"/>
        <v>80</v>
      </c>
      <c r="AD36" s="102" t="str">
        <f t="shared" si="4"/>
        <v>Baik</v>
      </c>
      <c r="AE36" s="102" t="str">
        <f t="shared" si="5"/>
        <v>Admin/CS</v>
      </c>
      <c r="AF36" s="102">
        <f t="shared" si="6"/>
        <v>1</v>
      </c>
      <c r="AG36" s="102" t="str">
        <f t="shared" si="7"/>
        <v>AMEL</v>
      </c>
    </row>
    <row r="37" ht="15.75" customHeight="1">
      <c r="A37" s="1"/>
      <c r="B37" s="82">
        <v>10.0</v>
      </c>
      <c r="C37" s="92"/>
      <c r="D37" s="93"/>
      <c r="E37" s="77"/>
      <c r="F37" s="1"/>
      <c r="G37" s="1"/>
      <c r="H37" s="1"/>
      <c r="I37" s="1"/>
      <c r="J37" s="1"/>
      <c r="K37" s="104" t="str">
        <f t="shared" si="2"/>
        <v>ADIF</v>
      </c>
      <c r="L37" s="105">
        <v>5.0</v>
      </c>
      <c r="M37" s="105">
        <v>5.0</v>
      </c>
      <c r="N37" s="105">
        <v>5.0</v>
      </c>
      <c r="O37" s="105">
        <v>5.0</v>
      </c>
      <c r="P37" s="105">
        <v>5.0</v>
      </c>
      <c r="Q37" s="1"/>
      <c r="R37" s="1"/>
      <c r="AC37" s="102">
        <f t="shared" si="3"/>
        <v>100</v>
      </c>
      <c r="AD37" s="102" t="str">
        <f t="shared" si="4"/>
        <v>Sangat Baik</v>
      </c>
      <c r="AE37" s="102" t="str">
        <f t="shared" si="5"/>
        <v>Fotografer</v>
      </c>
      <c r="AF37" s="102">
        <f t="shared" si="6"/>
        <v>1</v>
      </c>
      <c r="AG37" s="102" t="str">
        <f t="shared" si="7"/>
        <v>ADIF</v>
      </c>
    </row>
    <row r="38" ht="15.75" customHeight="1">
      <c r="A38" s="1"/>
      <c r="B38" s="114">
        <v>11.0</v>
      </c>
      <c r="C38" s="115"/>
      <c r="D38" s="116"/>
      <c r="E38" s="77"/>
      <c r="F38" s="1"/>
      <c r="G38" s="1"/>
      <c r="H38" s="1"/>
      <c r="I38" s="1"/>
      <c r="J38" s="1"/>
      <c r="K38" s="104" t="str">
        <f t="shared" si="2"/>
        <v>SAKA</v>
      </c>
      <c r="L38" s="105">
        <v>5.0</v>
      </c>
      <c r="M38" s="105">
        <v>5.0</v>
      </c>
      <c r="N38" s="105">
        <v>4.0</v>
      </c>
      <c r="O38" s="105">
        <v>5.0</v>
      </c>
      <c r="P38" s="105">
        <v>4.0</v>
      </c>
      <c r="Q38" s="1"/>
      <c r="R38" s="1"/>
      <c r="AC38" s="102">
        <f t="shared" si="3"/>
        <v>92</v>
      </c>
      <c r="AD38" s="102" t="str">
        <f t="shared" si="4"/>
        <v>Sangat Baik</v>
      </c>
      <c r="AE38" s="102" t="str">
        <f t="shared" si="5"/>
        <v>Fotografer</v>
      </c>
      <c r="AF38" s="102">
        <f t="shared" si="6"/>
        <v>1</v>
      </c>
      <c r="AG38" s="102" t="str">
        <f t="shared" si="7"/>
        <v>SAKA</v>
      </c>
    </row>
    <row r="39" ht="15.75" customHeight="1">
      <c r="A39" s="1"/>
      <c r="B39" s="1"/>
      <c r="C39" s="3"/>
      <c r="D39" s="117">
        <f>SUM(D28:D38)</f>
        <v>1230000</v>
      </c>
      <c r="E39" s="1"/>
      <c r="F39" s="1"/>
      <c r="G39" s="1"/>
      <c r="H39" s="1"/>
      <c r="I39" s="1"/>
      <c r="J39" s="1"/>
      <c r="K39" s="104"/>
      <c r="L39" s="118"/>
      <c r="M39" s="118"/>
      <c r="N39" s="118"/>
      <c r="O39" s="118"/>
      <c r="P39" s="118"/>
      <c r="Q39" s="1"/>
      <c r="R39" s="1"/>
      <c r="AC39" s="102" t="str">
        <f t="shared" si="3"/>
        <v/>
      </c>
      <c r="AD39" s="102" t="str">
        <f t="shared" si="4"/>
        <v/>
      </c>
      <c r="AE39" s="102" t="str">
        <f t="shared" si="5"/>
        <v/>
      </c>
      <c r="AF39" s="102" t="str">
        <f t="shared" si="6"/>
        <v/>
      </c>
      <c r="AG39" s="102" t="str">
        <f t="shared" si="7"/>
        <v/>
      </c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04"/>
      <c r="L40" s="118"/>
      <c r="M40" s="118"/>
      <c r="N40" s="118"/>
      <c r="O40" s="118"/>
      <c r="P40" s="118"/>
      <c r="Q40" s="1"/>
      <c r="R40" s="1"/>
      <c r="AC40" s="102" t="str">
        <f t="shared" si="3"/>
        <v/>
      </c>
      <c r="AD40" s="102" t="str">
        <f t="shared" si="4"/>
        <v/>
      </c>
      <c r="AE40" s="102" t="str">
        <f t="shared" si="5"/>
        <v/>
      </c>
      <c r="AF40" s="102" t="str">
        <f t="shared" si="6"/>
        <v/>
      </c>
      <c r="AG40" s="102" t="str">
        <f t="shared" si="7"/>
        <v/>
      </c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20" t="s">
        <v>195</v>
      </c>
      <c r="Q41" s="1"/>
      <c r="R41" s="1"/>
    </row>
    <row r="42" ht="15.75" customHeight="1">
      <c r="A42" s="1"/>
      <c r="B42" s="1"/>
      <c r="C42" s="3"/>
      <c r="D42" s="3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3"/>
      <c r="D43" s="3"/>
      <c r="E43" s="1"/>
      <c r="F43" s="1"/>
      <c r="G43" s="1"/>
      <c r="H43" s="1"/>
      <c r="I43" s="1"/>
      <c r="J43" s="1"/>
      <c r="K43" s="121" t="s">
        <v>198</v>
      </c>
      <c r="N43" s="183"/>
      <c r="O43" s="1"/>
      <c r="P43" s="1"/>
      <c r="Q43" s="1"/>
      <c r="R43" s="1"/>
    </row>
    <row r="44" ht="15.75" customHeight="1">
      <c r="K44" s="123" t="s">
        <v>8</v>
      </c>
      <c r="L44" s="123" t="s">
        <v>200</v>
      </c>
      <c r="M44" s="123" t="s">
        <v>201</v>
      </c>
      <c r="N44" s="184" t="s">
        <v>202</v>
      </c>
    </row>
    <row r="45" ht="15.75" customHeight="1">
      <c r="K45" s="126" t="str">
        <f t="shared" ref="K45:K46" si="8">IF(O28="","",O28)</f>
        <v>INDAH</v>
      </c>
      <c r="L45" s="127">
        <v>2.0</v>
      </c>
      <c r="M45" s="129"/>
      <c r="N45" s="185"/>
    </row>
    <row r="46" ht="15.75" customHeight="1">
      <c r="K46" s="126" t="str">
        <f t="shared" si="8"/>
        <v>AMEL</v>
      </c>
      <c r="L46" s="129"/>
      <c r="M46" s="129"/>
      <c r="N46" s="185"/>
    </row>
    <row r="47" ht="15.75" customHeight="1"/>
    <row r="48" ht="19.5" customHeight="1">
      <c r="K48" s="132" t="s">
        <v>206</v>
      </c>
    </row>
    <row r="49" ht="19.5" customHeight="1">
      <c r="K49" s="134" t="s">
        <v>207</v>
      </c>
      <c r="M49" s="127">
        <v>30.0</v>
      </c>
    </row>
    <row r="50" ht="19.5" customHeight="1">
      <c r="K50" s="135" t="s">
        <v>208</v>
      </c>
      <c r="M50" s="138">
        <f>COUNTIF($I$4:$I$26,"DP")</f>
        <v>2</v>
      </c>
    </row>
    <row r="51" ht="19.5" customHeight="1">
      <c r="K51" s="135" t="s">
        <v>210</v>
      </c>
      <c r="M51" s="138">
        <f>COUNTIFS($I$4:$I$26,"&lt;&gt;DP",$I$4:$I$26,"&lt;&gt;")</f>
        <v>17</v>
      </c>
    </row>
    <row r="52" ht="19.5" customHeight="1">
      <c r="K52" s="139" t="s">
        <v>211</v>
      </c>
      <c r="M52" s="138">
        <f>M50+M51</f>
        <v>19</v>
      </c>
    </row>
    <row r="53" ht="19.5" customHeight="1">
      <c r="K53" s="134" t="s">
        <v>212</v>
      </c>
      <c r="M53" s="141">
        <f>IF(OR(M49="",M49=0),"",M50/M49)</f>
        <v>0.06666666667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4:D2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ErrorMessage="1" sqref="N4:N23">
      <formula1>"-,Pending,Progress,Uploaded"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M4:M23">
      <formula1>"-,VERO,FADEL,PENTIL,ADIF,SAKA"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2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471</v>
      </c>
      <c r="D4" s="19" t="s">
        <v>67</v>
      </c>
      <c r="E4" s="17"/>
      <c r="F4" s="157">
        <v>46318.0</v>
      </c>
      <c r="G4" s="159"/>
      <c r="H4" s="30">
        <v>150000.0</v>
      </c>
      <c r="I4" s="32" t="s">
        <v>25</v>
      </c>
      <c r="J4" s="18"/>
      <c r="K4" s="18"/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472</v>
      </c>
      <c r="D5" s="19" t="s">
        <v>43</v>
      </c>
      <c r="E5" s="17"/>
      <c r="F5" s="157">
        <v>46318.0</v>
      </c>
      <c r="G5" s="159"/>
      <c r="H5" s="30">
        <v>100000.0</v>
      </c>
      <c r="I5" s="32" t="s">
        <v>25</v>
      </c>
      <c r="J5" s="18"/>
      <c r="K5" s="18"/>
      <c r="L5" s="32" t="s">
        <v>29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191" t="s">
        <v>473</v>
      </c>
      <c r="D6" s="19" t="s">
        <v>54</v>
      </c>
      <c r="E6" s="17"/>
      <c r="F6" s="157">
        <v>46323.0</v>
      </c>
      <c r="G6" s="159"/>
      <c r="H6" s="30">
        <v>100000.0</v>
      </c>
      <c r="I6" s="32" t="s">
        <v>24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474</v>
      </c>
      <c r="D7" s="19" t="s">
        <v>54</v>
      </c>
      <c r="E7" s="17"/>
      <c r="F7" s="157">
        <v>46329.0</v>
      </c>
      <c r="G7" s="159"/>
      <c r="H7" s="30">
        <v>100000.0</v>
      </c>
      <c r="I7" s="32" t="s">
        <v>24</v>
      </c>
      <c r="J7" s="18"/>
      <c r="K7" s="18"/>
      <c r="L7" s="32" t="s">
        <v>29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475</v>
      </c>
      <c r="D8" s="19" t="s">
        <v>283</v>
      </c>
      <c r="E8" s="17"/>
      <c r="F8" s="157">
        <v>46319.0</v>
      </c>
      <c r="G8" s="159"/>
      <c r="H8" s="30">
        <v>200000.0</v>
      </c>
      <c r="I8" s="32" t="s">
        <v>24</v>
      </c>
      <c r="J8" s="18"/>
      <c r="K8" s="18"/>
      <c r="L8" s="32" t="s">
        <v>29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476</v>
      </c>
      <c r="D9" s="19" t="s">
        <v>54</v>
      </c>
      <c r="E9" s="17"/>
      <c r="F9" s="157">
        <v>46318.0</v>
      </c>
      <c r="G9" s="159"/>
      <c r="H9" s="30">
        <v>100000.0</v>
      </c>
      <c r="I9" s="32" t="s">
        <v>24</v>
      </c>
      <c r="J9" s="18"/>
      <c r="K9" s="18"/>
      <c r="L9" s="32" t="s">
        <v>29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477</v>
      </c>
      <c r="D10" s="19" t="s">
        <v>67</v>
      </c>
      <c r="E10" s="17"/>
      <c r="F10" s="157">
        <v>46326.0</v>
      </c>
      <c r="G10" s="159"/>
      <c r="H10" s="30">
        <v>100000.0</v>
      </c>
      <c r="I10" s="32" t="s">
        <v>24</v>
      </c>
      <c r="J10" s="18"/>
      <c r="K10" s="18"/>
      <c r="L10" s="32" t="s">
        <v>28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478</v>
      </c>
      <c r="D11" s="19" t="s">
        <v>75</v>
      </c>
      <c r="E11" s="17"/>
      <c r="F11" s="157">
        <v>46318.0</v>
      </c>
      <c r="G11" s="159"/>
      <c r="H11" s="30">
        <v>100000.0</v>
      </c>
      <c r="I11" s="32" t="s">
        <v>24</v>
      </c>
      <c r="J11" s="18"/>
      <c r="K11" s="18"/>
      <c r="L11" s="32" t="s">
        <v>28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442</v>
      </c>
      <c r="D12" s="19" t="s">
        <v>54</v>
      </c>
      <c r="E12" s="24">
        <v>36.0</v>
      </c>
      <c r="F12" s="157">
        <v>46318.0</v>
      </c>
      <c r="G12" s="161">
        <v>1100000.0</v>
      </c>
      <c r="H12" s="60"/>
      <c r="I12" s="32" t="s">
        <v>25</v>
      </c>
      <c r="J12" s="32" t="s">
        <v>26</v>
      </c>
      <c r="K12" s="18"/>
      <c r="L12" s="32" t="s">
        <v>28</v>
      </c>
      <c r="M12" s="32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479</v>
      </c>
      <c r="D13" s="19" t="s">
        <v>43</v>
      </c>
      <c r="E13" s="17"/>
      <c r="F13" s="157">
        <v>46318.0</v>
      </c>
      <c r="G13" s="161">
        <v>50000.0</v>
      </c>
      <c r="H13" s="60"/>
      <c r="I13" s="32" t="s">
        <v>25</v>
      </c>
      <c r="J13" s="32" t="s">
        <v>26</v>
      </c>
      <c r="K13" s="32" t="s">
        <v>26</v>
      </c>
      <c r="L13" s="32" t="s">
        <v>28</v>
      </c>
      <c r="M13" s="32" t="s">
        <v>42</v>
      </c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462</v>
      </c>
      <c r="D14" s="19" t="s">
        <v>54</v>
      </c>
      <c r="E14" s="17"/>
      <c r="F14" s="157">
        <v>46318.0</v>
      </c>
      <c r="G14" s="159"/>
      <c r="H14" s="30">
        <v>475000.0</v>
      </c>
      <c r="I14" s="32" t="s">
        <v>25</v>
      </c>
      <c r="J14" s="32" t="s">
        <v>26</v>
      </c>
      <c r="K14" s="32" t="s">
        <v>26</v>
      </c>
      <c r="L14" s="32" t="s">
        <v>28</v>
      </c>
      <c r="M14" s="32" t="s">
        <v>42</v>
      </c>
      <c r="N14" s="38"/>
      <c r="O14" s="38"/>
      <c r="P14" s="38"/>
      <c r="Q14" s="1"/>
      <c r="R14" s="1"/>
    </row>
    <row r="15" ht="15.75" customHeight="1">
      <c r="A15" s="1"/>
      <c r="B15" s="18">
        <v>12.0</v>
      </c>
      <c r="C15" s="20" t="s">
        <v>334</v>
      </c>
      <c r="D15" s="19" t="s">
        <v>54</v>
      </c>
      <c r="E15" s="17"/>
      <c r="F15" s="157">
        <v>46319.0</v>
      </c>
      <c r="G15" s="159"/>
      <c r="H15" s="30">
        <v>100000.0</v>
      </c>
      <c r="I15" s="32" t="s">
        <v>24</v>
      </c>
      <c r="J15" s="18"/>
      <c r="K15" s="18"/>
      <c r="L15" s="32" t="s">
        <v>28</v>
      </c>
      <c r="M15" s="18"/>
      <c r="N15" s="38"/>
      <c r="O15" s="38"/>
      <c r="P15" s="38"/>
      <c r="Q15" s="1"/>
      <c r="R15" s="1"/>
    </row>
    <row r="16" ht="15.75" customHeight="1">
      <c r="A16" s="1"/>
      <c r="B16" s="18">
        <v>13.0</v>
      </c>
      <c r="C16" s="20" t="s">
        <v>444</v>
      </c>
      <c r="D16" s="19" t="s">
        <v>54</v>
      </c>
      <c r="E16" s="17"/>
      <c r="F16" s="157">
        <v>46318.0</v>
      </c>
      <c r="G16" s="159"/>
      <c r="H16" s="30">
        <v>75000.0</v>
      </c>
      <c r="I16" s="32" t="s">
        <v>25</v>
      </c>
      <c r="J16" s="32" t="s">
        <v>26</v>
      </c>
      <c r="K16" s="32" t="s">
        <v>26</v>
      </c>
      <c r="L16" s="32" t="s">
        <v>28</v>
      </c>
      <c r="M16" s="32" t="s">
        <v>42</v>
      </c>
      <c r="N16" s="38"/>
      <c r="O16" s="38"/>
      <c r="P16" s="38"/>
      <c r="Q16" s="1"/>
      <c r="R16" s="1"/>
    </row>
    <row r="17" ht="15.75" customHeight="1">
      <c r="A17" s="1"/>
      <c r="B17" s="18">
        <v>14.0</v>
      </c>
      <c r="C17" s="20" t="s">
        <v>480</v>
      </c>
      <c r="D17" s="19" t="s">
        <v>75</v>
      </c>
      <c r="E17" s="17"/>
      <c r="F17" s="157">
        <v>46318.0</v>
      </c>
      <c r="G17" s="159"/>
      <c r="H17" s="30">
        <v>50000.0</v>
      </c>
      <c r="I17" s="32" t="s">
        <v>25</v>
      </c>
      <c r="J17" s="32" t="s">
        <v>26</v>
      </c>
      <c r="K17" s="32" t="s">
        <v>27</v>
      </c>
      <c r="L17" s="32" t="s">
        <v>28</v>
      </c>
      <c r="M17" s="32" t="s">
        <v>42</v>
      </c>
      <c r="N17" s="38"/>
      <c r="O17" s="38"/>
      <c r="P17" s="38"/>
      <c r="Q17" s="1"/>
      <c r="R17" s="1"/>
    </row>
    <row r="18" ht="15.75" customHeight="1">
      <c r="A18" s="1"/>
      <c r="B18" s="18">
        <v>15.0</v>
      </c>
      <c r="C18" s="78"/>
      <c r="D18" s="59"/>
      <c r="E18" s="17"/>
      <c r="F18" s="178"/>
      <c r="G18" s="159"/>
      <c r="H18" s="60"/>
      <c r="I18" s="18"/>
      <c r="J18" s="18"/>
      <c r="K18" s="18"/>
      <c r="L18" s="18"/>
      <c r="M18" s="18"/>
      <c r="N18" s="38"/>
      <c r="O18" s="38"/>
      <c r="P18" s="38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19">
        <f t="shared" ref="G19:H19" si="1">SUM(G4:G18)</f>
        <v>1150000</v>
      </c>
      <c r="H19" s="70">
        <f t="shared" si="1"/>
        <v>1650000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71" t="s">
        <v>1</v>
      </c>
      <c r="C22" s="72" t="s">
        <v>7</v>
      </c>
      <c r="D22" s="72" t="s">
        <v>120</v>
      </c>
      <c r="E22" s="1"/>
      <c r="F22" s="1"/>
      <c r="G22" s="1"/>
      <c r="H22" s="1"/>
      <c r="I22" s="1"/>
      <c r="J22" s="1"/>
      <c r="K22" s="1"/>
      <c r="L22" s="1"/>
      <c r="M22" s="1"/>
      <c r="N22" s="72" t="s">
        <v>121</v>
      </c>
      <c r="O22" s="72" t="s">
        <v>2</v>
      </c>
      <c r="P22" s="1"/>
      <c r="Q22" s="1"/>
      <c r="R22" s="1"/>
    </row>
    <row r="23" ht="15.75" customHeight="1">
      <c r="A23" s="1"/>
      <c r="B23" s="73">
        <v>1.0</v>
      </c>
      <c r="C23" s="75" t="s">
        <v>124</v>
      </c>
      <c r="D23" s="76">
        <f>SUM(G19)</f>
        <v>1150000</v>
      </c>
      <c r="E23" s="77"/>
      <c r="F23" s="1"/>
      <c r="G23" s="1"/>
      <c r="H23" s="1"/>
      <c r="I23" s="1"/>
      <c r="J23" s="1"/>
      <c r="K23" s="1"/>
      <c r="L23" s="1"/>
      <c r="M23" s="1"/>
      <c r="N23" s="79" t="s">
        <v>128</v>
      </c>
      <c r="O23" s="80" t="s">
        <v>29</v>
      </c>
      <c r="P23" s="1"/>
      <c r="Q23" s="1"/>
      <c r="R23" s="1"/>
    </row>
    <row r="24" ht="15.75" customHeight="1">
      <c r="A24" s="1"/>
      <c r="B24" s="82">
        <v>2.0</v>
      </c>
      <c r="C24" s="173" t="s">
        <v>481</v>
      </c>
      <c r="D24" s="143">
        <v>-50000.0</v>
      </c>
      <c r="E24" s="77"/>
      <c r="F24" s="1"/>
      <c r="G24" s="1"/>
      <c r="H24" s="1"/>
      <c r="I24" s="1"/>
      <c r="J24" s="1"/>
      <c r="K24" s="1"/>
      <c r="L24" s="1"/>
      <c r="M24" s="1"/>
      <c r="N24" s="85" t="s">
        <v>132</v>
      </c>
      <c r="O24" s="86" t="s">
        <v>28</v>
      </c>
      <c r="P24" s="1"/>
      <c r="Q24" s="1"/>
      <c r="R24" s="1"/>
    </row>
    <row r="25" ht="15.75" customHeight="1">
      <c r="A25" s="1"/>
      <c r="B25" s="73">
        <v>3.0</v>
      </c>
      <c r="C25" s="142" t="s">
        <v>261</v>
      </c>
      <c r="D25" s="182">
        <v>-100000.0</v>
      </c>
      <c r="E25" s="77"/>
      <c r="F25" s="1"/>
      <c r="G25" s="1"/>
      <c r="H25" s="1"/>
      <c r="I25" s="1"/>
      <c r="J25" s="1"/>
      <c r="K25" s="1"/>
      <c r="L25" s="1"/>
      <c r="M25" s="1"/>
      <c r="N25" s="88" t="s">
        <v>136</v>
      </c>
      <c r="O25" s="89" t="s">
        <v>42</v>
      </c>
      <c r="P25" s="1"/>
      <c r="Q25" s="1"/>
      <c r="R25" s="1"/>
    </row>
    <row r="26" ht="15.75" customHeight="1">
      <c r="A26" s="1"/>
      <c r="B26" s="82">
        <v>4.0</v>
      </c>
      <c r="C26" s="173" t="s">
        <v>482</v>
      </c>
      <c r="D26" s="143">
        <v>-95500.0</v>
      </c>
      <c r="E26" s="77"/>
      <c r="F26" s="1"/>
      <c r="G26" s="1"/>
      <c r="H26" s="1"/>
      <c r="I26" s="1"/>
      <c r="J26" s="1"/>
      <c r="K26" s="1"/>
      <c r="L26" s="1"/>
      <c r="M26" s="1"/>
      <c r="N26" s="95" t="s">
        <v>147</v>
      </c>
      <c r="O26" s="86" t="s">
        <v>42</v>
      </c>
      <c r="P26" s="1"/>
      <c r="Q26" s="1"/>
      <c r="R26" s="1"/>
    </row>
    <row r="27" ht="15.75" customHeight="1">
      <c r="A27" s="1"/>
      <c r="B27" s="73">
        <v>5.0</v>
      </c>
      <c r="C27" s="75"/>
      <c r="D27" s="76"/>
      <c r="E27" s="77"/>
      <c r="F27" s="1"/>
      <c r="G27" s="1"/>
      <c r="H27" s="1"/>
      <c r="I27" s="1"/>
      <c r="J27" s="1"/>
      <c r="K27" s="1"/>
      <c r="L27" s="1"/>
      <c r="M27" s="1"/>
      <c r="N27" s="98"/>
      <c r="O27" s="1"/>
      <c r="P27" s="1"/>
      <c r="Q27" s="1"/>
      <c r="R27" s="1"/>
    </row>
    <row r="28" ht="15.75" customHeight="1">
      <c r="A28" s="1"/>
      <c r="B28" s="82">
        <v>6.0</v>
      </c>
      <c r="C28" s="92"/>
      <c r="D28" s="93"/>
      <c r="E28" s="77"/>
      <c r="F28" s="1"/>
      <c r="G28" s="1"/>
      <c r="H28" s="1"/>
      <c r="I28" s="1"/>
      <c r="J28" s="1"/>
      <c r="K28" s="100" t="s">
        <v>150</v>
      </c>
      <c r="Q28" s="1"/>
      <c r="R28" s="1"/>
    </row>
    <row r="29" ht="15.75" customHeight="1">
      <c r="A29" s="1"/>
      <c r="B29" s="73">
        <v>7.0</v>
      </c>
      <c r="C29" s="75"/>
      <c r="D29" s="76"/>
      <c r="E29" s="77"/>
      <c r="F29" s="1"/>
      <c r="G29" s="1"/>
      <c r="H29" s="1"/>
      <c r="I29" s="1"/>
      <c r="J29" s="1"/>
      <c r="K29" s="101" t="s">
        <v>2</v>
      </c>
      <c r="L29" s="101" t="s">
        <v>153</v>
      </c>
      <c r="M29" s="101" t="s">
        <v>155</v>
      </c>
      <c r="N29" s="101" t="s">
        <v>156</v>
      </c>
      <c r="O29" s="101" t="s">
        <v>157</v>
      </c>
      <c r="P29" s="101" t="s">
        <v>158</v>
      </c>
      <c r="Q29" s="1"/>
      <c r="R29" s="1"/>
      <c r="AC29" s="102" t="s">
        <v>159</v>
      </c>
      <c r="AD29" s="102" t="s">
        <v>160</v>
      </c>
      <c r="AE29" s="102" t="s">
        <v>161</v>
      </c>
      <c r="AF29" s="102" t="s">
        <v>163</v>
      </c>
      <c r="AG29" s="102" t="s">
        <v>164</v>
      </c>
    </row>
    <row r="30" ht="15.75" customHeight="1">
      <c r="A30" s="1"/>
      <c r="B30" s="82">
        <v>8.0</v>
      </c>
      <c r="C30" s="92"/>
      <c r="D30" s="93"/>
      <c r="E30" s="77"/>
      <c r="F30" s="1"/>
      <c r="G30" s="1"/>
      <c r="H30" s="1"/>
      <c r="I30" s="1"/>
      <c r="J30" s="1"/>
      <c r="K30" s="104" t="str">
        <f t="shared" ref="K30:K33" si="2">IF(O23="","",O23)</f>
        <v>INDAH</v>
      </c>
      <c r="L30" s="180">
        <v>5.0</v>
      </c>
      <c r="M30" s="180">
        <v>5.0</v>
      </c>
      <c r="N30" s="180">
        <v>5.0</v>
      </c>
      <c r="O30" s="180">
        <v>5.0</v>
      </c>
      <c r="P30" s="180">
        <v>5.0</v>
      </c>
      <c r="Q30" s="1"/>
      <c r="R30" s="1"/>
      <c r="AC30" s="102">
        <f t="shared" ref="AC30:AC35" si="3">IF(AG30="","",IF(COUNT(L30:P30)&lt;5,"",L30/5*20+M30/5*25+N30/5*25+O30/5*15+P30/5*15))</f>
        <v>100</v>
      </c>
      <c r="AD30" s="102" t="str">
        <f t="shared" ref="AD30:AD35" si="4">IF(AC30="","",IF(AC30&gt;=90,"Sangat Baik",IF(AC30&gt;=80,"Baik",IF(AC30&gt;=70,"Coaching","Underperform"))))</f>
        <v>Sangat Baik</v>
      </c>
      <c r="AE30" s="102" t="str">
        <f t="shared" ref="AE30:AE35" si="5">IF(AG30="","",IF(OR(AG30="INDAH",AG30="ADDEL",AG30="AMEL",AG30="PENTIL",AG30="JIJANG"),"Admin/CS","Fotografer"))</f>
        <v>Admin/CS</v>
      </c>
      <c r="AF30" s="102">
        <f t="shared" ref="AF30:AF35" si="6">IF(OR(AG30="",COUNT(L30:P30)&lt;5),"",1)</f>
        <v>1</v>
      </c>
      <c r="AG30" s="102" t="str">
        <f t="shared" ref="AG30:AG35" si="7">IFERROR(K30,"")</f>
        <v>INDAH</v>
      </c>
    </row>
    <row r="31" ht="15.75" customHeight="1">
      <c r="A31" s="1"/>
      <c r="B31" s="73">
        <v>9.0</v>
      </c>
      <c r="C31" s="75"/>
      <c r="D31" s="76"/>
      <c r="E31" s="77"/>
      <c r="F31" s="1"/>
      <c r="G31" s="1"/>
      <c r="H31" s="1"/>
      <c r="I31" s="1"/>
      <c r="J31" s="1"/>
      <c r="K31" s="104" t="str">
        <f t="shared" si="2"/>
        <v>AMEL</v>
      </c>
      <c r="L31" s="180">
        <v>5.0</v>
      </c>
      <c r="M31" s="180">
        <v>5.0</v>
      </c>
      <c r="N31" s="180">
        <v>5.0</v>
      </c>
      <c r="O31" s="180">
        <v>5.0</v>
      </c>
      <c r="P31" s="180">
        <v>5.0</v>
      </c>
      <c r="Q31" s="1"/>
      <c r="R31" s="1"/>
      <c r="AC31" s="102">
        <f t="shared" si="3"/>
        <v>100</v>
      </c>
      <c r="AD31" s="102" t="str">
        <f t="shared" si="4"/>
        <v>Sangat Baik</v>
      </c>
      <c r="AE31" s="102" t="str">
        <f t="shared" si="5"/>
        <v>Admin/CS</v>
      </c>
      <c r="AF31" s="102">
        <f t="shared" si="6"/>
        <v>1</v>
      </c>
      <c r="AG31" s="102" t="str">
        <f t="shared" si="7"/>
        <v>AMEL</v>
      </c>
    </row>
    <row r="32" ht="15.75" customHeight="1">
      <c r="A32" s="1"/>
      <c r="B32" s="82">
        <v>10.0</v>
      </c>
      <c r="C32" s="92"/>
      <c r="D32" s="93"/>
      <c r="E32" s="77"/>
      <c r="F32" s="1"/>
      <c r="G32" s="1"/>
      <c r="H32" s="1"/>
      <c r="I32" s="1"/>
      <c r="J32" s="1"/>
      <c r="K32" s="104" t="str">
        <f t="shared" si="2"/>
        <v>ADIF</v>
      </c>
      <c r="L32" s="180">
        <v>5.0</v>
      </c>
      <c r="M32" s="180">
        <v>5.0</v>
      </c>
      <c r="N32" s="180">
        <v>5.0</v>
      </c>
      <c r="O32" s="180">
        <v>5.0</v>
      </c>
      <c r="P32" s="180">
        <v>5.0</v>
      </c>
      <c r="Q32" s="1"/>
      <c r="R32" s="1"/>
      <c r="AC32" s="102">
        <f t="shared" si="3"/>
        <v>100</v>
      </c>
      <c r="AD32" s="102" t="str">
        <f t="shared" si="4"/>
        <v>Sangat Baik</v>
      </c>
      <c r="AE32" s="102" t="str">
        <f t="shared" si="5"/>
        <v>Fotografer</v>
      </c>
      <c r="AF32" s="102">
        <f t="shared" si="6"/>
        <v>1</v>
      </c>
      <c r="AG32" s="102" t="str">
        <f t="shared" si="7"/>
        <v>ADIF</v>
      </c>
    </row>
    <row r="33" ht="15.75" customHeight="1">
      <c r="A33" s="1"/>
      <c r="B33" s="114">
        <v>11.0</v>
      </c>
      <c r="C33" s="115"/>
      <c r="D33" s="116"/>
      <c r="E33" s="77"/>
      <c r="F33" s="1"/>
      <c r="G33" s="1"/>
      <c r="H33" s="1"/>
      <c r="I33" s="1"/>
      <c r="J33" s="1"/>
      <c r="K33" s="104" t="str">
        <f t="shared" si="2"/>
        <v>ADIF</v>
      </c>
      <c r="L33" s="180">
        <v>5.0</v>
      </c>
      <c r="M33" s="180">
        <v>5.0</v>
      </c>
      <c r="N33" s="180">
        <v>5.0</v>
      </c>
      <c r="O33" s="180">
        <v>5.0</v>
      </c>
      <c r="P33" s="180">
        <v>5.0</v>
      </c>
      <c r="Q33" s="1"/>
      <c r="R33" s="1"/>
      <c r="AC33" s="102">
        <f t="shared" si="3"/>
        <v>100</v>
      </c>
      <c r="AD33" s="102" t="str">
        <f t="shared" si="4"/>
        <v>Sangat Baik</v>
      </c>
      <c r="AE33" s="102" t="str">
        <f t="shared" si="5"/>
        <v>Fotografer</v>
      </c>
      <c r="AF33" s="102">
        <f t="shared" si="6"/>
        <v>1</v>
      </c>
      <c r="AG33" s="102" t="str">
        <f t="shared" si="7"/>
        <v>ADIF</v>
      </c>
    </row>
    <row r="34" ht="15.75" customHeight="1">
      <c r="A34" s="1"/>
      <c r="B34" s="1"/>
      <c r="C34" s="3"/>
      <c r="D34" s="117">
        <f>SUM(D23:D33)</f>
        <v>904500</v>
      </c>
      <c r="E34" s="1"/>
      <c r="F34" s="1"/>
      <c r="G34" s="1"/>
      <c r="H34" s="1"/>
      <c r="I34" s="1"/>
      <c r="J34" s="1"/>
      <c r="K34" s="104"/>
      <c r="L34" s="118"/>
      <c r="M34" s="118"/>
      <c r="N34" s="118"/>
      <c r="O34" s="118"/>
      <c r="P34" s="118"/>
      <c r="Q34" s="1"/>
      <c r="R34" s="1"/>
      <c r="AC34" s="102" t="str">
        <f t="shared" si="3"/>
        <v/>
      </c>
      <c r="AD34" s="102" t="str">
        <f t="shared" si="4"/>
        <v/>
      </c>
      <c r="AE34" s="102" t="str">
        <f t="shared" si="5"/>
        <v/>
      </c>
      <c r="AF34" s="102" t="str">
        <f t="shared" si="6"/>
        <v/>
      </c>
      <c r="AG34" s="102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4"/>
      <c r="L35" s="118"/>
      <c r="M35" s="118"/>
      <c r="N35" s="118"/>
      <c r="O35" s="118"/>
      <c r="P35" s="118"/>
      <c r="Q35" s="1"/>
      <c r="R35" s="1"/>
      <c r="AC35" s="102" t="str">
        <f t="shared" si="3"/>
        <v/>
      </c>
      <c r="AD35" s="102" t="str">
        <f t="shared" si="4"/>
        <v/>
      </c>
      <c r="AE35" s="102" t="str">
        <f t="shared" si="5"/>
        <v/>
      </c>
      <c r="AF35" s="102" t="str">
        <f t="shared" si="6"/>
        <v/>
      </c>
      <c r="AG35" s="102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20" t="s">
        <v>195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21" t="s">
        <v>198</v>
      </c>
      <c r="N38" s="183"/>
      <c r="O38" s="1"/>
      <c r="P38" s="1"/>
      <c r="Q38" s="1"/>
      <c r="R38" s="1"/>
    </row>
    <row r="39" ht="15.75" customHeight="1">
      <c r="K39" s="123" t="s">
        <v>8</v>
      </c>
      <c r="L39" s="123" t="s">
        <v>200</v>
      </c>
      <c r="M39" s="123" t="s">
        <v>201</v>
      </c>
      <c r="N39" s="184" t="s">
        <v>202</v>
      </c>
    </row>
    <row r="40" ht="15.75" customHeight="1">
      <c r="K40" s="126" t="str">
        <f t="shared" ref="K40:K41" si="8">IF(O23="","",O23)</f>
        <v>INDAH</v>
      </c>
      <c r="L40" s="127">
        <v>5.0</v>
      </c>
      <c r="M40" s="129"/>
      <c r="N40" s="185"/>
    </row>
    <row r="41" ht="15.75" customHeight="1">
      <c r="K41" s="126" t="str">
        <f t="shared" si="8"/>
        <v>AMEL</v>
      </c>
      <c r="L41" s="127">
        <v>3.0</v>
      </c>
      <c r="M41" s="129"/>
      <c r="N41" s="185"/>
    </row>
    <row r="42" ht="15.75" customHeight="1"/>
    <row r="43" ht="19.5" customHeight="1">
      <c r="K43" s="132" t="s">
        <v>206</v>
      </c>
    </row>
    <row r="44" ht="19.5" customHeight="1">
      <c r="K44" s="134" t="s">
        <v>207</v>
      </c>
      <c r="M44" s="127">
        <v>31.0</v>
      </c>
    </row>
    <row r="45" ht="19.5" customHeight="1">
      <c r="K45" s="135" t="s">
        <v>208</v>
      </c>
      <c r="M45" s="138">
        <f>COUNTIF($I$4:$I$21,"DP")</f>
        <v>7</v>
      </c>
    </row>
    <row r="46" ht="19.5" customHeight="1">
      <c r="K46" s="135" t="s">
        <v>210</v>
      </c>
      <c r="M46" s="138">
        <f>COUNTIFS($I$4:$I$21,"&lt;&gt;DP",$I$4:$I$21,"&lt;&gt;")</f>
        <v>7</v>
      </c>
    </row>
    <row r="47" ht="19.5" customHeight="1">
      <c r="K47" s="139" t="s">
        <v>211</v>
      </c>
      <c r="M47" s="138">
        <f>M45+M46</f>
        <v>14</v>
      </c>
    </row>
    <row r="48" ht="19.5" customHeight="1">
      <c r="K48" s="134" t="s">
        <v>212</v>
      </c>
      <c r="M48" s="141">
        <f>IF(OR(M44="",M44=0),"",M45/M44)</f>
        <v>0.2258064516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Edit,Photofox,Couple C"</formula1>
    </dataValidation>
    <dataValidation type="list" allowBlank="1" showErrorMessage="1" sqref="N4:N18">
      <formula1>"-,Pending,Progress,Uploaded"</formula1>
    </dataValidation>
    <dataValidation type="list" allowBlank="1" sqref="O23:O26">
      <formula1>"INDAH,ADDEL,AMEL,PENTIL,JIJANG,HANIF,FAHME,ADIF,ABROR,FADEL,SAKA"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M4:M18">
      <formula1>"-,VERO,FADEL,PENTIL,ADIF,HANIF,SAKA"</formula1>
    </dataValidation>
    <dataValidation type="list" allowBlank="1" showDropDown="1" showErrorMessage="1" sqref="L4:L18">
      <formula1>"-,JIJANG,ADDEL,PENTIL,FAHME,INDAH,AMEL,dip"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28.2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487</v>
      </c>
      <c r="D4" s="19" t="s">
        <v>54</v>
      </c>
      <c r="E4" s="17"/>
      <c r="F4" s="157">
        <v>46319.0</v>
      </c>
      <c r="G4" s="159"/>
      <c r="H4" s="30">
        <v>100000.0</v>
      </c>
      <c r="I4" s="32" t="s">
        <v>25</v>
      </c>
      <c r="J4" s="32" t="s">
        <v>26</v>
      </c>
      <c r="K4" s="32" t="s">
        <v>27</v>
      </c>
      <c r="L4" s="32" t="s">
        <v>29</v>
      </c>
      <c r="M4" s="32" t="s">
        <v>59</v>
      </c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490</v>
      </c>
      <c r="D5" s="19" t="s">
        <v>54</v>
      </c>
      <c r="E5" s="17"/>
      <c r="F5" s="157">
        <v>46320.0</v>
      </c>
      <c r="G5" s="159"/>
      <c r="H5" s="30">
        <v>100000.0</v>
      </c>
      <c r="I5" s="32" t="s">
        <v>24</v>
      </c>
      <c r="J5" s="18"/>
      <c r="K5" s="18"/>
      <c r="L5" s="32" t="s">
        <v>29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485</v>
      </c>
      <c r="D6" s="19" t="s">
        <v>54</v>
      </c>
      <c r="E6" s="17"/>
      <c r="F6" s="157">
        <v>46320.0</v>
      </c>
      <c r="G6" s="159"/>
      <c r="H6" s="30">
        <v>100000.0</v>
      </c>
      <c r="I6" s="32" t="s">
        <v>24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475</v>
      </c>
      <c r="D7" s="19" t="s">
        <v>283</v>
      </c>
      <c r="E7" s="24" t="s">
        <v>494</v>
      </c>
      <c r="F7" s="157">
        <v>46319.0</v>
      </c>
      <c r="G7" s="159"/>
      <c r="H7" s="30">
        <v>500000.0</v>
      </c>
      <c r="I7" s="32" t="s">
        <v>25</v>
      </c>
      <c r="J7" s="32" t="s">
        <v>26</v>
      </c>
      <c r="K7" s="32" t="s">
        <v>27</v>
      </c>
      <c r="L7" s="32" t="s">
        <v>29</v>
      </c>
      <c r="M7" s="32" t="s">
        <v>42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496</v>
      </c>
      <c r="D8" s="19" t="s">
        <v>54</v>
      </c>
      <c r="E8" s="17"/>
      <c r="F8" s="157">
        <v>46319.0</v>
      </c>
      <c r="G8" s="161">
        <v>300000.0</v>
      </c>
      <c r="H8" s="60"/>
      <c r="I8" s="32" t="s">
        <v>25</v>
      </c>
      <c r="J8" s="32" t="s">
        <v>26</v>
      </c>
      <c r="K8" s="32" t="s">
        <v>27</v>
      </c>
      <c r="L8" s="32" t="s">
        <v>29</v>
      </c>
      <c r="M8" s="32" t="s">
        <v>42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498</v>
      </c>
      <c r="D9" s="19" t="s">
        <v>67</v>
      </c>
      <c r="E9" s="17"/>
      <c r="F9" s="157">
        <v>46340.0</v>
      </c>
      <c r="G9" s="159"/>
      <c r="H9" s="30">
        <v>100000.0</v>
      </c>
      <c r="I9" s="32" t="s">
        <v>24</v>
      </c>
      <c r="J9" s="18"/>
      <c r="K9" s="18"/>
      <c r="L9" s="32" t="s">
        <v>29</v>
      </c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476</v>
      </c>
      <c r="D10" s="19" t="s">
        <v>54</v>
      </c>
      <c r="E10" s="17"/>
      <c r="F10" s="157">
        <v>46319.0</v>
      </c>
      <c r="G10" s="161">
        <v>175000.0</v>
      </c>
      <c r="H10" s="60"/>
      <c r="I10" s="32" t="s">
        <v>25</v>
      </c>
      <c r="J10" s="32" t="s">
        <v>26</v>
      </c>
      <c r="K10" s="32" t="s">
        <v>26</v>
      </c>
      <c r="L10" s="32" t="s">
        <v>29</v>
      </c>
      <c r="M10" s="32" t="s">
        <v>42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486</v>
      </c>
      <c r="D11" s="19" t="s">
        <v>34</v>
      </c>
      <c r="E11" s="17"/>
      <c r="F11" s="157">
        <v>46320.0</v>
      </c>
      <c r="G11" s="159"/>
      <c r="H11" s="30">
        <v>100000.0</v>
      </c>
      <c r="I11" s="32" t="s">
        <v>24</v>
      </c>
      <c r="J11" s="18"/>
      <c r="K11" s="18"/>
      <c r="L11" s="32" t="s">
        <v>29</v>
      </c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445</v>
      </c>
      <c r="D12" s="19" t="s">
        <v>54</v>
      </c>
      <c r="E12" s="17"/>
      <c r="F12" s="157">
        <v>46320.0</v>
      </c>
      <c r="G12" s="159"/>
      <c r="H12" s="30">
        <v>250000.0</v>
      </c>
      <c r="I12" s="32" t="s">
        <v>25</v>
      </c>
      <c r="J12" s="32" t="s">
        <v>26</v>
      </c>
      <c r="K12" s="32" t="s">
        <v>27</v>
      </c>
      <c r="L12" s="32" t="s">
        <v>29</v>
      </c>
      <c r="M12" s="32" t="s">
        <v>42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178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9">
        <f t="shared" ref="G14:H14" si="1">SUM(G4:G13)</f>
        <v>475000</v>
      </c>
      <c r="H14" s="70">
        <f t="shared" si="1"/>
        <v>1250000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475000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80" t="s">
        <v>29</v>
      </c>
      <c r="P18" s="1"/>
      <c r="Q18" s="1"/>
      <c r="R18" s="1"/>
    </row>
    <row r="19" ht="15.75" customHeight="1">
      <c r="A19" s="1"/>
      <c r="B19" s="82">
        <v>2.0</v>
      </c>
      <c r="C19" s="173" t="s">
        <v>336</v>
      </c>
      <c r="D19" s="143">
        <v>-15000.0</v>
      </c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86" t="s">
        <v>29</v>
      </c>
      <c r="P19" s="1"/>
      <c r="Q19" s="1"/>
      <c r="R19" s="1"/>
    </row>
    <row r="20" ht="15.75" customHeight="1">
      <c r="A20" s="1"/>
      <c r="B20" s="73">
        <v>3.0</v>
      </c>
      <c r="C20" s="142" t="s">
        <v>297</v>
      </c>
      <c r="D20" s="182">
        <v>-20000.0</v>
      </c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59</v>
      </c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6" t="s">
        <v>42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1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80">
        <v>5.0</v>
      </c>
      <c r="M25" s="180">
        <v>5.0</v>
      </c>
      <c r="N25" s="180">
        <v>5.0</v>
      </c>
      <c r="O25" s="180">
        <v>5.0</v>
      </c>
      <c r="P25" s="180">
        <v>5.0</v>
      </c>
      <c r="Q25" s="1"/>
      <c r="R25" s="1"/>
      <c r="AC25" s="102">
        <f t="shared" ref="AC25:AC30" si="3">IF(AG25="","",IF(COUNT(L25:P25)&lt;5,"",L25/5*20+M25/5*25+N25/5*25+O25/5*15+P25/5*15))</f>
        <v>100</v>
      </c>
      <c r="AD25" s="102" t="str">
        <f t="shared" ref="AD25:AD30" si="4">IF(AC25="","",IF(AC25&gt;=90,"Sangat Baik",IF(AC25&gt;=80,"Baik",IF(AC25&gt;=70,"Coaching","Underperform"))))</f>
        <v>Sangat Baik</v>
      </c>
      <c r="AE25" s="102" t="str">
        <f t="shared" ref="AE25:AE30" si="5">IF(AG25="","",IF(OR(AG25="INDAH",AG25="ADDEL",AG25="AMEL",AG25="PENTIL",AG25="JIJANG"),"Admin/CS","Fotografer"))</f>
        <v>Admin/CS</v>
      </c>
      <c r="AF25" s="102">
        <f t="shared" ref="AF25:AF30" si="6">IF(OR(AG25="",COUNT(L25:P25)&lt;5),"",1)</f>
        <v>1</v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>INDAH</v>
      </c>
      <c r="L26" s="180">
        <v>5.0</v>
      </c>
      <c r="M26" s="180">
        <v>5.0</v>
      </c>
      <c r="N26" s="180">
        <v>5.0</v>
      </c>
      <c r="O26" s="180">
        <v>5.0</v>
      </c>
      <c r="P26" s="180">
        <v>5.0</v>
      </c>
      <c r="Q26" s="1"/>
      <c r="R26" s="1"/>
      <c r="AC26" s="102">
        <f t="shared" si="3"/>
        <v>100</v>
      </c>
      <c r="AD26" s="102" t="str">
        <f t="shared" si="4"/>
        <v>Sangat Baik</v>
      </c>
      <c r="AE26" s="102" t="str">
        <f t="shared" si="5"/>
        <v>Admin/CS</v>
      </c>
      <c r="AF26" s="102">
        <f t="shared" si="6"/>
        <v>1</v>
      </c>
      <c r="AG26" s="102" t="str">
        <f t="shared" si="7"/>
        <v>INDAH</v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>SAKA</v>
      </c>
      <c r="L27" s="180">
        <v>5.0</v>
      </c>
      <c r="M27" s="180">
        <v>5.0</v>
      </c>
      <c r="N27" s="180">
        <v>5.0</v>
      </c>
      <c r="O27" s="180">
        <v>5.0</v>
      </c>
      <c r="P27" s="180">
        <v>5.0</v>
      </c>
      <c r="Q27" s="1"/>
      <c r="R27" s="1"/>
      <c r="AC27" s="102">
        <f t="shared" si="3"/>
        <v>100</v>
      </c>
      <c r="AD27" s="102" t="str">
        <f t="shared" si="4"/>
        <v>Sangat Baik</v>
      </c>
      <c r="AE27" s="102" t="str">
        <f t="shared" si="5"/>
        <v>Fotografer</v>
      </c>
      <c r="AF27" s="102">
        <f t="shared" si="6"/>
        <v>1</v>
      </c>
      <c r="AG27" s="102" t="str">
        <f t="shared" si="7"/>
        <v>SAKA</v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>ADIF</v>
      </c>
      <c r="L28" s="180">
        <v>5.0</v>
      </c>
      <c r="M28" s="180">
        <v>5.0</v>
      </c>
      <c r="N28" s="180">
        <v>5.0</v>
      </c>
      <c r="O28" s="180">
        <v>5.0</v>
      </c>
      <c r="P28" s="180">
        <v>5.0</v>
      </c>
      <c r="Q28" s="1"/>
      <c r="R28" s="1"/>
      <c r="AC28" s="102">
        <f t="shared" si="3"/>
        <v>100</v>
      </c>
      <c r="AD28" s="102" t="str">
        <f t="shared" si="4"/>
        <v>Sangat Baik</v>
      </c>
      <c r="AE28" s="102" t="str">
        <f t="shared" si="5"/>
        <v>Fotografer</v>
      </c>
      <c r="AF28" s="102">
        <f t="shared" si="6"/>
        <v>1</v>
      </c>
      <c r="AG28" s="102" t="str">
        <f t="shared" si="7"/>
        <v>ADIF</v>
      </c>
    </row>
    <row r="29" ht="15.75" customHeight="1">
      <c r="A29" s="1"/>
      <c r="B29" s="1"/>
      <c r="C29" s="3"/>
      <c r="D29" s="117">
        <f>SUM(D18:D28)</f>
        <v>440000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</row>
    <row r="35" ht="15.75" customHeight="1">
      <c r="K35" s="126" t="str">
        <f t="shared" ref="K35:K36" si="8">IF(O18="","",O18)</f>
        <v>INDAH</v>
      </c>
      <c r="L35" s="127">
        <v>4.0</v>
      </c>
      <c r="M35" s="127" t="s">
        <v>337</v>
      </c>
    </row>
    <row r="36" ht="15.75" customHeight="1">
      <c r="K36" s="126" t="str">
        <f t="shared" si="8"/>
        <v>INDAH</v>
      </c>
      <c r="L36" s="129"/>
      <c r="M36" s="129"/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7">
        <v>22.0</v>
      </c>
    </row>
    <row r="40" ht="19.5" customHeight="1">
      <c r="K40" s="135" t="s">
        <v>208</v>
      </c>
      <c r="M40" s="138">
        <f>COUNTIF($I$4:$I$16,"DP")</f>
        <v>4</v>
      </c>
    </row>
    <row r="41" ht="19.5" customHeight="1">
      <c r="K41" s="135" t="s">
        <v>210</v>
      </c>
      <c r="M41" s="138">
        <f>COUNTIFS($I$4:$I$16,"&lt;&gt;DP",$I$4:$I$16,"&lt;&gt;")</f>
        <v>5</v>
      </c>
    </row>
    <row r="42" ht="19.5" customHeight="1">
      <c r="K42" s="139" t="s">
        <v>211</v>
      </c>
      <c r="M42" s="138">
        <f>M40+M41</f>
        <v>9</v>
      </c>
    </row>
    <row r="43" ht="19.5" customHeight="1">
      <c r="K43" s="134" t="s">
        <v>212</v>
      </c>
      <c r="M43" s="141">
        <f>IF(OR(M39="",M39=0),"",M40/M39)</f>
        <v>0.1818181818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483</v>
      </c>
      <c r="D4" s="19" t="s">
        <v>34</v>
      </c>
      <c r="E4" s="17"/>
      <c r="F4" s="157">
        <v>46320.0</v>
      </c>
      <c r="G4" s="159"/>
      <c r="H4" s="30">
        <v>100000.0</v>
      </c>
      <c r="I4" s="32" t="s">
        <v>24</v>
      </c>
      <c r="J4" s="18"/>
      <c r="K4" s="18"/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48" t="s">
        <v>484</v>
      </c>
      <c r="D5" s="19" t="s">
        <v>54</v>
      </c>
      <c r="E5" s="17"/>
      <c r="F5" s="157">
        <v>46323.0</v>
      </c>
      <c r="G5" s="159"/>
      <c r="H5" s="30">
        <v>100000.0</v>
      </c>
      <c r="I5" s="32" t="s">
        <v>24</v>
      </c>
      <c r="J5" s="18"/>
      <c r="K5" s="18"/>
      <c r="L5" s="32" t="s">
        <v>29</v>
      </c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485</v>
      </c>
      <c r="D6" s="19" t="s">
        <v>54</v>
      </c>
      <c r="E6" s="17"/>
      <c r="F6" s="157">
        <v>46320.0</v>
      </c>
      <c r="G6" s="159"/>
      <c r="H6" s="30">
        <v>100000.0</v>
      </c>
      <c r="I6" s="32" t="s">
        <v>25</v>
      </c>
      <c r="J6" s="32" t="s">
        <v>26</v>
      </c>
      <c r="K6" s="32" t="s">
        <v>27</v>
      </c>
      <c r="L6" s="32" t="s">
        <v>29</v>
      </c>
      <c r="M6" s="32" t="s">
        <v>59</v>
      </c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486</v>
      </c>
      <c r="D7" s="19" t="s">
        <v>34</v>
      </c>
      <c r="E7" s="17"/>
      <c r="F7" s="157">
        <v>46320.0</v>
      </c>
      <c r="G7" s="159"/>
      <c r="H7" s="30">
        <v>125000.0</v>
      </c>
      <c r="I7" s="32" t="s">
        <v>25</v>
      </c>
      <c r="J7" s="32" t="s">
        <v>26</v>
      </c>
      <c r="K7" s="18"/>
      <c r="L7" s="32" t="s">
        <v>28</v>
      </c>
      <c r="M7" s="32" t="s">
        <v>59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483</v>
      </c>
      <c r="D8" s="19" t="s">
        <v>34</v>
      </c>
      <c r="E8" s="17"/>
      <c r="F8" s="157">
        <v>46320.0</v>
      </c>
      <c r="G8" s="159"/>
      <c r="H8" s="30">
        <v>100000.0</v>
      </c>
      <c r="I8" s="32" t="s">
        <v>25</v>
      </c>
      <c r="J8" s="32" t="s">
        <v>26</v>
      </c>
      <c r="K8" s="18"/>
      <c r="L8" s="32" t="s">
        <v>28</v>
      </c>
      <c r="M8" s="32" t="s">
        <v>59</v>
      </c>
      <c r="N8" s="38"/>
      <c r="O8" s="38"/>
      <c r="P8" s="38"/>
      <c r="Q8" s="1"/>
      <c r="R8" s="1"/>
    </row>
    <row r="9" ht="15.75" customHeight="1">
      <c r="A9" s="1"/>
      <c r="B9" s="18">
        <v>6.0</v>
      </c>
      <c r="C9" s="20" t="s">
        <v>488</v>
      </c>
      <c r="D9" s="19" t="s">
        <v>278</v>
      </c>
      <c r="E9" s="24">
        <v>2.0</v>
      </c>
      <c r="F9" s="32" t="s">
        <v>489</v>
      </c>
      <c r="G9" s="159"/>
      <c r="H9" s="60"/>
      <c r="I9" s="32" t="s">
        <v>25</v>
      </c>
      <c r="J9" s="32" t="s">
        <v>26</v>
      </c>
      <c r="K9" s="32" t="s">
        <v>26</v>
      </c>
      <c r="L9" s="32" t="s">
        <v>28</v>
      </c>
      <c r="M9" s="32" t="s">
        <v>59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491</v>
      </c>
      <c r="D10" s="19" t="s">
        <v>54</v>
      </c>
      <c r="E10" s="17"/>
      <c r="F10" s="157">
        <v>46341.0</v>
      </c>
      <c r="G10" s="159"/>
      <c r="H10" s="30">
        <v>100000.0</v>
      </c>
      <c r="I10" s="32" t="s">
        <v>24</v>
      </c>
      <c r="J10" s="18"/>
      <c r="K10" s="18"/>
      <c r="L10" s="32" t="s">
        <v>28</v>
      </c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20" t="s">
        <v>492</v>
      </c>
      <c r="D11" s="19" t="s">
        <v>34</v>
      </c>
      <c r="E11" s="17"/>
      <c r="F11" s="157">
        <v>46320.0</v>
      </c>
      <c r="G11" s="159"/>
      <c r="H11" s="30">
        <v>125000.0</v>
      </c>
      <c r="I11" s="32" t="s">
        <v>25</v>
      </c>
      <c r="J11" s="32" t="s">
        <v>26</v>
      </c>
      <c r="K11" s="18"/>
      <c r="L11" s="32" t="s">
        <v>28</v>
      </c>
      <c r="M11" s="32" t="s">
        <v>59</v>
      </c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20" t="s">
        <v>493</v>
      </c>
      <c r="D12" s="19" t="s">
        <v>43</v>
      </c>
      <c r="E12" s="17"/>
      <c r="F12" s="157">
        <v>46320.0</v>
      </c>
      <c r="G12" s="161">
        <v>150000.0</v>
      </c>
      <c r="H12" s="60"/>
      <c r="I12" s="32" t="s">
        <v>25</v>
      </c>
      <c r="J12" s="32" t="s">
        <v>26</v>
      </c>
      <c r="K12" s="32" t="s">
        <v>27</v>
      </c>
      <c r="L12" s="32" t="s">
        <v>28</v>
      </c>
      <c r="M12" s="32" t="s">
        <v>59</v>
      </c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20" t="s">
        <v>495</v>
      </c>
      <c r="D13" s="19" t="s">
        <v>231</v>
      </c>
      <c r="E13" s="17"/>
      <c r="F13" s="157">
        <v>46299.0</v>
      </c>
      <c r="G13" s="159"/>
      <c r="H13" s="30">
        <v>20000.0</v>
      </c>
      <c r="I13" s="32" t="s">
        <v>25</v>
      </c>
      <c r="J13" s="18"/>
      <c r="K13" s="18"/>
      <c r="L13" s="32" t="s">
        <v>28</v>
      </c>
      <c r="M13" s="18"/>
      <c r="N13" s="38"/>
      <c r="O13" s="38"/>
      <c r="P13" s="38"/>
      <c r="Q13" s="1"/>
      <c r="R13" s="1"/>
    </row>
    <row r="14" ht="15.75" customHeight="1">
      <c r="A14" s="1"/>
      <c r="B14" s="18">
        <v>11.0</v>
      </c>
      <c r="C14" s="20" t="s">
        <v>497</v>
      </c>
      <c r="D14" s="19" t="s">
        <v>54</v>
      </c>
      <c r="E14" s="17"/>
      <c r="F14" s="157">
        <v>46331.0</v>
      </c>
      <c r="G14" s="159"/>
      <c r="H14" s="30">
        <v>100000.0</v>
      </c>
      <c r="I14" s="32" t="s">
        <v>24</v>
      </c>
      <c r="J14" s="18"/>
      <c r="K14" s="18"/>
      <c r="L14" s="32" t="s">
        <v>28</v>
      </c>
      <c r="M14" s="18"/>
      <c r="N14" s="38"/>
      <c r="O14" s="38"/>
      <c r="P14" s="38"/>
      <c r="Q14" s="1"/>
      <c r="R14" s="1"/>
    </row>
    <row r="15" ht="15.75" customHeight="1">
      <c r="A15" s="1"/>
      <c r="B15" s="32">
        <v>12.0</v>
      </c>
      <c r="C15" s="20" t="s">
        <v>499</v>
      </c>
      <c r="D15" s="19" t="s">
        <v>231</v>
      </c>
      <c r="E15" s="17"/>
      <c r="F15" s="32" t="s">
        <v>500</v>
      </c>
      <c r="G15" s="159"/>
      <c r="H15" s="30">
        <v>20000.0</v>
      </c>
      <c r="I15" s="32" t="s">
        <v>25</v>
      </c>
      <c r="J15" s="18"/>
      <c r="K15" s="18"/>
      <c r="L15" s="32" t="s">
        <v>28</v>
      </c>
      <c r="M15" s="18"/>
      <c r="N15" s="38"/>
      <c r="O15" s="38"/>
      <c r="P15" s="38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119">
        <f t="shared" ref="G16:H16" si="1">SUM(G4:G15)</f>
        <v>150000</v>
      </c>
      <c r="H16" s="70">
        <f t="shared" si="1"/>
        <v>890000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71" t="s">
        <v>1</v>
      </c>
      <c r="C19" s="72" t="s">
        <v>7</v>
      </c>
      <c r="D19" s="72" t="s">
        <v>120</v>
      </c>
      <c r="E19" s="1"/>
      <c r="F19" s="1"/>
      <c r="G19" s="1"/>
      <c r="H19" s="1"/>
      <c r="I19" s="1"/>
      <c r="J19" s="1"/>
      <c r="K19" s="1"/>
      <c r="L19" s="1"/>
      <c r="M19" s="1"/>
      <c r="N19" s="72" t="s">
        <v>121</v>
      </c>
      <c r="O19" s="72" t="s">
        <v>2</v>
      </c>
      <c r="P19" s="1"/>
      <c r="Q19" s="1"/>
      <c r="R19" s="1"/>
    </row>
    <row r="20" ht="15.75" customHeight="1">
      <c r="A20" s="1"/>
      <c r="B20" s="73">
        <v>1.0</v>
      </c>
      <c r="C20" s="75" t="s">
        <v>124</v>
      </c>
      <c r="D20" s="76">
        <f>SUM(G16)</f>
        <v>150000</v>
      </c>
      <c r="E20" s="77"/>
      <c r="F20" s="1"/>
      <c r="G20" s="1"/>
      <c r="H20" s="1"/>
      <c r="I20" s="1"/>
      <c r="J20" s="1"/>
      <c r="K20" s="1"/>
      <c r="L20" s="1"/>
      <c r="M20" s="1"/>
      <c r="N20" s="79" t="s">
        <v>128</v>
      </c>
      <c r="O20" s="80" t="s">
        <v>29</v>
      </c>
      <c r="P20" s="1"/>
      <c r="Q20" s="1"/>
      <c r="R20" s="1"/>
    </row>
    <row r="21" ht="15.75" customHeight="1">
      <c r="A21" s="1"/>
      <c r="B21" s="82">
        <v>2.0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85" t="s">
        <v>132</v>
      </c>
      <c r="O21" s="86" t="s">
        <v>28</v>
      </c>
      <c r="P21" s="1"/>
      <c r="Q21" s="1"/>
      <c r="R21" s="1"/>
    </row>
    <row r="22" ht="15.75" customHeight="1">
      <c r="A22" s="1"/>
      <c r="B22" s="73">
        <v>3.0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88" t="s">
        <v>136</v>
      </c>
      <c r="O22" s="89" t="s">
        <v>59</v>
      </c>
      <c r="P22" s="1"/>
      <c r="Q22" s="1"/>
      <c r="R22" s="1"/>
    </row>
    <row r="23" ht="15.75" customHeight="1">
      <c r="A23" s="1"/>
      <c r="B23" s="82">
        <v>4.0</v>
      </c>
      <c r="C23" s="92"/>
      <c r="D23" s="93"/>
      <c r="E23" s="77"/>
      <c r="F23" s="1"/>
      <c r="G23" s="1"/>
      <c r="H23" s="1"/>
      <c r="I23" s="1"/>
      <c r="J23" s="1"/>
      <c r="K23" s="1"/>
      <c r="L23" s="1"/>
      <c r="M23" s="1"/>
      <c r="N23" s="95" t="s">
        <v>147</v>
      </c>
      <c r="O23" s="86" t="s">
        <v>59</v>
      </c>
      <c r="P23" s="1"/>
      <c r="Q23" s="1"/>
      <c r="R23" s="1"/>
    </row>
    <row r="24" ht="15.75" customHeight="1">
      <c r="A24" s="1"/>
      <c r="B24" s="73">
        <v>5.0</v>
      </c>
      <c r="C24" s="75"/>
      <c r="D24" s="76"/>
      <c r="E24" s="77"/>
      <c r="F24" s="1"/>
      <c r="G24" s="1"/>
      <c r="H24" s="1"/>
      <c r="I24" s="1"/>
      <c r="J24" s="1"/>
      <c r="K24" s="1"/>
      <c r="L24" s="1"/>
      <c r="M24" s="1"/>
      <c r="N24" s="98"/>
      <c r="O24" s="1"/>
      <c r="P24" s="1"/>
      <c r="Q24" s="1"/>
      <c r="R24" s="1"/>
    </row>
    <row r="25" ht="15.75" customHeight="1">
      <c r="A25" s="1"/>
      <c r="B25" s="82">
        <v>6.0</v>
      </c>
      <c r="C25" s="92"/>
      <c r="D25" s="93"/>
      <c r="E25" s="77"/>
      <c r="F25" s="1"/>
      <c r="G25" s="1"/>
      <c r="H25" s="1"/>
      <c r="I25" s="1"/>
      <c r="J25" s="1"/>
      <c r="K25" s="100" t="s">
        <v>150</v>
      </c>
      <c r="Q25" s="1"/>
      <c r="R25" s="1"/>
    </row>
    <row r="26" ht="15.75" customHeight="1">
      <c r="A26" s="1"/>
      <c r="B26" s="73">
        <v>7.0</v>
      </c>
      <c r="C26" s="75"/>
      <c r="D26" s="76"/>
      <c r="E26" s="77"/>
      <c r="F26" s="1"/>
      <c r="G26" s="1"/>
      <c r="H26" s="1"/>
      <c r="I26" s="1"/>
      <c r="J26" s="1"/>
      <c r="K26" s="101" t="s">
        <v>2</v>
      </c>
      <c r="L26" s="101" t="s">
        <v>153</v>
      </c>
      <c r="M26" s="101" t="s">
        <v>155</v>
      </c>
      <c r="N26" s="101" t="s">
        <v>156</v>
      </c>
      <c r="O26" s="101" t="s">
        <v>157</v>
      </c>
      <c r="P26" s="101" t="s">
        <v>158</v>
      </c>
      <c r="Q26" s="1"/>
      <c r="R26" s="1"/>
      <c r="AC26" s="102" t="s">
        <v>159</v>
      </c>
      <c r="AD26" s="102" t="s">
        <v>160</v>
      </c>
      <c r="AE26" s="102" t="s">
        <v>161</v>
      </c>
      <c r="AF26" s="102" t="s">
        <v>163</v>
      </c>
      <c r="AG26" s="102" t="s">
        <v>164</v>
      </c>
    </row>
    <row r="27" ht="15.75" customHeight="1">
      <c r="A27" s="1"/>
      <c r="B27" s="82">
        <v>8.0</v>
      </c>
      <c r="C27" s="92"/>
      <c r="D27" s="93"/>
      <c r="E27" s="77"/>
      <c r="F27" s="1"/>
      <c r="G27" s="1"/>
      <c r="H27" s="1"/>
      <c r="I27" s="1"/>
      <c r="J27" s="1"/>
      <c r="K27" s="104" t="str">
        <f t="shared" ref="K27:K30" si="2">IF(O20="","",O20)</f>
        <v>INDAH</v>
      </c>
      <c r="L27" s="180">
        <v>5.0</v>
      </c>
      <c r="M27" s="180">
        <v>5.0</v>
      </c>
      <c r="N27" s="180">
        <v>5.0</v>
      </c>
      <c r="O27" s="180">
        <v>5.0</v>
      </c>
      <c r="P27" s="180">
        <v>5.0</v>
      </c>
      <c r="Q27" s="1"/>
      <c r="R27" s="1"/>
      <c r="AC27" s="102">
        <f t="shared" ref="AC27:AC32" si="3">IF(AG27="","",IF(COUNT(L27:P27)&lt;5,"",L27/5*20+M27/5*25+N27/5*25+O27/5*15+P27/5*15))</f>
        <v>100</v>
      </c>
      <c r="AD27" s="102" t="str">
        <f t="shared" ref="AD27:AD32" si="4">IF(AC27="","",IF(AC27&gt;=90,"Sangat Baik",IF(AC27&gt;=80,"Baik",IF(AC27&gt;=70,"Coaching","Underperform"))))</f>
        <v>Sangat Baik</v>
      </c>
      <c r="AE27" s="102" t="str">
        <f t="shared" ref="AE27:AE32" si="5">IF(AG27="","",IF(OR(AG27="INDAH",AG27="ADDEL",AG27="AMEL",AG27="PENTIL",AG27="JIJANG"),"Admin/CS","Fotografer"))</f>
        <v>Admin/CS</v>
      </c>
      <c r="AF27" s="102">
        <f t="shared" ref="AF27:AF32" si="6">IF(OR(AG27="",COUNT(L27:P27)&lt;5),"",1)</f>
        <v>1</v>
      </c>
      <c r="AG27" s="102" t="str">
        <f t="shared" ref="AG27:AG32" si="7">IFERROR(K27,"")</f>
        <v>INDAH</v>
      </c>
    </row>
    <row r="28" ht="15.75" customHeight="1">
      <c r="A28" s="1"/>
      <c r="B28" s="73">
        <v>9.0</v>
      </c>
      <c r="C28" s="75"/>
      <c r="D28" s="76"/>
      <c r="E28" s="77"/>
      <c r="F28" s="1"/>
      <c r="G28" s="1"/>
      <c r="H28" s="1"/>
      <c r="I28" s="1"/>
      <c r="J28" s="1"/>
      <c r="K28" s="104" t="str">
        <f t="shared" si="2"/>
        <v>AMEL</v>
      </c>
      <c r="L28" s="180">
        <v>5.0</v>
      </c>
      <c r="M28" s="180">
        <v>4.0</v>
      </c>
      <c r="N28" s="180">
        <v>5.0</v>
      </c>
      <c r="O28" s="180">
        <v>5.0</v>
      </c>
      <c r="P28" s="180">
        <v>4.0</v>
      </c>
      <c r="Q28" s="1"/>
      <c r="R28" s="1"/>
      <c r="AC28" s="102">
        <f t="shared" si="3"/>
        <v>92</v>
      </c>
      <c r="AD28" s="102" t="str">
        <f t="shared" si="4"/>
        <v>Sangat Baik</v>
      </c>
      <c r="AE28" s="102" t="str">
        <f t="shared" si="5"/>
        <v>Admin/CS</v>
      </c>
      <c r="AF28" s="102">
        <f t="shared" si="6"/>
        <v>1</v>
      </c>
      <c r="AG28" s="102" t="str">
        <f t="shared" si="7"/>
        <v>AMEL</v>
      </c>
    </row>
    <row r="29" ht="15.75" customHeight="1">
      <c r="A29" s="1"/>
      <c r="B29" s="82">
        <v>10.0</v>
      </c>
      <c r="C29" s="92"/>
      <c r="D29" s="93"/>
      <c r="E29" s="77"/>
      <c r="F29" s="1"/>
      <c r="G29" s="1"/>
      <c r="H29" s="1"/>
      <c r="I29" s="1"/>
      <c r="J29" s="1"/>
      <c r="K29" s="104" t="str">
        <f t="shared" si="2"/>
        <v>SAKA</v>
      </c>
      <c r="L29" s="180">
        <v>5.0</v>
      </c>
      <c r="M29" s="180">
        <v>5.0</v>
      </c>
      <c r="N29" s="180">
        <v>5.0</v>
      </c>
      <c r="O29" s="180">
        <v>5.0</v>
      </c>
      <c r="P29" s="180">
        <v>5.0</v>
      </c>
      <c r="Q29" s="1"/>
      <c r="R29" s="1"/>
      <c r="AC29" s="102">
        <f t="shared" si="3"/>
        <v>100</v>
      </c>
      <c r="AD29" s="102" t="str">
        <f t="shared" si="4"/>
        <v>Sangat Baik</v>
      </c>
      <c r="AE29" s="102" t="str">
        <f t="shared" si="5"/>
        <v>Fotografer</v>
      </c>
      <c r="AF29" s="102">
        <f t="shared" si="6"/>
        <v>1</v>
      </c>
      <c r="AG29" s="102" t="str">
        <f t="shared" si="7"/>
        <v>SAKA</v>
      </c>
    </row>
    <row r="30" ht="15.75" customHeight="1">
      <c r="A30" s="1"/>
      <c r="B30" s="114">
        <v>11.0</v>
      </c>
      <c r="C30" s="115"/>
      <c r="D30" s="116"/>
      <c r="E30" s="77"/>
      <c r="F30" s="1"/>
      <c r="G30" s="1"/>
      <c r="H30" s="1"/>
      <c r="I30" s="1"/>
      <c r="J30" s="1"/>
      <c r="K30" s="104" t="str">
        <f t="shared" si="2"/>
        <v>SAKA</v>
      </c>
      <c r="L30" s="180">
        <v>5.0</v>
      </c>
      <c r="M30" s="180">
        <v>5.0</v>
      </c>
      <c r="N30" s="180">
        <v>5.0</v>
      </c>
      <c r="O30" s="180">
        <v>5.0</v>
      </c>
      <c r="P30" s="180">
        <v>5.0</v>
      </c>
      <c r="Q30" s="1"/>
      <c r="R30" s="1"/>
      <c r="AC30" s="102">
        <f t="shared" si="3"/>
        <v>100</v>
      </c>
      <c r="AD30" s="102" t="str">
        <f t="shared" si="4"/>
        <v>Sangat Baik</v>
      </c>
      <c r="AE30" s="102" t="str">
        <f t="shared" si="5"/>
        <v>Fotografer</v>
      </c>
      <c r="AF30" s="102">
        <f t="shared" si="6"/>
        <v>1</v>
      </c>
      <c r="AG30" s="102" t="str">
        <f t="shared" si="7"/>
        <v>SAKA</v>
      </c>
    </row>
    <row r="31" ht="15.75" customHeight="1">
      <c r="A31" s="1"/>
      <c r="B31" s="1"/>
      <c r="C31" s="3"/>
      <c r="D31" s="117">
        <f>SUM(D20:D30)</f>
        <v>150000</v>
      </c>
      <c r="E31" s="1"/>
      <c r="F31" s="1"/>
      <c r="G31" s="1"/>
      <c r="H31" s="1"/>
      <c r="I31" s="1"/>
      <c r="J31" s="1"/>
      <c r="K31" s="104"/>
      <c r="L31" s="118"/>
      <c r="M31" s="118"/>
      <c r="N31" s="118"/>
      <c r="O31" s="118"/>
      <c r="P31" s="118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8"/>
      <c r="M32" s="118"/>
      <c r="N32" s="118"/>
      <c r="O32" s="118"/>
      <c r="P32" s="118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0" t="s">
        <v>195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21" t="s">
        <v>198</v>
      </c>
      <c r="N35" s="183"/>
      <c r="O35" s="1"/>
      <c r="P35" s="1"/>
      <c r="Q35" s="1"/>
      <c r="R35" s="1"/>
    </row>
    <row r="36" ht="15.75" customHeight="1">
      <c r="K36" s="123" t="s">
        <v>8</v>
      </c>
      <c r="L36" s="123" t="s">
        <v>200</v>
      </c>
      <c r="M36" s="123" t="s">
        <v>201</v>
      </c>
      <c r="N36" s="184" t="s">
        <v>202</v>
      </c>
    </row>
    <row r="37" ht="15.75" customHeight="1">
      <c r="K37" s="126" t="str">
        <f t="shared" ref="K37:K38" si="8">IF(O20="","",O20)</f>
        <v>INDAH</v>
      </c>
      <c r="L37" s="127">
        <v>2.0</v>
      </c>
      <c r="M37" s="129"/>
      <c r="N37" s="185"/>
    </row>
    <row r="38" ht="15.75" customHeight="1">
      <c r="K38" s="126" t="str">
        <f t="shared" si="8"/>
        <v>AMEL</v>
      </c>
      <c r="L38" s="127">
        <v>2.0</v>
      </c>
      <c r="M38" s="129"/>
      <c r="N38" s="185"/>
    </row>
    <row r="39" ht="15.75" customHeight="1"/>
    <row r="40" ht="19.5" customHeight="1">
      <c r="K40" s="132" t="s">
        <v>206</v>
      </c>
    </row>
    <row r="41" ht="19.5" customHeight="1">
      <c r="K41" s="134" t="s">
        <v>207</v>
      </c>
      <c r="M41" s="127">
        <v>24.0</v>
      </c>
    </row>
    <row r="42" ht="19.5" customHeight="1">
      <c r="K42" s="135" t="s">
        <v>208</v>
      </c>
      <c r="M42" s="138">
        <f>COUNTIF($I$4:$I$18,"DP")</f>
        <v>4</v>
      </c>
    </row>
    <row r="43" ht="19.5" customHeight="1">
      <c r="K43" s="135" t="s">
        <v>210</v>
      </c>
      <c r="M43" s="138">
        <f>COUNTIFS($I$4:$I$18,"&lt;&gt;DP",$I$4:$I$18,"&lt;&gt;")</f>
        <v>8</v>
      </c>
    </row>
    <row r="44" ht="19.5" customHeight="1">
      <c r="K44" s="139" t="s">
        <v>211</v>
      </c>
      <c r="M44" s="138">
        <f>M42+M43</f>
        <v>12</v>
      </c>
    </row>
    <row r="45" ht="19.5" customHeight="1">
      <c r="K45" s="134" t="s">
        <v>212</v>
      </c>
      <c r="M45" s="141">
        <f>IF(OR(M41="",M41=0),"",M42/M41)</f>
        <v>0.1666666667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J4:K15">
      <formula1>"-,Pending,Uploaded"</formula1>
    </dataValidation>
    <dataValidation type="list" allowBlank="1" showDropDown="1" showErrorMessage="1" sqref="M4:M15">
      <formula1>"-,VERO,FADEL,PENTIL,FAHME,HANIF,ADIF,SAKA"</formula1>
    </dataValidation>
    <dataValidation type="list" allowBlank="1" sqref="K27:K32">
      <formula1>'Resume Karyawan KPI'!$AK$5:$AK$15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Edit,Add Cetak 5R,Couple C,Photofox,Packing"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L6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438</v>
      </c>
      <c r="D4" s="19" t="s">
        <v>54</v>
      </c>
      <c r="E4" s="17"/>
      <c r="F4" s="157">
        <v>46329.0</v>
      </c>
      <c r="G4" s="159"/>
      <c r="H4" s="30">
        <v>100000.0</v>
      </c>
      <c r="I4" s="32" t="s">
        <v>24</v>
      </c>
      <c r="J4" s="18"/>
      <c r="K4" s="18"/>
      <c r="L4" s="32" t="s">
        <v>29</v>
      </c>
      <c r="M4" s="18"/>
      <c r="N4" s="33"/>
      <c r="O4" s="33"/>
      <c r="P4" s="33"/>
      <c r="Q4" s="1"/>
      <c r="R4" s="1"/>
    </row>
    <row r="5" ht="15.75" customHeight="1">
      <c r="A5" s="1"/>
      <c r="B5" s="18">
        <v>2.0</v>
      </c>
      <c r="C5" s="20" t="s">
        <v>501</v>
      </c>
      <c r="D5" s="19" t="s">
        <v>54</v>
      </c>
      <c r="E5" s="17"/>
      <c r="F5" s="157">
        <v>46321.0</v>
      </c>
      <c r="G5" s="161">
        <v>175000.0</v>
      </c>
      <c r="H5" s="60"/>
      <c r="I5" s="32" t="s">
        <v>25</v>
      </c>
      <c r="J5" s="32" t="s">
        <v>26</v>
      </c>
      <c r="K5" s="32" t="s">
        <v>26</v>
      </c>
      <c r="L5" s="32" t="s">
        <v>29</v>
      </c>
      <c r="M5" s="32" t="s">
        <v>42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20" t="s">
        <v>502</v>
      </c>
      <c r="D6" s="19" t="s">
        <v>54</v>
      </c>
      <c r="E6" s="17"/>
      <c r="F6" s="157">
        <v>46334.0</v>
      </c>
      <c r="G6" s="159"/>
      <c r="H6" s="30">
        <v>100000.0</v>
      </c>
      <c r="I6" s="32" t="s">
        <v>24</v>
      </c>
      <c r="J6" s="18"/>
      <c r="K6" s="18"/>
      <c r="L6" s="32" t="s">
        <v>29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503</v>
      </c>
      <c r="D7" s="19" t="s">
        <v>241</v>
      </c>
      <c r="E7" s="24" t="s">
        <v>197</v>
      </c>
      <c r="F7" s="157">
        <v>46321.0</v>
      </c>
      <c r="G7" s="161">
        <v>350000.0</v>
      </c>
      <c r="H7" s="60"/>
      <c r="I7" s="32" t="s">
        <v>25</v>
      </c>
      <c r="J7" s="32" t="s">
        <v>26</v>
      </c>
      <c r="K7" s="32" t="s">
        <v>27</v>
      </c>
      <c r="L7" s="32" t="s">
        <v>29</v>
      </c>
      <c r="M7" s="32" t="s">
        <v>42</v>
      </c>
      <c r="N7" s="38"/>
      <c r="O7" s="38"/>
      <c r="P7" s="38"/>
      <c r="Q7" s="1"/>
      <c r="R7" s="1"/>
    </row>
    <row r="8" ht="15.75" customHeight="1">
      <c r="A8" s="1"/>
      <c r="B8" s="18">
        <v>5.0</v>
      </c>
      <c r="C8" s="48"/>
      <c r="D8" s="19"/>
      <c r="E8" s="17"/>
      <c r="F8" s="157"/>
      <c r="G8" s="159"/>
      <c r="H8" s="30"/>
      <c r="I8" s="32"/>
      <c r="J8" s="18"/>
      <c r="K8" s="18"/>
      <c r="L8" s="32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78"/>
      <c r="D9" s="59"/>
      <c r="E9" s="17"/>
      <c r="F9" s="178"/>
      <c r="G9" s="159"/>
      <c r="H9" s="60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78"/>
      <c r="D10" s="59"/>
      <c r="E10" s="17"/>
      <c r="F10" s="97"/>
      <c r="G10" s="159"/>
      <c r="H10" s="60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170"/>
      <c r="D11" s="59"/>
      <c r="E11" s="17"/>
      <c r="F11" s="178"/>
      <c r="G11" s="159"/>
      <c r="H11" s="60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78"/>
      <c r="D12" s="59"/>
      <c r="E12" s="17"/>
      <c r="F12" s="178"/>
      <c r="G12" s="159"/>
      <c r="H12" s="60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97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9">
        <f t="shared" ref="G14:H14" si="1">SUM(G4:G13)</f>
        <v>525000</v>
      </c>
      <c r="H14" s="70">
        <f t="shared" si="1"/>
        <v>200000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525000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80" t="s">
        <v>28</v>
      </c>
      <c r="P18" s="1"/>
      <c r="Q18" s="1"/>
      <c r="R18" s="1"/>
    </row>
    <row r="19" ht="15.75" customHeight="1">
      <c r="A19" s="1"/>
      <c r="B19" s="82">
        <v>2.0</v>
      </c>
      <c r="C19" s="173" t="s">
        <v>406</v>
      </c>
      <c r="D19" s="143">
        <v>-75000.0</v>
      </c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86" t="s">
        <v>29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59</v>
      </c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6" t="s">
        <v>42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1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>AMEL</v>
      </c>
      <c r="L25" s="145"/>
      <c r="M25" s="145"/>
      <c r="N25" s="145"/>
      <c r="O25" s="145"/>
      <c r="P25" s="145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AMEL</v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>INDAH</v>
      </c>
      <c r="L26" s="145"/>
      <c r="M26" s="145"/>
      <c r="N26" s="145"/>
      <c r="O26" s="145"/>
      <c r="P26" s="145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>Admin/CS</v>
      </c>
      <c r="AF26" s="102" t="str">
        <f t="shared" si="6"/>
        <v/>
      </c>
      <c r="AG26" s="102" t="str">
        <f t="shared" si="7"/>
        <v>INDAH</v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>SAKA</v>
      </c>
      <c r="L27" s="145"/>
      <c r="M27" s="145"/>
      <c r="N27" s="145"/>
      <c r="O27" s="145"/>
      <c r="P27" s="145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>Fotografer</v>
      </c>
      <c r="AF27" s="102" t="str">
        <f t="shared" si="6"/>
        <v/>
      </c>
      <c r="AG27" s="102" t="str">
        <f t="shared" si="7"/>
        <v>SAKA</v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>ADIF</v>
      </c>
      <c r="L28" s="145"/>
      <c r="M28" s="145"/>
      <c r="N28" s="145"/>
      <c r="O28" s="145"/>
      <c r="P28" s="145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>Fotografer</v>
      </c>
      <c r="AF28" s="102" t="str">
        <f t="shared" si="6"/>
        <v/>
      </c>
      <c r="AG28" s="102" t="str">
        <f t="shared" si="7"/>
        <v>ADIF</v>
      </c>
    </row>
    <row r="29" ht="15.75" customHeight="1">
      <c r="A29" s="1"/>
      <c r="B29" s="1"/>
      <c r="C29" s="3"/>
      <c r="D29" s="117">
        <f>SUM(D18:D28)</f>
        <v>450000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83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  <c r="N34" s="184" t="s">
        <v>202</v>
      </c>
    </row>
    <row r="35" ht="15.75" customHeight="1">
      <c r="K35" s="126" t="str">
        <f t="shared" ref="K35:K36" si="8">IF(O18="","",O18)</f>
        <v>AMEL</v>
      </c>
      <c r="L35" s="129"/>
      <c r="M35" s="129"/>
      <c r="N35" s="185"/>
    </row>
    <row r="36" ht="15.75" customHeight="1">
      <c r="K36" s="126" t="str">
        <f t="shared" si="8"/>
        <v>INDAH</v>
      </c>
      <c r="L36" s="127">
        <v>2.0</v>
      </c>
      <c r="M36" s="129"/>
      <c r="N36" s="185"/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7">
        <v>22.0</v>
      </c>
    </row>
    <row r="40" ht="19.5" customHeight="1">
      <c r="K40" s="135" t="s">
        <v>208</v>
      </c>
      <c r="M40" s="138">
        <f>COUNTIF($I$4:$I$16,"DP")</f>
        <v>2</v>
      </c>
    </row>
    <row r="41" ht="19.5" customHeight="1">
      <c r="K41" s="135" t="s">
        <v>210</v>
      </c>
      <c r="M41" s="138">
        <f>COUNTIFS($I$4:$I$16,"&lt;&gt;DP",$I$4:$I$16,"&lt;&gt;")</f>
        <v>2</v>
      </c>
    </row>
    <row r="42" ht="19.5" customHeight="1">
      <c r="K42" s="139" t="s">
        <v>211</v>
      </c>
      <c r="M42" s="138">
        <f>M40+M41</f>
        <v>4</v>
      </c>
    </row>
    <row r="43" ht="19.5" customHeight="1">
      <c r="K43" s="134" t="s">
        <v>212</v>
      </c>
      <c r="M43" s="141">
        <f>IF(OR(M39="",M39=0),"",M40/M39)</f>
        <v>0.09090909091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504</v>
      </c>
      <c r="D4" s="19" t="s">
        <v>22</v>
      </c>
      <c r="E4" s="17"/>
      <c r="F4" s="157">
        <v>46350.0</v>
      </c>
      <c r="G4" s="159"/>
      <c r="H4" s="30">
        <v>100000.0</v>
      </c>
      <c r="I4" s="32" t="s">
        <v>24</v>
      </c>
      <c r="J4" s="18"/>
      <c r="K4" s="18"/>
      <c r="L4" s="32" t="s">
        <v>29</v>
      </c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20" t="s">
        <v>505</v>
      </c>
      <c r="D5" s="19" t="s">
        <v>43</v>
      </c>
      <c r="E5" s="24" t="s">
        <v>506</v>
      </c>
      <c r="F5" s="157">
        <v>46322.0</v>
      </c>
      <c r="G5" s="159"/>
      <c r="H5" s="30">
        <v>150000.0</v>
      </c>
      <c r="I5" s="32" t="s">
        <v>25</v>
      </c>
      <c r="J5" s="32" t="s">
        <v>26</v>
      </c>
      <c r="K5" s="32" t="s">
        <v>27</v>
      </c>
      <c r="L5" s="32" t="s">
        <v>29</v>
      </c>
      <c r="M5" s="32" t="s">
        <v>59</v>
      </c>
      <c r="N5" s="38"/>
      <c r="O5" s="38"/>
      <c r="P5" s="38"/>
      <c r="Q5" s="1"/>
      <c r="R5" s="1"/>
    </row>
    <row r="6" ht="15.75" customHeight="1">
      <c r="A6" s="1"/>
      <c r="B6" s="18">
        <v>3.0</v>
      </c>
      <c r="C6" s="48" t="s">
        <v>507</v>
      </c>
      <c r="D6" s="19" t="s">
        <v>22</v>
      </c>
      <c r="E6" s="17"/>
      <c r="F6" s="157">
        <v>46350.0</v>
      </c>
      <c r="G6" s="159"/>
      <c r="H6" s="30">
        <v>100000.0</v>
      </c>
      <c r="I6" s="32" t="s">
        <v>24</v>
      </c>
      <c r="J6" s="18"/>
      <c r="K6" s="18"/>
      <c r="L6" s="32" t="s">
        <v>28</v>
      </c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20" t="s">
        <v>508</v>
      </c>
      <c r="D7" s="19" t="s">
        <v>67</v>
      </c>
      <c r="E7" s="17"/>
      <c r="F7" s="157">
        <v>46327.0</v>
      </c>
      <c r="G7" s="159"/>
      <c r="H7" s="30">
        <v>100000.0</v>
      </c>
      <c r="I7" s="32" t="s">
        <v>24</v>
      </c>
      <c r="J7" s="18"/>
      <c r="K7" s="18"/>
      <c r="L7" s="32" t="s">
        <v>28</v>
      </c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20" t="s">
        <v>509</v>
      </c>
      <c r="D8" s="19" t="s">
        <v>34</v>
      </c>
      <c r="E8" s="17"/>
      <c r="F8" s="32" t="s">
        <v>510</v>
      </c>
      <c r="G8" s="159"/>
      <c r="H8" s="30">
        <v>100000.0</v>
      </c>
      <c r="I8" s="32" t="s">
        <v>24</v>
      </c>
      <c r="J8" s="18"/>
      <c r="K8" s="18"/>
      <c r="L8" s="32" t="s">
        <v>28</v>
      </c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62" t="s">
        <v>511</v>
      </c>
      <c r="D9" s="19" t="s">
        <v>34</v>
      </c>
      <c r="E9" s="17"/>
      <c r="F9" s="157">
        <v>46322.0</v>
      </c>
      <c r="G9" s="159"/>
      <c r="H9" s="30">
        <v>100000.0</v>
      </c>
      <c r="I9" s="32" t="s">
        <v>25</v>
      </c>
      <c r="J9" s="32" t="s">
        <v>26</v>
      </c>
      <c r="K9" s="18"/>
      <c r="L9" s="32" t="s">
        <v>28</v>
      </c>
      <c r="M9" s="32" t="s">
        <v>59</v>
      </c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20" t="s">
        <v>509</v>
      </c>
      <c r="D10" s="19" t="s">
        <v>34</v>
      </c>
      <c r="E10" s="17"/>
      <c r="F10" s="157">
        <v>46322.0</v>
      </c>
      <c r="G10" s="161">
        <v>100000.0</v>
      </c>
      <c r="H10" s="60"/>
      <c r="I10" s="32" t="s">
        <v>25</v>
      </c>
      <c r="J10" s="32" t="s">
        <v>26</v>
      </c>
      <c r="K10" s="18"/>
      <c r="L10" s="32" t="s">
        <v>28</v>
      </c>
      <c r="M10" s="32" t="s">
        <v>59</v>
      </c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78"/>
      <c r="D11" s="59"/>
      <c r="E11" s="17"/>
      <c r="F11" s="18"/>
      <c r="G11" s="60"/>
      <c r="H11" s="60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78"/>
      <c r="D12" s="59"/>
      <c r="E12" s="17"/>
      <c r="F12" s="18"/>
      <c r="G12" s="159"/>
      <c r="H12" s="60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18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9">
        <f t="shared" ref="G14:H14" si="1">SUM(G4:G13)</f>
        <v>100000</v>
      </c>
      <c r="H14" s="70">
        <f t="shared" si="1"/>
        <v>650000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100000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80" t="s">
        <v>29</v>
      </c>
      <c r="P18" s="1"/>
      <c r="Q18" s="1"/>
      <c r="R18" s="1"/>
    </row>
    <row r="19" ht="15.75" customHeight="1">
      <c r="A19" s="1"/>
      <c r="B19" s="82">
        <v>2.0</v>
      </c>
      <c r="C19" s="92"/>
      <c r="D19" s="93"/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86" t="s">
        <v>28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89" t="s">
        <v>59</v>
      </c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86" t="s">
        <v>59</v>
      </c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1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45"/>
      <c r="M25" s="145"/>
      <c r="N25" s="145"/>
      <c r="O25" s="145"/>
      <c r="P25" s="145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>AMEL</v>
      </c>
      <c r="L26" s="145"/>
      <c r="M26" s="145"/>
      <c r="N26" s="145"/>
      <c r="O26" s="145"/>
      <c r="P26" s="145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>Admin/CS</v>
      </c>
      <c r="AF26" s="102" t="str">
        <f t="shared" si="6"/>
        <v/>
      </c>
      <c r="AG26" s="102" t="str">
        <f t="shared" si="7"/>
        <v>AMEL</v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>SAKA</v>
      </c>
      <c r="L27" s="145"/>
      <c r="M27" s="145"/>
      <c r="N27" s="145"/>
      <c r="O27" s="145"/>
      <c r="P27" s="145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>Fotografer</v>
      </c>
      <c r="AF27" s="102" t="str">
        <f t="shared" si="6"/>
        <v/>
      </c>
      <c r="AG27" s="102" t="str">
        <f t="shared" si="7"/>
        <v>SAKA</v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>SAKA</v>
      </c>
      <c r="L28" s="145"/>
      <c r="M28" s="145"/>
      <c r="N28" s="145"/>
      <c r="O28" s="145"/>
      <c r="P28" s="145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>Fotografer</v>
      </c>
      <c r="AF28" s="102" t="str">
        <f t="shared" si="6"/>
        <v/>
      </c>
      <c r="AG28" s="102" t="str">
        <f t="shared" si="7"/>
        <v>SAKA</v>
      </c>
    </row>
    <row r="29" ht="15.75" customHeight="1">
      <c r="A29" s="1"/>
      <c r="B29" s="1"/>
      <c r="C29" s="3"/>
      <c r="D29" s="117">
        <f>SUM(D18:D28)</f>
        <v>100000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</row>
    <row r="35" ht="15.75" customHeight="1">
      <c r="K35" s="126" t="str">
        <f t="shared" ref="K35:K36" si="8">IF(O18="","",O18)</f>
        <v>INDAH</v>
      </c>
      <c r="L35" s="127">
        <v>1.0</v>
      </c>
      <c r="M35" s="129"/>
    </row>
    <row r="36" ht="15.75" customHeight="1">
      <c r="K36" s="126" t="str">
        <f t="shared" si="8"/>
        <v>AMEL</v>
      </c>
      <c r="L36" s="127">
        <v>3.0</v>
      </c>
      <c r="M36" s="129"/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7">
        <v>24.0</v>
      </c>
    </row>
    <row r="40" ht="19.5" customHeight="1">
      <c r="K40" s="135" t="s">
        <v>208</v>
      </c>
      <c r="M40" s="138">
        <f>COUNTIF($I$4:$I$16,"DP")</f>
        <v>4</v>
      </c>
    </row>
    <row r="41" ht="19.5" customHeight="1">
      <c r="K41" s="135" t="s">
        <v>210</v>
      </c>
      <c r="M41" s="138">
        <f>COUNTIFS($I$4:$I$16,"&lt;&gt;DP",$I$4:$I$16,"&lt;&gt;")</f>
        <v>3</v>
      </c>
    </row>
    <row r="42" ht="19.5" customHeight="1">
      <c r="K42" s="139" t="s">
        <v>211</v>
      </c>
      <c r="M42" s="138">
        <f>M40+M41</f>
        <v>7</v>
      </c>
    </row>
    <row r="43" ht="19.5" customHeight="1">
      <c r="K43" s="134" t="s">
        <v>212</v>
      </c>
      <c r="M43" s="141">
        <f>IF(OR(M39="",M39=0),"",M40/M39)</f>
        <v>0.1666666667</v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5 D7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5 L7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  <dataValidation type="list" allowBlank="1" showDropDown="1" showErrorMessage="1" sqref="D6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8"/>
      <c r="D4" s="59"/>
      <c r="E4" s="17"/>
      <c r="F4" s="99"/>
      <c r="G4" s="159"/>
      <c r="H4" s="60"/>
      <c r="I4" s="18"/>
      <c r="J4" s="18"/>
      <c r="K4" s="18"/>
      <c r="L4" s="18"/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78"/>
      <c r="D5" s="59"/>
      <c r="E5" s="17"/>
      <c r="F5" s="99"/>
      <c r="G5" s="159"/>
      <c r="H5" s="60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78"/>
      <c r="D6" s="59"/>
      <c r="E6" s="17"/>
      <c r="F6" s="97"/>
      <c r="G6" s="159"/>
      <c r="H6" s="60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78"/>
      <c r="D7" s="59"/>
      <c r="E7" s="17"/>
      <c r="F7" s="97"/>
      <c r="G7" s="159"/>
      <c r="H7" s="60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78"/>
      <c r="D8" s="59"/>
      <c r="E8" s="17"/>
      <c r="F8" s="97"/>
      <c r="G8" s="159"/>
      <c r="H8" s="60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78"/>
      <c r="D9" s="59"/>
      <c r="E9" s="17"/>
      <c r="F9" s="18"/>
      <c r="G9" s="159"/>
      <c r="H9" s="60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78"/>
      <c r="D10" s="59"/>
      <c r="E10" s="17"/>
      <c r="F10" s="18"/>
      <c r="G10" s="159"/>
      <c r="H10" s="60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78"/>
      <c r="D11" s="59"/>
      <c r="E11" s="17"/>
      <c r="F11" s="18"/>
      <c r="G11" s="159"/>
      <c r="H11" s="60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78"/>
      <c r="D12" s="59"/>
      <c r="E12" s="17"/>
      <c r="F12" s="97"/>
      <c r="G12" s="159"/>
      <c r="H12" s="60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178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9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80" t="s">
        <v>29</v>
      </c>
      <c r="P18" s="1"/>
      <c r="Q18" s="1"/>
      <c r="R18" s="1"/>
    </row>
    <row r="19" ht="15.75" customHeight="1">
      <c r="A19" s="1"/>
      <c r="B19" s="82">
        <v>2.0</v>
      </c>
      <c r="C19" s="92"/>
      <c r="D19" s="93"/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86" t="s">
        <v>29</v>
      </c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8"/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166"/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94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45"/>
      <c r="M25" s="145"/>
      <c r="N25" s="145"/>
      <c r="O25" s="145"/>
      <c r="P25" s="145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>INDAH</v>
      </c>
      <c r="L26" s="145"/>
      <c r="M26" s="145"/>
      <c r="N26" s="145"/>
      <c r="O26" s="145"/>
      <c r="P26" s="145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>Admin/CS</v>
      </c>
      <c r="AF26" s="102" t="str">
        <f t="shared" si="6"/>
        <v/>
      </c>
      <c r="AG26" s="102" t="str">
        <f t="shared" si="7"/>
        <v>INDAH</v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/>
      </c>
      <c r="L27" s="145"/>
      <c r="M27" s="145"/>
      <c r="N27" s="145"/>
      <c r="O27" s="145"/>
      <c r="P27" s="145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/>
      </c>
      <c r="L28" s="145"/>
      <c r="M28" s="145"/>
      <c r="N28" s="145"/>
      <c r="O28" s="145"/>
      <c r="P28" s="145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</row>
    <row r="35" ht="15.75" customHeight="1">
      <c r="K35" s="126" t="str">
        <f t="shared" ref="K35:K36" si="8">IF(O18="","",O18)</f>
        <v>INDAH</v>
      </c>
      <c r="L35" s="129"/>
      <c r="M35" s="129"/>
    </row>
    <row r="36" ht="15.75" customHeight="1">
      <c r="K36" s="126" t="str">
        <f t="shared" si="8"/>
        <v>INDAH</v>
      </c>
      <c r="L36" s="129"/>
      <c r="M36" s="129"/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9"/>
    </row>
    <row r="40" ht="19.5" customHeight="1">
      <c r="K40" s="135" t="s">
        <v>208</v>
      </c>
      <c r="M40" s="138">
        <f>COUNTIF($I$4:$I$16,"DP")</f>
        <v>0</v>
      </c>
    </row>
    <row r="41" ht="19.5" customHeight="1">
      <c r="K41" s="135" t="s">
        <v>210</v>
      </c>
      <c r="M41" s="138">
        <f>COUNTIFS($I$4:$I$16,"&lt;&gt;DP",$I$4:$I$16,"&lt;&gt;")</f>
        <v>0</v>
      </c>
    </row>
    <row r="42" ht="19.5" customHeight="1">
      <c r="K42" s="139" t="s">
        <v>211</v>
      </c>
      <c r="M42" s="138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8"/>
      <c r="D4" s="59"/>
      <c r="E4" s="17"/>
      <c r="F4" s="18"/>
      <c r="G4" s="159"/>
      <c r="H4" s="60"/>
      <c r="I4" s="18"/>
      <c r="J4" s="18"/>
      <c r="K4" s="18"/>
      <c r="L4" s="18"/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78"/>
      <c r="D5" s="59"/>
      <c r="E5" s="17"/>
      <c r="F5" s="18"/>
      <c r="G5" s="159"/>
      <c r="H5" s="60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78"/>
      <c r="D6" s="59"/>
      <c r="E6" s="17"/>
      <c r="F6" s="18"/>
      <c r="G6" s="159"/>
      <c r="H6" s="60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78"/>
      <c r="D7" s="59"/>
      <c r="E7" s="17"/>
      <c r="F7" s="178"/>
      <c r="G7" s="159"/>
      <c r="H7" s="60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78"/>
      <c r="D8" s="59"/>
      <c r="E8" s="17"/>
      <c r="F8" s="178"/>
      <c r="G8" s="159"/>
      <c r="H8" s="60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78"/>
      <c r="D9" s="59"/>
      <c r="E9" s="17"/>
      <c r="F9" s="178"/>
      <c r="G9" s="159"/>
      <c r="H9" s="60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78"/>
      <c r="D10" s="59"/>
      <c r="E10" s="17"/>
      <c r="F10" s="178"/>
      <c r="G10" s="159"/>
      <c r="H10" s="60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78"/>
      <c r="D11" s="59"/>
      <c r="E11" s="17"/>
      <c r="F11" s="178"/>
      <c r="G11" s="159"/>
      <c r="H11" s="60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78"/>
      <c r="D12" s="59"/>
      <c r="E12" s="17"/>
      <c r="F12" s="178"/>
      <c r="G12" s="159"/>
      <c r="H12" s="60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32">
        <v>10.0</v>
      </c>
      <c r="C13" s="78"/>
      <c r="D13" s="59"/>
      <c r="E13" s="17"/>
      <c r="F13" s="178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9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80" t="s">
        <v>29</v>
      </c>
      <c r="P18" s="1"/>
      <c r="Q18" s="1"/>
      <c r="R18" s="1"/>
    </row>
    <row r="19" ht="15.75" customHeight="1">
      <c r="A19" s="1"/>
      <c r="B19" s="82">
        <v>2.0</v>
      </c>
      <c r="C19" s="92"/>
      <c r="D19" s="93"/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8"/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166"/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1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>INDAH</v>
      </c>
      <c r="L25" s="145"/>
      <c r="M25" s="145"/>
      <c r="N25" s="145"/>
      <c r="O25" s="145"/>
      <c r="P25" s="145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>Admin/CS</v>
      </c>
      <c r="AF25" s="102" t="str">
        <f t="shared" ref="AF25:AF30" si="6">IF(OR(AG25="",COUNT(L25:P25)&lt;5),"",1)</f>
        <v/>
      </c>
      <c r="AG25" s="102" t="str">
        <f t="shared" ref="AG25:AG30" si="7">IFERROR(K25,"")</f>
        <v>INDAH</v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/>
      </c>
      <c r="L26" s="145"/>
      <c r="M26" s="145"/>
      <c r="N26" s="145"/>
      <c r="O26" s="145"/>
      <c r="P26" s="145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/>
      </c>
      <c r="L27" s="145"/>
      <c r="M27" s="145"/>
      <c r="N27" s="145"/>
      <c r="O27" s="145"/>
      <c r="P27" s="145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/>
      </c>
      <c r="L28" s="145"/>
      <c r="M28" s="145"/>
      <c r="N28" s="145"/>
      <c r="O28" s="145"/>
      <c r="P28" s="145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</row>
    <row r="35" ht="15.75" customHeight="1">
      <c r="K35" s="126" t="str">
        <f t="shared" ref="K35:K36" si="8">IF(O18="","",O18)</f>
        <v>INDAH</v>
      </c>
      <c r="L35" s="129"/>
      <c r="M35" s="129"/>
    </row>
    <row r="36" ht="15.75" customHeight="1">
      <c r="K36" s="126" t="str">
        <f t="shared" si="8"/>
        <v/>
      </c>
      <c r="L36" s="129"/>
      <c r="M36" s="129"/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9"/>
    </row>
    <row r="40" ht="19.5" customHeight="1">
      <c r="K40" s="135" t="s">
        <v>208</v>
      </c>
      <c r="M40" s="138">
        <f>COUNTIF($I$4:$I$16,"DP")</f>
        <v>0</v>
      </c>
    </row>
    <row r="41" ht="19.5" customHeight="1">
      <c r="K41" s="135" t="s">
        <v>210</v>
      </c>
      <c r="M41" s="138">
        <f>COUNTIFS($I$4:$I$16,"&lt;&gt;DP",$I$4:$I$16,"&lt;&gt;")</f>
        <v>0</v>
      </c>
    </row>
    <row r="42" ht="19.5" customHeight="1">
      <c r="K42" s="139" t="s">
        <v>211</v>
      </c>
      <c r="M42" s="138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59"/>
      <c r="D4" s="61"/>
      <c r="E4" s="22"/>
      <c r="F4" s="63"/>
      <c r="G4" s="42"/>
      <c r="H4" s="37"/>
      <c r="I4" s="17"/>
      <c r="J4" s="176"/>
      <c r="K4" s="176"/>
      <c r="L4" s="17"/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78"/>
      <c r="D5" s="59"/>
      <c r="E5" s="17"/>
      <c r="F5" s="99"/>
      <c r="G5" s="159"/>
      <c r="H5" s="60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78"/>
      <c r="D6" s="59"/>
      <c r="E6" s="17"/>
      <c r="F6" s="178"/>
      <c r="G6" s="159"/>
      <c r="H6" s="60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78"/>
      <c r="D7" s="59"/>
      <c r="E7" s="17"/>
      <c r="F7" s="178"/>
      <c r="G7" s="159"/>
      <c r="H7" s="60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78"/>
      <c r="D8" s="59"/>
      <c r="E8" s="17"/>
      <c r="F8" s="178"/>
      <c r="G8" s="159"/>
      <c r="H8" s="60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196"/>
      <c r="D9" s="59"/>
      <c r="E9" s="17"/>
      <c r="F9" s="178"/>
      <c r="G9" s="159"/>
      <c r="H9" s="60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78"/>
      <c r="D10" s="59"/>
      <c r="E10" s="17"/>
      <c r="F10" s="178"/>
      <c r="G10" s="159"/>
      <c r="H10" s="60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78"/>
      <c r="D11" s="59"/>
      <c r="E11" s="17"/>
      <c r="F11" s="178"/>
      <c r="G11" s="159"/>
      <c r="H11" s="60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78"/>
      <c r="D12" s="59"/>
      <c r="E12" s="17"/>
      <c r="F12" s="178"/>
      <c r="G12" s="159"/>
      <c r="H12" s="60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178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19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71" t="s">
        <v>1</v>
      </c>
      <c r="C17" s="72" t="s">
        <v>7</v>
      </c>
      <c r="D17" s="72" t="s">
        <v>120</v>
      </c>
      <c r="E17" s="1"/>
      <c r="F17" s="1"/>
      <c r="G17" s="1"/>
      <c r="H17" s="1"/>
      <c r="I17" s="1"/>
      <c r="J17" s="1"/>
      <c r="K17" s="1"/>
      <c r="L17" s="1"/>
      <c r="M17" s="1"/>
      <c r="N17" s="72" t="s">
        <v>121</v>
      </c>
      <c r="O17" s="72" t="s">
        <v>2</v>
      </c>
      <c r="P17" s="1"/>
      <c r="Q17" s="1"/>
      <c r="R17" s="1"/>
    </row>
    <row r="18" ht="15.75" customHeight="1">
      <c r="A18" s="1"/>
      <c r="B18" s="73">
        <v>1.0</v>
      </c>
      <c r="C18" s="75" t="s">
        <v>124</v>
      </c>
      <c r="D18" s="76">
        <f>SUM(G14)</f>
        <v>0</v>
      </c>
      <c r="E18" s="77"/>
      <c r="F18" s="1"/>
      <c r="G18" s="1"/>
      <c r="H18" s="1"/>
      <c r="I18" s="1"/>
      <c r="J18" s="1"/>
      <c r="K18" s="1"/>
      <c r="L18" s="1"/>
      <c r="M18" s="1"/>
      <c r="N18" s="79" t="s">
        <v>128</v>
      </c>
      <c r="O18" s="33"/>
      <c r="P18" s="1"/>
      <c r="Q18" s="1"/>
      <c r="R18" s="1"/>
    </row>
    <row r="19" ht="15.75" customHeight="1">
      <c r="A19" s="1"/>
      <c r="B19" s="82">
        <v>2.0</v>
      </c>
      <c r="C19" s="92"/>
      <c r="D19" s="93"/>
      <c r="E19" s="77"/>
      <c r="F19" s="1"/>
      <c r="G19" s="1"/>
      <c r="H19" s="1"/>
      <c r="I19" s="1"/>
      <c r="J19" s="1"/>
      <c r="K19" s="1"/>
      <c r="L19" s="1"/>
      <c r="M19" s="1"/>
      <c r="N19" s="85" t="s">
        <v>132</v>
      </c>
      <c r="O19" s="166"/>
      <c r="P19" s="1"/>
      <c r="Q19" s="1"/>
      <c r="R19" s="1"/>
    </row>
    <row r="20" ht="15.75" customHeight="1">
      <c r="A20" s="1"/>
      <c r="B20" s="73">
        <v>3.0</v>
      </c>
      <c r="C20" s="75"/>
      <c r="D20" s="76"/>
      <c r="E20" s="77"/>
      <c r="F20" s="1"/>
      <c r="G20" s="1"/>
      <c r="H20" s="1"/>
      <c r="I20" s="1"/>
      <c r="J20" s="1"/>
      <c r="K20" s="1"/>
      <c r="L20" s="1"/>
      <c r="M20" s="1"/>
      <c r="N20" s="88" t="s">
        <v>136</v>
      </c>
      <c r="O20" s="38"/>
      <c r="P20" s="1"/>
      <c r="Q20" s="1"/>
      <c r="R20" s="1"/>
    </row>
    <row r="21" ht="15.75" customHeight="1">
      <c r="A21" s="1"/>
      <c r="B21" s="82">
        <v>4.0</v>
      </c>
      <c r="C21" s="92"/>
      <c r="D21" s="93"/>
      <c r="E21" s="77"/>
      <c r="F21" s="1"/>
      <c r="G21" s="1"/>
      <c r="H21" s="1"/>
      <c r="I21" s="1"/>
      <c r="J21" s="1"/>
      <c r="K21" s="1"/>
      <c r="L21" s="1"/>
      <c r="M21" s="1"/>
      <c r="N21" s="95" t="s">
        <v>147</v>
      </c>
      <c r="O21" s="166"/>
      <c r="P21" s="1"/>
      <c r="Q21" s="1"/>
      <c r="R21" s="1"/>
    </row>
    <row r="22" ht="15.75" customHeight="1">
      <c r="A22" s="1"/>
      <c r="B22" s="73">
        <v>5.0</v>
      </c>
      <c r="C22" s="75"/>
      <c r="D22" s="76"/>
      <c r="E22" s="77"/>
      <c r="F22" s="1"/>
      <c r="G22" s="1"/>
      <c r="H22" s="1"/>
      <c r="I22" s="1"/>
      <c r="J22" s="1"/>
      <c r="K22" s="1"/>
      <c r="L22" s="1"/>
      <c r="M22" s="1"/>
      <c r="N22" s="98"/>
      <c r="O22" s="1"/>
      <c r="P22" s="1"/>
      <c r="Q22" s="1"/>
      <c r="R22" s="1"/>
    </row>
    <row r="23" ht="15.75" customHeight="1">
      <c r="A23" s="1"/>
      <c r="B23" s="82">
        <v>6.0</v>
      </c>
      <c r="C23" s="92"/>
      <c r="D23" s="93"/>
      <c r="E23" s="77"/>
      <c r="F23" s="1"/>
      <c r="G23" s="1"/>
      <c r="H23" s="1"/>
      <c r="I23" s="1"/>
      <c r="J23" s="1"/>
      <c r="K23" s="100" t="s">
        <v>150</v>
      </c>
      <c r="Q23" s="1"/>
      <c r="R23" s="1"/>
    </row>
    <row r="24" ht="15.75" customHeight="1">
      <c r="A24" s="1"/>
      <c r="B24" s="73">
        <v>7.0</v>
      </c>
      <c r="C24" s="75"/>
      <c r="D24" s="76"/>
      <c r="E24" s="77"/>
      <c r="F24" s="1"/>
      <c r="G24" s="1"/>
      <c r="H24" s="1"/>
      <c r="I24" s="1"/>
      <c r="J24" s="1"/>
      <c r="K24" s="101" t="s">
        <v>2</v>
      </c>
      <c r="L24" s="101" t="s">
        <v>153</v>
      </c>
      <c r="M24" s="101" t="s">
        <v>155</v>
      </c>
      <c r="N24" s="101" t="s">
        <v>156</v>
      </c>
      <c r="O24" s="101" t="s">
        <v>157</v>
      </c>
      <c r="P24" s="101" t="s">
        <v>158</v>
      </c>
      <c r="Q24" s="1"/>
      <c r="R24" s="1"/>
      <c r="AC24" s="102" t="s">
        <v>159</v>
      </c>
      <c r="AD24" s="102" t="s">
        <v>160</v>
      </c>
      <c r="AE24" s="102" t="s">
        <v>161</v>
      </c>
      <c r="AF24" s="102" t="s">
        <v>163</v>
      </c>
      <c r="AG24" s="102" t="s">
        <v>164</v>
      </c>
    </row>
    <row r="25" ht="15.75" customHeight="1">
      <c r="A25" s="1"/>
      <c r="B25" s="82">
        <v>8.0</v>
      </c>
      <c r="C25" s="92"/>
      <c r="D25" s="93"/>
      <c r="E25" s="77"/>
      <c r="F25" s="1"/>
      <c r="G25" s="1"/>
      <c r="H25" s="1"/>
      <c r="I25" s="1"/>
      <c r="J25" s="1"/>
      <c r="K25" s="104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102" t="str">
        <f t="shared" ref="AC25:AC30" si="3">IF(AG25="","",IF(COUNT(L25:P25)&lt;5,"",L25/5*20+M25/5*25+N25/5*25+O25/5*15+P25/5*15))</f>
        <v/>
      </c>
      <c r="AD25" s="102" t="str">
        <f t="shared" ref="AD25:AD30" si="4">IF(AC25="","",IF(AC25&gt;=90,"Sangat Baik",IF(AC25&gt;=80,"Baik",IF(AC25&gt;=70,"Coaching","Underperform"))))</f>
        <v/>
      </c>
      <c r="AE25" s="102" t="str">
        <f t="shared" ref="AE25:AE30" si="5">IF(AG25="","",IF(OR(AG25="INDAH",AG25="ADDEL",AG25="AMEL",AG25="PENTIL",AG25="JIJANG"),"Admin/CS","Fotografer"))</f>
        <v/>
      </c>
      <c r="AF25" s="102" t="str">
        <f t="shared" ref="AF25:AF30" si="6">IF(OR(AG25="",COUNT(L25:P25)&lt;5),"",1)</f>
        <v/>
      </c>
      <c r="AG25" s="102" t="str">
        <f t="shared" ref="AG25:AG30" si="7">IFERROR(K25,"")</f>
        <v/>
      </c>
    </row>
    <row r="26" ht="15.75" customHeight="1">
      <c r="A26" s="1"/>
      <c r="B26" s="73">
        <v>9.0</v>
      </c>
      <c r="C26" s="75"/>
      <c r="D26" s="76"/>
      <c r="E26" s="77"/>
      <c r="F26" s="1"/>
      <c r="G26" s="1"/>
      <c r="H26" s="1"/>
      <c r="I26" s="1"/>
      <c r="J26" s="1"/>
      <c r="K26" s="104" t="str">
        <f t="shared" si="2"/>
        <v/>
      </c>
      <c r="L26" s="145"/>
      <c r="M26" s="145"/>
      <c r="N26" s="145"/>
      <c r="O26" s="145"/>
      <c r="P26" s="145"/>
      <c r="Q26" s="1"/>
      <c r="R26" s="1"/>
      <c r="AC26" s="102" t="str">
        <f t="shared" si="3"/>
        <v/>
      </c>
      <c r="AD26" s="102" t="str">
        <f t="shared" si="4"/>
        <v/>
      </c>
      <c r="AE26" s="102" t="str">
        <f t="shared" si="5"/>
        <v/>
      </c>
      <c r="AF26" s="102" t="str">
        <f t="shared" si="6"/>
        <v/>
      </c>
      <c r="AG26" s="102" t="str">
        <f t="shared" si="7"/>
        <v/>
      </c>
    </row>
    <row r="27" ht="15.75" customHeight="1">
      <c r="A27" s="1"/>
      <c r="B27" s="82">
        <v>10.0</v>
      </c>
      <c r="C27" s="92"/>
      <c r="D27" s="93"/>
      <c r="E27" s="77"/>
      <c r="F27" s="1"/>
      <c r="G27" s="1"/>
      <c r="H27" s="1"/>
      <c r="I27" s="1"/>
      <c r="J27" s="1"/>
      <c r="K27" s="104" t="str">
        <f t="shared" si="2"/>
        <v/>
      </c>
      <c r="L27" s="145"/>
      <c r="M27" s="145"/>
      <c r="N27" s="145"/>
      <c r="O27" s="145"/>
      <c r="P27" s="145"/>
      <c r="Q27" s="1"/>
      <c r="R27" s="1"/>
      <c r="AC27" s="102" t="str">
        <f t="shared" si="3"/>
        <v/>
      </c>
      <c r="AD27" s="102" t="str">
        <f t="shared" si="4"/>
        <v/>
      </c>
      <c r="AE27" s="102" t="str">
        <f t="shared" si="5"/>
        <v/>
      </c>
      <c r="AF27" s="102" t="str">
        <f t="shared" si="6"/>
        <v/>
      </c>
      <c r="AG27" s="102" t="str">
        <f t="shared" si="7"/>
        <v/>
      </c>
    </row>
    <row r="28" ht="15.75" customHeight="1">
      <c r="A28" s="1"/>
      <c r="B28" s="114">
        <v>11.0</v>
      </c>
      <c r="C28" s="115"/>
      <c r="D28" s="116"/>
      <c r="E28" s="77"/>
      <c r="F28" s="1"/>
      <c r="G28" s="1"/>
      <c r="H28" s="1"/>
      <c r="I28" s="1"/>
      <c r="J28" s="1"/>
      <c r="K28" s="104" t="str">
        <f t="shared" si="2"/>
        <v/>
      </c>
      <c r="L28" s="145"/>
      <c r="M28" s="145"/>
      <c r="N28" s="145"/>
      <c r="O28" s="145"/>
      <c r="P28" s="145"/>
      <c r="Q28" s="1"/>
      <c r="R28" s="1"/>
      <c r="AC28" s="102" t="str">
        <f t="shared" si="3"/>
        <v/>
      </c>
      <c r="AD28" s="102" t="str">
        <f t="shared" si="4"/>
        <v/>
      </c>
      <c r="AE28" s="102" t="str">
        <f t="shared" si="5"/>
        <v/>
      </c>
      <c r="AF28" s="102" t="str">
        <f t="shared" si="6"/>
        <v/>
      </c>
      <c r="AG28" s="102" t="str">
        <f t="shared" si="7"/>
        <v/>
      </c>
    </row>
    <row r="29" ht="15.75" customHeight="1">
      <c r="A29" s="1"/>
      <c r="B29" s="1"/>
      <c r="C29" s="3"/>
      <c r="D29" s="117">
        <f>SUM(D18:D28)</f>
        <v>0</v>
      </c>
      <c r="E29" s="1"/>
      <c r="F29" s="1"/>
      <c r="G29" s="1"/>
      <c r="H29" s="1"/>
      <c r="I29" s="1"/>
      <c r="J29" s="1"/>
      <c r="K29" s="104"/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4"/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20" t="s">
        <v>195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21" t="s">
        <v>198</v>
      </c>
      <c r="N33" s="183"/>
      <c r="O33" s="1"/>
      <c r="P33" s="1"/>
      <c r="Q33" s="1"/>
      <c r="R33" s="1"/>
    </row>
    <row r="34" ht="15.75" customHeight="1">
      <c r="K34" s="123" t="s">
        <v>8</v>
      </c>
      <c r="L34" s="123" t="s">
        <v>200</v>
      </c>
      <c r="M34" s="123" t="s">
        <v>201</v>
      </c>
      <c r="N34" s="184" t="s">
        <v>202</v>
      </c>
    </row>
    <row r="35" ht="15.75" customHeight="1">
      <c r="K35" s="126" t="str">
        <f t="shared" ref="K35:K36" si="8">IF(O18="","",O18)</f>
        <v/>
      </c>
      <c r="L35" s="129"/>
      <c r="M35" s="129"/>
      <c r="N35" s="185"/>
    </row>
    <row r="36" ht="15.75" customHeight="1">
      <c r="K36" s="126" t="str">
        <f t="shared" si="8"/>
        <v/>
      </c>
      <c r="L36" s="129"/>
      <c r="M36" s="129"/>
      <c r="N36" s="185"/>
    </row>
    <row r="37" ht="15.75" customHeight="1"/>
    <row r="38" ht="19.5" customHeight="1">
      <c r="K38" s="132" t="s">
        <v>206</v>
      </c>
    </row>
    <row r="39" ht="19.5" customHeight="1">
      <c r="K39" s="134" t="s">
        <v>207</v>
      </c>
      <c r="M39" s="129"/>
    </row>
    <row r="40" ht="19.5" customHeight="1">
      <c r="K40" s="135" t="s">
        <v>208</v>
      </c>
      <c r="M40" s="138">
        <f>COUNTIF($I$4:$I$16,"DP")</f>
        <v>0</v>
      </c>
    </row>
    <row r="41" ht="19.5" customHeight="1">
      <c r="K41" s="135" t="s">
        <v>210</v>
      </c>
      <c r="M41" s="138">
        <f>COUNTIFS($I$4:$I$16,"&lt;&gt;DP",$I$4:$I$16,"&lt;&gt;")</f>
        <v>0</v>
      </c>
    </row>
    <row r="42" ht="19.5" customHeight="1">
      <c r="K42" s="139" t="s">
        <v>211</v>
      </c>
      <c r="M42" s="138">
        <f>M40+M41</f>
        <v>0</v>
      </c>
    </row>
    <row r="43" ht="19.5" customHeight="1">
      <c r="K43" s="134" t="s">
        <v>212</v>
      </c>
      <c r="M43" s="141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8"/>
      <c r="D4" s="59"/>
      <c r="E4" s="17"/>
      <c r="F4" s="178"/>
      <c r="G4" s="159"/>
      <c r="H4" s="60"/>
      <c r="I4" s="18"/>
      <c r="J4" s="18"/>
      <c r="K4" s="18"/>
      <c r="L4" s="18"/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78"/>
      <c r="D5" s="59"/>
      <c r="E5" s="17"/>
      <c r="F5" s="97"/>
      <c r="G5" s="159"/>
      <c r="H5" s="60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78"/>
      <c r="D6" s="59"/>
      <c r="E6" s="17"/>
      <c r="F6" s="178"/>
      <c r="G6" s="159"/>
      <c r="H6" s="60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78"/>
      <c r="D7" s="59"/>
      <c r="E7" s="17"/>
      <c r="F7" s="18"/>
      <c r="G7" s="159"/>
      <c r="H7" s="60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78"/>
      <c r="D8" s="59"/>
      <c r="E8" s="17"/>
      <c r="F8" s="97"/>
      <c r="G8" s="159"/>
      <c r="H8" s="60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78"/>
      <c r="D9" s="59"/>
      <c r="E9" s="17"/>
      <c r="F9" s="97"/>
      <c r="G9" s="159"/>
      <c r="H9" s="60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78"/>
      <c r="D10" s="59"/>
      <c r="E10" s="17"/>
      <c r="F10" s="97"/>
      <c r="G10" s="159"/>
      <c r="H10" s="60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78"/>
      <c r="D11" s="59"/>
      <c r="E11" s="17"/>
      <c r="F11" s="97"/>
      <c r="G11" s="159"/>
      <c r="H11" s="60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78"/>
      <c r="D12" s="59"/>
      <c r="E12" s="17"/>
      <c r="F12" s="97"/>
      <c r="G12" s="159"/>
      <c r="H12" s="60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97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19">
        <f t="shared" ref="G14:H14" si="1">SUM(G4:G13)</f>
        <v>0</v>
      </c>
      <c r="H14" s="70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71" t="s">
        <v>1</v>
      </c>
      <c r="C18" s="72" t="s">
        <v>7</v>
      </c>
      <c r="D18" s="72" t="s">
        <v>120</v>
      </c>
      <c r="E18" s="1"/>
      <c r="F18" s="1"/>
      <c r="G18" s="1"/>
      <c r="H18" s="1"/>
      <c r="I18" s="1"/>
      <c r="J18" s="1"/>
      <c r="K18" s="1"/>
      <c r="L18" s="1"/>
      <c r="M18" s="1"/>
      <c r="N18" s="72" t="s">
        <v>121</v>
      </c>
      <c r="O18" s="72" t="s">
        <v>2</v>
      </c>
      <c r="P18" s="1"/>
      <c r="Q18" s="1"/>
      <c r="R18" s="1"/>
    </row>
    <row r="19" ht="15.75" customHeight="1">
      <c r="A19" s="1"/>
      <c r="B19" s="73">
        <v>1.0</v>
      </c>
      <c r="C19" s="75" t="s">
        <v>124</v>
      </c>
      <c r="D19" s="76">
        <f>SUM(G14)</f>
        <v>0</v>
      </c>
      <c r="E19" s="77"/>
      <c r="F19" s="1"/>
      <c r="G19" s="1"/>
      <c r="H19" s="1"/>
      <c r="I19" s="1"/>
      <c r="J19" s="1"/>
      <c r="K19" s="1"/>
      <c r="L19" s="1"/>
      <c r="M19" s="1"/>
      <c r="N19" s="79" t="s">
        <v>128</v>
      </c>
      <c r="O19" s="33"/>
      <c r="P19" s="1"/>
      <c r="Q19" s="1"/>
      <c r="R19" s="1"/>
    </row>
    <row r="20" ht="15.75" customHeight="1">
      <c r="A20" s="1"/>
      <c r="B20" s="82">
        <v>2.0</v>
      </c>
      <c r="C20" s="92"/>
      <c r="D20" s="93"/>
      <c r="E20" s="77"/>
      <c r="F20" s="1"/>
      <c r="G20" s="94"/>
      <c r="H20" s="1"/>
      <c r="I20" s="1"/>
      <c r="J20" s="1"/>
      <c r="K20" s="1"/>
      <c r="L20" s="1"/>
      <c r="M20" s="1"/>
      <c r="N20" s="85" t="s">
        <v>132</v>
      </c>
      <c r="O20" s="166"/>
      <c r="P20" s="1"/>
      <c r="Q20" s="1"/>
      <c r="R20" s="1"/>
    </row>
    <row r="21" ht="15.75" customHeight="1">
      <c r="A21" s="1"/>
      <c r="B21" s="73">
        <v>3.0</v>
      </c>
      <c r="C21" s="75"/>
      <c r="D21" s="76"/>
      <c r="E21" s="77"/>
      <c r="F21" s="1"/>
      <c r="G21" s="94"/>
      <c r="H21" s="1"/>
      <c r="I21" s="1"/>
      <c r="J21" s="1"/>
      <c r="K21" s="1"/>
      <c r="L21" s="1"/>
      <c r="M21" s="1"/>
      <c r="N21" s="88" t="s">
        <v>136</v>
      </c>
      <c r="O21" s="38"/>
      <c r="P21" s="1"/>
      <c r="Q21" s="1"/>
      <c r="R21" s="1"/>
    </row>
    <row r="22" ht="15.75" customHeight="1">
      <c r="A22" s="1"/>
      <c r="B22" s="82">
        <v>4.0</v>
      </c>
      <c r="C22" s="92"/>
      <c r="D22" s="93"/>
      <c r="E22" s="77"/>
      <c r="F22" s="1"/>
      <c r="G22" s="1"/>
      <c r="H22" s="1"/>
      <c r="I22" s="1"/>
      <c r="J22" s="1"/>
      <c r="K22" s="1"/>
      <c r="L22" s="1"/>
      <c r="M22" s="1"/>
      <c r="N22" s="95" t="s">
        <v>147</v>
      </c>
      <c r="O22" s="166"/>
      <c r="P22" s="1"/>
      <c r="Q22" s="1"/>
      <c r="R22" s="1"/>
    </row>
    <row r="23" ht="15.75" customHeight="1">
      <c r="A23" s="1"/>
      <c r="B23" s="73">
        <v>5.0</v>
      </c>
      <c r="C23" s="75"/>
      <c r="D23" s="76"/>
      <c r="E23" s="77"/>
      <c r="F23" s="1"/>
      <c r="G23" s="1"/>
      <c r="H23" s="1"/>
      <c r="I23" s="1"/>
      <c r="J23" s="1"/>
      <c r="K23" s="1"/>
      <c r="L23" s="1"/>
      <c r="M23" s="1"/>
      <c r="N23" s="98"/>
      <c r="O23" s="1"/>
      <c r="P23" s="1"/>
      <c r="Q23" s="1"/>
      <c r="R23" s="1"/>
    </row>
    <row r="24" ht="15.75" customHeight="1">
      <c r="A24" s="1"/>
      <c r="B24" s="82">
        <v>6.0</v>
      </c>
      <c r="C24" s="92"/>
      <c r="D24" s="93"/>
      <c r="E24" s="77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3">
        <v>7.0</v>
      </c>
      <c r="C25" s="75"/>
      <c r="D25" s="76"/>
      <c r="E25" s="77"/>
      <c r="F25" s="94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82">
        <v>8.0</v>
      </c>
      <c r="C26" s="92"/>
      <c r="D26" s="93"/>
      <c r="E26" s="77"/>
      <c r="F26" s="1"/>
      <c r="G26" s="1"/>
      <c r="H26" s="1"/>
      <c r="I26" s="1"/>
      <c r="J26" s="1"/>
      <c r="K26" s="100" t="s">
        <v>150</v>
      </c>
      <c r="Q26" s="1"/>
      <c r="R26" s="1"/>
    </row>
    <row r="27" ht="15.75" customHeight="1">
      <c r="A27" s="1"/>
      <c r="B27" s="73">
        <v>9.0</v>
      </c>
      <c r="C27" s="75"/>
      <c r="D27" s="76"/>
      <c r="E27" s="77"/>
      <c r="F27" s="1"/>
      <c r="G27" s="1"/>
      <c r="H27" s="1"/>
      <c r="I27" s="1"/>
      <c r="J27" s="1"/>
      <c r="K27" s="101" t="s">
        <v>2</v>
      </c>
      <c r="L27" s="101" t="s">
        <v>153</v>
      </c>
      <c r="M27" s="101" t="s">
        <v>155</v>
      </c>
      <c r="N27" s="101" t="s">
        <v>156</v>
      </c>
      <c r="O27" s="101" t="s">
        <v>157</v>
      </c>
      <c r="P27" s="101" t="s">
        <v>158</v>
      </c>
      <c r="Q27" s="1"/>
      <c r="R27" s="1"/>
      <c r="AC27" s="102" t="s">
        <v>159</v>
      </c>
      <c r="AD27" s="102" t="s">
        <v>160</v>
      </c>
      <c r="AE27" s="102" t="s">
        <v>161</v>
      </c>
      <c r="AF27" s="102" t="s">
        <v>163</v>
      </c>
      <c r="AG27" s="102" t="s">
        <v>164</v>
      </c>
    </row>
    <row r="28" ht="15.75" customHeight="1">
      <c r="A28" s="1"/>
      <c r="B28" s="82">
        <v>10.0</v>
      </c>
      <c r="C28" s="92"/>
      <c r="D28" s="93"/>
      <c r="E28" s="77"/>
      <c r="F28" s="1"/>
      <c r="G28" s="1"/>
      <c r="H28" s="1"/>
      <c r="I28" s="1"/>
      <c r="J28" s="1"/>
      <c r="K28" s="104" t="str">
        <f t="shared" ref="K28:K31" si="2">IF(O19="","",O19)</f>
        <v/>
      </c>
      <c r="L28" s="118"/>
      <c r="M28" s="118"/>
      <c r="N28" s="118"/>
      <c r="O28" s="118"/>
      <c r="P28" s="118"/>
      <c r="Q28" s="1"/>
      <c r="R28" s="1"/>
      <c r="AC28" s="102" t="str">
        <f t="shared" ref="AC28:AC33" si="3">IF(AG28="","",IF(COUNT(L28:P28)&lt;5,"",L28/5*20+M28/5*25+N28/5*25+O28/5*15+P28/5*15))</f>
        <v/>
      </c>
      <c r="AD28" s="102" t="str">
        <f t="shared" ref="AD28:AD33" si="4">IF(AC28="","",IF(AC28&gt;=90,"Sangat Baik",IF(AC28&gt;=80,"Baik",IF(AC28&gt;=70,"Coaching","Underperform"))))</f>
        <v/>
      </c>
      <c r="AE28" s="102" t="str">
        <f t="shared" ref="AE28:AE33" si="5">IF(AG28="","",IF(OR(AG28="INDAH",AG28="ADDEL",AG28="AMEL",AG28="PENTIL",AG28="JIJANG"),"Admin/CS","Fotografer"))</f>
        <v/>
      </c>
      <c r="AF28" s="102" t="str">
        <f t="shared" ref="AF28:AF33" si="6">IF(OR(AG28="",COUNT(L28:P28)&lt;5),"",1)</f>
        <v/>
      </c>
      <c r="AG28" s="102" t="str">
        <f t="shared" ref="AG28:AG33" si="7">IFERROR(K28,"")</f>
        <v/>
      </c>
    </row>
    <row r="29" ht="15.75" customHeight="1">
      <c r="A29" s="1"/>
      <c r="B29" s="114">
        <v>11.0</v>
      </c>
      <c r="C29" s="115"/>
      <c r="D29" s="116"/>
      <c r="E29" s="77"/>
      <c r="F29" s="1"/>
      <c r="G29" s="1"/>
      <c r="H29" s="1"/>
      <c r="I29" s="1"/>
      <c r="J29" s="1"/>
      <c r="K29" s="104" t="str">
        <f t="shared" si="2"/>
        <v/>
      </c>
      <c r="L29" s="118"/>
      <c r="M29" s="118"/>
      <c r="N29" s="118"/>
      <c r="O29" s="118"/>
      <c r="P29" s="118"/>
      <c r="Q29" s="1"/>
      <c r="R29" s="1"/>
      <c r="AC29" s="102" t="str">
        <f t="shared" si="3"/>
        <v/>
      </c>
      <c r="AD29" s="102" t="str">
        <f t="shared" si="4"/>
        <v/>
      </c>
      <c r="AE29" s="102" t="str">
        <f t="shared" si="5"/>
        <v/>
      </c>
      <c r="AF29" s="102" t="str">
        <f t="shared" si="6"/>
        <v/>
      </c>
      <c r="AG29" s="102" t="str">
        <f t="shared" si="7"/>
        <v/>
      </c>
    </row>
    <row r="30" ht="15.75" customHeight="1">
      <c r="A30" s="1"/>
      <c r="B30" s="1"/>
      <c r="C30" s="3"/>
      <c r="D30" s="117">
        <f>SUM(D19:D29)</f>
        <v>0</v>
      </c>
      <c r="E30" s="1"/>
      <c r="F30" s="1"/>
      <c r="G30" s="1"/>
      <c r="H30" s="1"/>
      <c r="I30" s="1"/>
      <c r="J30" s="1"/>
      <c r="K30" s="104" t="str">
        <f t="shared" si="2"/>
        <v/>
      </c>
      <c r="L30" s="118"/>
      <c r="M30" s="118"/>
      <c r="N30" s="118"/>
      <c r="O30" s="118"/>
      <c r="P30" s="118"/>
      <c r="Q30" s="1"/>
      <c r="R30" s="1"/>
      <c r="AC30" s="102" t="str">
        <f t="shared" si="3"/>
        <v/>
      </c>
      <c r="AD30" s="102" t="str">
        <f t="shared" si="4"/>
        <v/>
      </c>
      <c r="AE30" s="102" t="str">
        <f t="shared" si="5"/>
        <v/>
      </c>
      <c r="AF30" s="102" t="str">
        <f t="shared" si="6"/>
        <v/>
      </c>
      <c r="AG30" s="102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4" t="str">
        <f t="shared" si="2"/>
        <v/>
      </c>
      <c r="L31" s="118"/>
      <c r="M31" s="118"/>
      <c r="N31" s="118"/>
      <c r="O31" s="118"/>
      <c r="P31" s="118"/>
      <c r="Q31" s="1"/>
      <c r="R31" s="1"/>
      <c r="AC31" s="102" t="str">
        <f t="shared" si="3"/>
        <v/>
      </c>
      <c r="AD31" s="102" t="str">
        <f t="shared" si="4"/>
        <v/>
      </c>
      <c r="AE31" s="102" t="str">
        <f t="shared" si="5"/>
        <v/>
      </c>
      <c r="AF31" s="102" t="str">
        <f t="shared" si="6"/>
        <v/>
      </c>
      <c r="AG31" s="102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4"/>
      <c r="L32" s="118"/>
      <c r="M32" s="118"/>
      <c r="N32" s="118"/>
      <c r="O32" s="118"/>
      <c r="P32" s="118"/>
      <c r="Q32" s="1"/>
      <c r="R32" s="1"/>
      <c r="AC32" s="102" t="str">
        <f t="shared" si="3"/>
        <v/>
      </c>
      <c r="AD32" s="102" t="str">
        <f t="shared" si="4"/>
        <v/>
      </c>
      <c r="AE32" s="102" t="str">
        <f t="shared" si="5"/>
        <v/>
      </c>
      <c r="AF32" s="102" t="str">
        <f t="shared" si="6"/>
        <v/>
      </c>
      <c r="AG32" s="102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4"/>
      <c r="L33" s="118"/>
      <c r="M33" s="118"/>
      <c r="N33" s="118"/>
      <c r="O33" s="118"/>
      <c r="P33" s="118"/>
      <c r="Q33" s="1"/>
      <c r="R33" s="1"/>
      <c r="AC33" s="102" t="str">
        <f t="shared" si="3"/>
        <v/>
      </c>
      <c r="AD33" s="102" t="str">
        <f t="shared" si="4"/>
        <v/>
      </c>
      <c r="AE33" s="102" t="str">
        <f t="shared" si="5"/>
        <v/>
      </c>
      <c r="AF33" s="102" t="str">
        <f t="shared" si="6"/>
        <v/>
      </c>
      <c r="AG33" s="102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20" t="s">
        <v>195</v>
      </c>
      <c r="Q34" s="1"/>
      <c r="R34" s="1"/>
    </row>
    <row r="35" ht="15.75" customHeight="1"/>
    <row r="36" ht="15.75" customHeight="1">
      <c r="K36" s="197" t="s">
        <v>198</v>
      </c>
    </row>
    <row r="37" ht="15.75" customHeight="1">
      <c r="K37" s="123" t="s">
        <v>8</v>
      </c>
      <c r="L37" s="123" t="s">
        <v>200</v>
      </c>
      <c r="M37" s="123" t="s">
        <v>201</v>
      </c>
    </row>
    <row r="38" ht="15.75" customHeight="1">
      <c r="K38" s="126" t="str">
        <f t="shared" ref="K38:K39" si="8">IF(O19="","",O19)</f>
        <v/>
      </c>
      <c r="L38" s="129"/>
      <c r="M38" s="129"/>
    </row>
    <row r="39" ht="15.75" customHeight="1">
      <c r="K39" s="126" t="str">
        <f t="shared" si="8"/>
        <v/>
      </c>
      <c r="L39" s="129"/>
      <c r="M39" s="129"/>
    </row>
    <row r="40" ht="15.75" customHeight="1"/>
    <row r="41" ht="19.5" customHeight="1">
      <c r="K41" s="132" t="s">
        <v>206</v>
      </c>
    </row>
    <row r="42" ht="19.5" customHeight="1">
      <c r="K42" s="134" t="s">
        <v>207</v>
      </c>
      <c r="M42" s="129"/>
    </row>
    <row r="43" ht="19.5" customHeight="1">
      <c r="K43" s="135" t="s">
        <v>208</v>
      </c>
      <c r="M43" s="138">
        <f>COUNTIF($I$4:$I$17,"DP")</f>
        <v>0</v>
      </c>
    </row>
    <row r="44" ht="19.5" customHeight="1">
      <c r="K44" s="135" t="s">
        <v>210</v>
      </c>
      <c r="M44" s="138">
        <f>COUNTIFS($I$4:$I$17,"&lt;&gt;DP",$I$4:$I$17,"&lt;&gt;")</f>
        <v>0</v>
      </c>
    </row>
    <row r="45" ht="19.5" customHeight="1">
      <c r="K45" s="139" t="s">
        <v>211</v>
      </c>
      <c r="M45" s="138">
        <f>M43+M44</f>
        <v>0</v>
      </c>
    </row>
    <row r="46" ht="19.5" customHeight="1">
      <c r="K46" s="134" t="s">
        <v>212</v>
      </c>
      <c r="M46" s="141" t="str">
        <f>IF(OR(M42="",M42=0),"",M43/M42)</f>
        <v/>
      </c>
    </row>
    <row r="47" ht="15.75" customHeight="1">
      <c r="A47" s="198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99" t="s">
        <v>512</v>
      </c>
      <c r="E49" s="199" t="s">
        <v>513</v>
      </c>
      <c r="I49" s="199" t="s">
        <v>514</v>
      </c>
      <c r="M49" s="199" t="s">
        <v>515</v>
      </c>
    </row>
    <row r="50" ht="15.75" customHeight="1">
      <c r="A50" s="200">
        <f>IFERROR(SUMIFS($D$56:$D$68,$C$56:$C$68,"&gt;0")/COUNTIFS($C$56:$C$68,"&gt;0"),0)</f>
        <v>98.07451923</v>
      </c>
      <c r="E50" s="200">
        <f>IFERROR(SUMIFS($D$56:$D$68,$B$56:$B$68,"Admin/CS",$C$56:$C$68,"&gt;0")/COUNTIFS($B$56:$B$68,"Admin/CS",$C$56:$C$68,"&gt;0"),0)</f>
        <v>96.875</v>
      </c>
      <c r="I50" s="200">
        <f>IFERROR(SUMIFS($D$56:$D$68,$B$56:$B$68,"Fotografer",$C$56:$C$68,"&gt;0")/COUNTIFS($B$56:$B$68,"Fotografer",$C$56:$C$68,"&gt;0"),0)</f>
        <v>99.27403846</v>
      </c>
      <c r="M50" s="200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201" t="s">
        <v>2</v>
      </c>
      <c r="B55" s="201" t="s">
        <v>516</v>
      </c>
      <c r="C55" s="201" t="s">
        <v>517</v>
      </c>
      <c r="D55" s="201" t="s">
        <v>518</v>
      </c>
      <c r="E55" s="201" t="s">
        <v>519</v>
      </c>
      <c r="F55" s="201" t="s">
        <v>520</v>
      </c>
      <c r="G55" s="201" t="s">
        <v>521</v>
      </c>
    </row>
    <row r="56" ht="15.75" customHeight="1">
      <c r="A56" s="202" t="str">
        <f>IF($A$78="","",$A$78)</f>
        <v>INDAH</v>
      </c>
      <c r="B56" s="202" t="str">
        <f>IF(A56="","",$B$78)</f>
        <v>Admin/CS</v>
      </c>
      <c r="C56" s="203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$33:$AG$38,A56,'10'!$AF$33:$AF$38)+SUMIF('11'!$AG$29:$AG$34,A56,'11'!$AF$29:$AF$34)+SUMIF('12'!$AG$26:$AG$31,A56,'12'!$AF$26:$AF$31)+SUMIF('13'!$AG$25:$AG$30,A56,'13'!$AF$25:$AF$30)+SUMIF('14'!$AG$25:$AG$30,A56,'14'!$AF$25:$AF$30)+SUMIF('15'!$AG$29:$AG$34,A56,'15'!$AF$29:$AF$34)+SUMIF('16'!$AG$28:$AG$33,A56,'16'!$AF$28:$AF$33)+SUMIF('17'!$AG$44:$AG$49,A56,'17'!$AF$44:$AF$49)+SUMIF('18'!$AG$28:$AG$33,A56,'18'!$AF$28:$AF$33)+SUMIF('19'!$AG$33:$AG$38,A56,'19'!$AF$33:$AF$38)+SUMIF('20'!$AG$28:$AG$33,A56,'20'!$AF$28:$AF$33)+SUMIF('21'!$AG$32:$AG$37,A56,'21'!$AF$32:$AF$37)+SUMIF('22'!$AG$35:$AG$40,A56,'22'!$AF$35:$AF$40)+SUMIF('23'!$AG$30:$AG$35,A56,'23'!$AF$30:$AF$35)+SUMIF('24'!$AG$25:$AG$30,A56,'24'!$AF$25:$AF$30)+SUMIF('25'!$AG$27:$AG$32,A56,'25'!$AF$27:$AF$32)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26</v>
      </c>
      <c r="D56" s="20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$33:$AG$38,A56,'10'!$AC$33:$AC$38)+SUMIF('11'!$AG$29:$AG$34,A56,'11'!$AC$29:$AC$34)+SUMIF('12'!$AG$26:$AG$31,A56,'12'!$AC$26:$AC$31)+SUMIF('13'!$AG$25:$AG$30,A56,'13'!$AC$25:$AC$30)+SUMIF('14'!$AG$25:$AG$30,A56,'14'!$AC$25:$AC$30)+SUMIF('15'!$AG$29:$AG$34,A56,'15'!$AC$29:$AC$34)+SUMIF('16'!$AG$28:$AG$33,A56,'16'!$AC$28:$AC$33)+SUMIF('17'!$AG$44:$AG$49,A56,'17'!$AC$44:$AC$49)+SUMIF('18'!$AG$28:$AG$33,A56,'18'!$AC$28:$AC$33)+SUMIF('19'!$AG$33:$AG$38,A56,'19'!$AC$33:$AC$38)+SUMIF('20'!$AG$28:$AG$33,A56,'20'!$AC$28:$AC$33)+SUMIF('21'!$AG$32:$AG$37,A56,'21'!$AC$32:$AC$37)+SUMIF('22'!$AG$35:$AG$40,A56,'22'!$AC$35:$AC$40)+SUMIF('23'!$AG$30:$AG$35,A56,'23'!$AC$30:$AC$35)+SUMIF('24'!$AG$25:$AG$30,A56,'24'!$AC$25:$AC$30)+SUMIF('25'!$AG$27:$AG$32,A56,'25'!$AC$27:$AC$32)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203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$33:$AG$38,A56,'10'!$AD$33:$AD$38,"Underperform")+COUNTIFS('11'!$AG$29:$AG$34,A56,'11'!$AD$29:$AD$34,"Underperform")+COUNTIFS('12'!$AG$26:$AG$31,A56,'12'!$AD$26:$AD$31,"Underperform")+COUNTIFS('13'!$AG$25:$AG$30,A56,'13'!$AD$25:$AD$30,"Underperform")+COUNTIFS('14'!$AG$25:$AG$30,A56,'14'!$AD$25:$AD$30,"Underperform")+COUNTIFS('15'!$AG$29:$AG$34,A56,'15'!$AD$29:$AD$34,"Underperform")+COUNTIFS('16'!$AG$28:$AG$33,A56,'16'!$AD$28:$AD$33,"Underperform")+COUNTIFS('17'!$AG$44:$AG$49,A56,'17'!$AD$44:$AD$49,"Underperform")+COUNTIFS('18'!$AG$28:$AG$33,A56,'18'!$AD$28:$AD$33,"Underperform")+COUNTIFS('19'!$AG$33:$AG$38,A56,'19'!$AD$33:$AD$38,"Underperform")+COUNTIFS('20'!$AG$28:$AG$33,A56,'20'!$AD$28:$AD$33,"Underperform")+COUNTIFS('21'!$AG$32:$AG$37,A56,'21'!$AD$32:$AD$37,"Underperform")+COUNTIFS('22'!$AG$35:$AG$40,A56,'22'!$AD$35:$AD$40,"Underperform")+COUNTIFS('23'!$AG$30:$AG$35,A56,'23'!$AD$30:$AD$35,"Underperform")+COUNTIFS('24'!$AG$25:$AG$30,A56,'24'!$AD$25:$AD$30,"Underperform")+COUNTIFS('25'!$AG$27:$AG$32,A56,'25'!$AD$27:$AD$32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202" t="str">
        <f t="shared" ref="F56:F68" si="9">IF(D56="","",IF(D56&gt;=90,"Sangat Baik",IF(D56&gt;=80,"Baik",IF(D56&gt;=70,"Coaching","Underperform"))))</f>
        <v>Sangat Baik</v>
      </c>
      <c r="G56" s="209"/>
    </row>
    <row r="57" ht="15.75" customHeight="1">
      <c r="A57" s="202" t="str">
        <f>IF($A$79="","",$A$79)</f>
        <v>ADDEL</v>
      </c>
      <c r="B57" s="202" t="str">
        <f>IF(A57="","",$B$79)</f>
        <v>Admin/CS</v>
      </c>
      <c r="C57" s="203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$33:$AG$38,A57,'10'!$AF$33:$AF$38)+SUMIF('11'!$AG$29:$AG$34,A57,'11'!$AF$29:$AF$34)+SUMIF('12'!$AG$26:$AG$31,A57,'12'!$AF$26:$AF$31)+SUMIF('13'!$AG$25:$AG$30,A57,'13'!$AF$25:$AF$30)+SUMIF('14'!$AG$25:$AG$30,A57,'14'!$AF$25:$AF$30)+SUMIF('15'!$AG$29:$AG$34,A57,'15'!$AF$29:$AF$34)+SUMIF('16'!$AG$28:$AG$33,A57,'16'!$AF$28:$AF$33)+SUMIF('17'!$AG$44:$AG$49,A57,'17'!$AF$44:$AF$49)+SUMIF('18'!$AG$28:$AG$33,A57,'18'!$AF$28:$AF$33)+SUMIF('19'!$AG$33:$AG$38,A57,'19'!$AF$33:$AF$38)+SUMIF('20'!$AG$28:$AG$33,A57,'20'!$AF$28:$AF$33)+SUMIF('21'!$AG$32:$AG$37,A57,'21'!$AF$32:$AF$37)+SUMIF('22'!$AG$35:$AG$40,A57,'22'!$AF$35:$AF$40)+SUMIF('23'!$AG$30:$AG$35,A57,'23'!$AF$30:$AF$35)+SUMIF('24'!$AG$25:$AG$30,A57,'24'!$AF$25:$AF$30)+SUMIF('25'!$AG$27:$AG$32,A57,'25'!$AF$27:$AF$32)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20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$33:$AG$38,A57,'10'!$AC$33:$AC$38)+SUMIF('11'!$AG$29:$AG$34,A57,'11'!$AC$29:$AC$34)+SUMIF('12'!$AG$26:$AG$31,A57,'12'!$AC$26:$AC$31)+SUMIF('13'!$AG$25:$AG$30,A57,'13'!$AC$25:$AC$30)+SUMIF('14'!$AG$25:$AG$30,A57,'14'!$AC$25:$AC$30)+SUMIF('15'!$AG$29:$AG$34,A57,'15'!$AC$29:$AC$34)+SUMIF('16'!$AG$28:$AG$33,A57,'16'!$AC$28:$AC$33)+SUMIF('17'!$AG$44:$AG$49,A57,'17'!$AC$44:$AC$49)+SUMIF('18'!$AG$28:$AG$33,A57,'18'!$AC$28:$AC$33)+SUMIF('19'!$AG$33:$AG$38,A57,'19'!$AC$33:$AC$38)+SUMIF('20'!$AG$28:$AG$33,A57,'20'!$AC$28:$AC$33)+SUMIF('21'!$AG$32:$AG$37,A57,'21'!$AC$32:$AC$37)+SUMIF('22'!$AG$35:$AG$40,A57,'22'!$AC$35:$AC$40)+SUMIF('23'!$AG$30:$AG$35,A57,'23'!$AC$30:$AC$35)+SUMIF('24'!$AG$25:$AG$30,A57,'24'!$AC$25:$AC$30)+SUMIF('25'!$AG$27:$AG$32,A57,'25'!$AC$27:$AC$32)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203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$33:$AG$38,A57,'10'!$AD$33:$AD$38,"Underperform")+COUNTIFS('11'!$AG$29:$AG$34,A57,'11'!$AD$29:$AD$34,"Underperform")+COUNTIFS('12'!$AG$26:$AG$31,A57,'12'!$AD$26:$AD$31,"Underperform")+COUNTIFS('13'!$AG$25:$AG$30,A57,'13'!$AD$25:$AD$30,"Underperform")+COUNTIFS('14'!$AG$25:$AG$30,A57,'14'!$AD$25:$AD$30,"Underperform")+COUNTIFS('15'!$AG$29:$AG$34,A57,'15'!$AD$29:$AD$34,"Underperform")+COUNTIFS('16'!$AG$28:$AG$33,A57,'16'!$AD$28:$AD$33,"Underperform")+COUNTIFS('17'!$AG$44:$AG$49,A57,'17'!$AD$44:$AD$49,"Underperform")+COUNTIFS('18'!$AG$28:$AG$33,A57,'18'!$AD$28:$AD$33,"Underperform")+COUNTIFS('19'!$AG$33:$AG$38,A57,'19'!$AD$33:$AD$38,"Underperform")+COUNTIFS('20'!$AG$28:$AG$33,A57,'20'!$AD$28:$AD$33,"Underperform")+COUNTIFS('21'!$AG$32:$AG$37,A57,'21'!$AD$32:$AD$37,"Underperform")+COUNTIFS('22'!$AG$35:$AG$40,A57,'22'!$AD$35:$AD$40,"Underperform")+COUNTIFS('23'!$AG$30:$AG$35,A57,'23'!$AD$30:$AD$35,"Underperform")+COUNTIFS('24'!$AG$25:$AG$30,A57,'24'!$AD$25:$AD$30,"Underperform")+COUNTIFS('25'!$AG$27:$AG$32,A57,'25'!$AD$27:$AD$32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202" t="str">
        <f t="shared" si="9"/>
        <v/>
      </c>
      <c r="G57" s="209"/>
    </row>
    <row r="58" ht="15.75" customHeight="1">
      <c r="A58" s="202" t="str">
        <f>IF($A$80="","",$A$80)</f>
        <v>AMEL</v>
      </c>
      <c r="B58" s="202" t="str">
        <f>IF(A58="","",$B$80)</f>
        <v>Admin/CS</v>
      </c>
      <c r="C58" s="203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$33:$AG$38,A58,'10'!$AF$33:$AF$38)+SUMIF('11'!$AG$29:$AG$34,A58,'11'!$AF$29:$AF$34)+SUMIF('12'!$AG$26:$AG$31,A58,'12'!$AF$26:$AF$31)+SUMIF('13'!$AG$25:$AG$30,A58,'13'!$AF$25:$AF$30)+SUMIF('14'!$AG$25:$AG$30,A58,'14'!$AF$25:$AF$30)+SUMIF('15'!$AG$29:$AG$34,A58,'15'!$AF$29:$AF$34)+SUMIF('16'!$AG$28:$AG$33,A58,'16'!$AF$28:$AF$33)+SUMIF('17'!$AG$44:$AG$49,A58,'17'!$AF$44:$AF$49)+SUMIF('18'!$AG$28:$AG$33,A58,'18'!$AF$28:$AF$33)+SUMIF('19'!$AG$33:$AG$38,A58,'19'!$AF$33:$AF$38)+SUMIF('20'!$AG$28:$AG$33,A58,'20'!$AF$28:$AF$33)+SUMIF('21'!$AG$32:$AG$37,A58,'21'!$AF$32:$AF$37)+SUMIF('22'!$AG$35:$AG$40,A58,'22'!$AF$35:$AF$40)+SUMIF('23'!$AG$30:$AG$35,A58,'23'!$AF$30:$AF$35)+SUMIF('24'!$AG$25:$AG$30,A58,'24'!$AF$25:$AF$30)+SUMIF('25'!$AG$27:$AG$32,A58,'25'!$AF$27:$AF$32)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24</v>
      </c>
      <c r="D58" s="20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$33:$AG$38,A58,'10'!$AC$33:$AC$38)+SUMIF('11'!$AG$29:$AG$34,A58,'11'!$AC$29:$AC$34)+SUMIF('12'!$AG$26:$AG$31,A58,'12'!$AC$26:$AC$31)+SUMIF('13'!$AG$25:$AG$30,A58,'13'!$AC$25:$AC$30)+SUMIF('14'!$AG$25:$AG$30,A58,'14'!$AC$25:$AC$30)+SUMIF('15'!$AG$29:$AG$34,A58,'15'!$AC$29:$AC$34)+SUMIF('16'!$AG$28:$AG$33,A58,'16'!$AC$28:$AC$33)+SUMIF('17'!$AG$44:$AG$49,A58,'17'!$AC$44:$AC$49)+SUMIF('18'!$AG$28:$AG$33,A58,'18'!$AC$28:$AC$33)+SUMIF('19'!$AG$33:$AG$38,A58,'19'!$AC$33:$AC$38)+SUMIF('20'!$AG$28:$AG$33,A58,'20'!$AC$28:$AC$33)+SUMIF('21'!$AG$32:$AG$37,A58,'21'!$AC$32:$AC$37)+SUMIF('22'!$AG$35:$AG$40,A58,'22'!$AC$35:$AC$40)+SUMIF('23'!$AG$30:$AG$35,A58,'23'!$AC$30:$AC$35)+SUMIF('24'!$AG$25:$AG$30,A58,'24'!$AC$25:$AC$30)+SUMIF('25'!$AG$27:$AG$32,A58,'25'!$AC$27:$AC$32)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93.75</v>
      </c>
      <c r="E58" s="203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$33:$AG$38,A58,'10'!$AD$33:$AD$38,"Underperform")+COUNTIFS('11'!$AG$29:$AG$34,A58,'11'!$AD$29:$AD$34,"Underperform")+COUNTIFS('12'!$AG$26:$AG$31,A58,'12'!$AD$26:$AD$31,"Underperform")+COUNTIFS('13'!$AG$25:$AG$30,A58,'13'!$AD$25:$AD$30,"Underperform")+COUNTIFS('14'!$AG$25:$AG$30,A58,'14'!$AD$25:$AD$30,"Underperform")+COUNTIFS('15'!$AG$29:$AG$34,A58,'15'!$AD$29:$AD$34,"Underperform")+COUNTIFS('16'!$AG$28:$AG$33,A58,'16'!$AD$28:$AD$33,"Underperform")+COUNTIFS('17'!$AG$44:$AG$49,A58,'17'!$AD$44:$AD$49,"Underperform")+COUNTIFS('18'!$AG$28:$AG$33,A58,'18'!$AD$28:$AD$33,"Underperform")+COUNTIFS('19'!$AG$33:$AG$38,A58,'19'!$AD$33:$AD$38,"Underperform")+COUNTIFS('20'!$AG$28:$AG$33,A58,'20'!$AD$28:$AD$33,"Underperform")+COUNTIFS('21'!$AG$32:$AG$37,A58,'21'!$AD$32:$AD$37,"Underperform")+COUNTIFS('22'!$AG$35:$AG$40,A58,'22'!$AD$35:$AD$40,"Underperform")+COUNTIFS('23'!$AG$30:$AG$35,A58,'23'!$AD$30:$AD$35,"Underperform")+COUNTIFS('24'!$AG$25:$AG$30,A58,'24'!$AD$25:$AD$30,"Underperform")+COUNTIFS('25'!$AG$27:$AG$32,A58,'25'!$AD$27:$AD$32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202" t="str">
        <f t="shared" si="9"/>
        <v>Sangat Baik</v>
      </c>
      <c r="G58" s="209"/>
    </row>
    <row r="59" ht="15.75" customHeight="1">
      <c r="A59" s="202" t="str">
        <f>IF($A$81="","",$A$81)</f>
        <v>PENTIL</v>
      </c>
      <c r="B59" s="202" t="str">
        <f>IF(A59="","",$B$81)</f>
        <v>Admin/CS</v>
      </c>
      <c r="C59" s="203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$33:$AG$38,A59,'10'!$AF$33:$AF$38)+SUMIF('11'!$AG$29:$AG$34,A59,'11'!$AF$29:$AF$34)+SUMIF('12'!$AG$26:$AG$31,A59,'12'!$AF$26:$AF$31)+SUMIF('13'!$AG$25:$AG$30,A59,'13'!$AF$25:$AF$30)+SUMIF('14'!$AG$25:$AG$30,A59,'14'!$AF$25:$AF$30)+SUMIF('15'!$AG$29:$AG$34,A59,'15'!$AF$29:$AF$34)+SUMIF('16'!$AG$28:$AG$33,A59,'16'!$AF$28:$AF$33)+SUMIF('17'!$AG$44:$AG$49,A59,'17'!$AF$44:$AF$49)+SUMIF('18'!$AG$28:$AG$33,A59,'18'!$AF$28:$AF$33)+SUMIF('19'!$AG$33:$AG$38,A59,'19'!$AF$33:$AF$38)+SUMIF('20'!$AG$28:$AG$33,A59,'20'!$AF$28:$AF$33)+SUMIF('21'!$AG$32:$AG$37,A59,'21'!$AF$32:$AF$37)+SUMIF('22'!$AG$35:$AG$40,A59,'22'!$AF$35:$AF$40)+SUMIF('23'!$AG$30:$AG$35,A59,'23'!$AF$30:$AF$35)+SUMIF('24'!$AG$25:$AG$30,A59,'24'!$AF$25:$AF$30)+SUMIF('25'!$AG$27:$AG$32,A59,'25'!$AF$27:$AF$32)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20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$33:$AG$38,A59,'10'!$AC$33:$AC$38)+SUMIF('11'!$AG$29:$AG$34,A59,'11'!$AC$29:$AC$34)+SUMIF('12'!$AG$26:$AG$31,A59,'12'!$AC$26:$AC$31)+SUMIF('13'!$AG$25:$AG$30,A59,'13'!$AC$25:$AC$30)+SUMIF('14'!$AG$25:$AG$30,A59,'14'!$AC$25:$AC$30)+SUMIF('15'!$AG$29:$AG$34,A59,'15'!$AC$29:$AC$34)+SUMIF('16'!$AG$28:$AG$33,A59,'16'!$AC$28:$AC$33)+SUMIF('17'!$AG$44:$AG$49,A59,'17'!$AC$44:$AC$49)+SUMIF('18'!$AG$28:$AG$33,A59,'18'!$AC$28:$AC$33)+SUMIF('19'!$AG$33:$AG$38,A59,'19'!$AC$33:$AC$38)+SUMIF('20'!$AG$28:$AG$33,A59,'20'!$AC$28:$AC$33)+SUMIF('21'!$AG$32:$AG$37,A59,'21'!$AC$32:$AC$37)+SUMIF('22'!$AG$35:$AG$40,A59,'22'!$AC$35:$AC$40)+SUMIF('23'!$AG$30:$AG$35,A59,'23'!$AC$30:$AC$35)+SUMIF('24'!$AG$25:$AG$30,A59,'24'!$AC$25:$AC$30)+SUMIF('25'!$AG$27:$AG$32,A59,'25'!$AC$27:$AC$32)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203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$33:$AG$38,A59,'10'!$AD$33:$AD$38,"Underperform")+COUNTIFS('11'!$AG$29:$AG$34,A59,'11'!$AD$29:$AD$34,"Underperform")+COUNTIFS('12'!$AG$26:$AG$31,A59,'12'!$AD$26:$AD$31,"Underperform")+COUNTIFS('13'!$AG$25:$AG$30,A59,'13'!$AD$25:$AD$30,"Underperform")+COUNTIFS('14'!$AG$25:$AG$30,A59,'14'!$AD$25:$AD$30,"Underperform")+COUNTIFS('15'!$AG$29:$AG$34,A59,'15'!$AD$29:$AD$34,"Underperform")+COUNTIFS('16'!$AG$28:$AG$33,A59,'16'!$AD$28:$AD$33,"Underperform")+COUNTIFS('17'!$AG$44:$AG$49,A59,'17'!$AD$44:$AD$49,"Underperform")+COUNTIFS('18'!$AG$28:$AG$33,A59,'18'!$AD$28:$AD$33,"Underperform")+COUNTIFS('19'!$AG$33:$AG$38,A59,'19'!$AD$33:$AD$38,"Underperform")+COUNTIFS('20'!$AG$28:$AG$33,A59,'20'!$AD$28:$AD$33,"Underperform")+COUNTIFS('21'!$AG$32:$AG$37,A59,'21'!$AD$32:$AD$37,"Underperform")+COUNTIFS('22'!$AG$35:$AG$40,A59,'22'!$AD$35:$AD$40,"Underperform")+COUNTIFS('23'!$AG$30:$AG$35,A59,'23'!$AD$30:$AD$35,"Underperform")+COUNTIFS('24'!$AG$25:$AG$30,A59,'24'!$AD$25:$AD$30,"Underperform")+COUNTIFS('25'!$AG$27:$AG$32,A59,'25'!$AD$27:$AD$32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202" t="str">
        <f t="shared" si="9"/>
        <v/>
      </c>
      <c r="G59" s="209"/>
    </row>
    <row r="60" ht="15.75" customHeight="1">
      <c r="A60" s="202" t="str">
        <f>IF($A$82="","",$A$82)</f>
        <v>JIJANG</v>
      </c>
      <c r="B60" s="202" t="str">
        <f>IF(A60="","",$B$82)</f>
        <v>Admin/CS</v>
      </c>
      <c r="C60" s="203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$33:$AG$38,A60,'10'!$AF$33:$AF$38)+SUMIF('11'!$AG$29:$AG$34,A60,'11'!$AF$29:$AF$34)+SUMIF('12'!$AG$26:$AG$31,A60,'12'!$AF$26:$AF$31)+SUMIF('13'!$AG$25:$AG$30,A60,'13'!$AF$25:$AF$30)+SUMIF('14'!$AG$25:$AG$30,A60,'14'!$AF$25:$AF$30)+SUMIF('15'!$AG$29:$AG$34,A60,'15'!$AF$29:$AF$34)+SUMIF('16'!$AG$28:$AG$33,A60,'16'!$AF$28:$AF$33)+SUMIF('17'!$AG$44:$AG$49,A60,'17'!$AF$44:$AF$49)+SUMIF('18'!$AG$28:$AG$33,A60,'18'!$AF$28:$AF$33)+SUMIF('19'!$AG$33:$AG$38,A60,'19'!$AF$33:$AF$38)+SUMIF('20'!$AG$28:$AG$33,A60,'20'!$AF$28:$AF$33)+SUMIF('21'!$AG$32:$AG$37,A60,'21'!$AF$32:$AF$37)+SUMIF('22'!$AG$35:$AG$40,A60,'22'!$AF$35:$AF$40)+SUMIF('23'!$AG$30:$AG$35,A60,'23'!$AF$30:$AF$35)+SUMIF('24'!$AG$25:$AG$30,A60,'24'!$AF$25:$AF$30)+SUMIF('25'!$AG$27:$AG$32,A60,'25'!$AF$27:$AF$32)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20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$33:$AG$38,A60,'10'!$AC$33:$AC$38)+SUMIF('11'!$AG$29:$AG$34,A60,'11'!$AC$29:$AC$34)+SUMIF('12'!$AG$26:$AG$31,A60,'12'!$AC$26:$AC$31)+SUMIF('13'!$AG$25:$AG$30,A60,'13'!$AC$25:$AC$30)+SUMIF('14'!$AG$25:$AG$30,A60,'14'!$AC$25:$AC$30)+SUMIF('15'!$AG$29:$AG$34,A60,'15'!$AC$29:$AC$34)+SUMIF('16'!$AG$28:$AG$33,A60,'16'!$AC$28:$AC$33)+SUMIF('17'!$AG$44:$AG$49,A60,'17'!$AC$44:$AC$49)+SUMIF('18'!$AG$28:$AG$33,A60,'18'!$AC$28:$AC$33)+SUMIF('19'!$AG$33:$AG$38,A60,'19'!$AC$33:$AC$38)+SUMIF('20'!$AG$28:$AG$33,A60,'20'!$AC$28:$AC$33)+SUMIF('21'!$AG$32:$AG$37,A60,'21'!$AC$32:$AC$37)+SUMIF('22'!$AG$35:$AG$40,A60,'22'!$AC$35:$AC$40)+SUMIF('23'!$AG$30:$AG$35,A60,'23'!$AC$30:$AC$35)+SUMIF('24'!$AG$25:$AG$30,A60,'24'!$AC$25:$AC$30)+SUMIF('25'!$AG$27:$AG$32,A60,'25'!$AC$27:$AC$32)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203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$33:$AG$38,A60,'10'!$AD$33:$AD$38,"Underperform")+COUNTIFS('11'!$AG$29:$AG$34,A60,'11'!$AD$29:$AD$34,"Underperform")+COUNTIFS('12'!$AG$26:$AG$31,A60,'12'!$AD$26:$AD$31,"Underperform")+COUNTIFS('13'!$AG$25:$AG$30,A60,'13'!$AD$25:$AD$30,"Underperform")+COUNTIFS('14'!$AG$25:$AG$30,A60,'14'!$AD$25:$AD$30,"Underperform")+COUNTIFS('15'!$AG$29:$AG$34,A60,'15'!$AD$29:$AD$34,"Underperform")+COUNTIFS('16'!$AG$28:$AG$33,A60,'16'!$AD$28:$AD$33,"Underperform")+COUNTIFS('17'!$AG$44:$AG$49,A60,'17'!$AD$44:$AD$49,"Underperform")+COUNTIFS('18'!$AG$28:$AG$33,A60,'18'!$AD$28:$AD$33,"Underperform")+COUNTIFS('19'!$AG$33:$AG$38,A60,'19'!$AD$33:$AD$38,"Underperform")+COUNTIFS('20'!$AG$28:$AG$33,A60,'20'!$AD$28:$AD$33,"Underperform")+COUNTIFS('21'!$AG$32:$AG$37,A60,'21'!$AD$32:$AD$37,"Underperform")+COUNTIFS('22'!$AG$35:$AG$40,A60,'22'!$AD$35:$AD$40,"Underperform")+COUNTIFS('23'!$AG$30:$AG$35,A60,'23'!$AD$30:$AD$35,"Underperform")+COUNTIFS('24'!$AG$25:$AG$30,A60,'24'!$AD$25:$AD$30,"Underperform")+COUNTIFS('25'!$AG$27:$AG$32,A60,'25'!$AD$27:$AD$32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202" t="str">
        <f t="shared" si="9"/>
        <v/>
      </c>
      <c r="G60" s="209"/>
    </row>
    <row r="61" ht="15.75" customHeight="1">
      <c r="A61" s="202" t="str">
        <f>IF($A$83="","",$A$83)</f>
        <v>HANIF</v>
      </c>
      <c r="B61" s="202" t="str">
        <f>IF(A61="","",$B$83)</f>
        <v>Fotografer</v>
      </c>
      <c r="C61" s="203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$33:$AG$38,A61,'10'!$AF$33:$AF$38)+SUMIF('11'!$AG$29:$AG$34,A61,'11'!$AF$29:$AF$34)+SUMIF('12'!$AG$26:$AG$31,A61,'12'!$AF$26:$AF$31)+SUMIF('13'!$AG$25:$AG$30,A61,'13'!$AF$25:$AF$30)+SUMIF('14'!$AG$25:$AG$30,A61,'14'!$AF$25:$AF$30)+SUMIF('15'!$AG$29:$AG$34,A61,'15'!$AF$29:$AF$34)+SUMIF('16'!$AG$28:$AG$33,A61,'16'!$AF$28:$AF$33)+SUMIF('17'!$AG$44:$AG$49,A61,'17'!$AF$44:$AF$49)+SUMIF('18'!$AG$28:$AG$33,A61,'18'!$AF$28:$AF$33)+SUMIF('19'!$AG$33:$AG$38,A61,'19'!$AF$33:$AF$38)+SUMIF('20'!$AG$28:$AG$33,A61,'20'!$AF$28:$AF$33)+SUMIF('21'!$AG$32:$AG$37,A61,'21'!$AF$32:$AF$37)+SUMIF('22'!$AG$35:$AG$40,A61,'22'!$AF$35:$AF$40)+SUMIF('23'!$AG$30:$AG$35,A61,'23'!$AF$30:$AF$35)+SUMIF('24'!$AG$25:$AG$30,A61,'24'!$AF$25:$AF$30)+SUMIF('25'!$AG$27:$AG$32,A61,'25'!$AF$27:$AF$32)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20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$33:$AG$38,A61,'10'!$AC$33:$AC$38)+SUMIF('11'!$AG$29:$AG$34,A61,'11'!$AC$29:$AC$34)+SUMIF('12'!$AG$26:$AG$31,A61,'12'!$AC$26:$AC$31)+SUMIF('13'!$AG$25:$AG$30,A61,'13'!$AC$25:$AC$30)+SUMIF('14'!$AG$25:$AG$30,A61,'14'!$AC$25:$AC$30)+SUMIF('15'!$AG$29:$AG$34,A61,'15'!$AC$29:$AC$34)+SUMIF('16'!$AG$28:$AG$33,A61,'16'!$AC$28:$AC$33)+SUMIF('17'!$AG$44:$AG$49,A61,'17'!$AC$44:$AC$49)+SUMIF('18'!$AG$28:$AG$33,A61,'18'!$AC$28:$AC$33)+SUMIF('19'!$AG$33:$AG$38,A61,'19'!$AC$33:$AC$38)+SUMIF('20'!$AG$28:$AG$33,A61,'20'!$AC$28:$AC$33)+SUMIF('21'!$AG$32:$AG$37,A61,'21'!$AC$32:$AC$37)+SUMIF('22'!$AG$35:$AG$40,A61,'22'!$AC$35:$AC$40)+SUMIF('23'!$AG$30:$AG$35,A61,'23'!$AC$30:$AC$35)+SUMIF('24'!$AG$25:$AG$30,A61,'24'!$AC$25:$AC$30)+SUMIF('25'!$AG$27:$AG$32,A61,'25'!$AC$27:$AC$32)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203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$33:$AG$38,A61,'10'!$AD$33:$AD$38,"Underperform")+COUNTIFS('11'!$AG$29:$AG$34,A61,'11'!$AD$29:$AD$34,"Underperform")+COUNTIFS('12'!$AG$26:$AG$31,A61,'12'!$AD$26:$AD$31,"Underperform")+COUNTIFS('13'!$AG$25:$AG$30,A61,'13'!$AD$25:$AD$30,"Underperform")+COUNTIFS('14'!$AG$25:$AG$30,A61,'14'!$AD$25:$AD$30,"Underperform")+COUNTIFS('15'!$AG$29:$AG$34,A61,'15'!$AD$29:$AD$34,"Underperform")+COUNTIFS('16'!$AG$28:$AG$33,A61,'16'!$AD$28:$AD$33,"Underperform")+COUNTIFS('17'!$AG$44:$AG$49,A61,'17'!$AD$44:$AD$49,"Underperform")+COUNTIFS('18'!$AG$28:$AG$33,A61,'18'!$AD$28:$AD$33,"Underperform")+COUNTIFS('19'!$AG$33:$AG$38,A61,'19'!$AD$33:$AD$38,"Underperform")+COUNTIFS('20'!$AG$28:$AG$33,A61,'20'!$AD$28:$AD$33,"Underperform")+COUNTIFS('21'!$AG$32:$AG$37,A61,'21'!$AD$32:$AD$37,"Underperform")+COUNTIFS('22'!$AG$35:$AG$40,A61,'22'!$AD$35:$AD$40,"Underperform")+COUNTIFS('23'!$AG$30:$AG$35,A61,'23'!$AD$30:$AD$35,"Underperform")+COUNTIFS('24'!$AG$25:$AG$30,A61,'24'!$AD$25:$AD$30,"Underperform")+COUNTIFS('25'!$AG$27:$AG$32,A61,'25'!$AD$27:$AD$32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202" t="str">
        <f t="shared" si="9"/>
        <v/>
      </c>
      <c r="G61" s="209"/>
    </row>
    <row r="62" ht="15.75" customHeight="1">
      <c r="A62" s="202" t="str">
        <f>IF($A$84="","",$A$84)</f>
        <v>FAHME</v>
      </c>
      <c r="B62" s="202" t="str">
        <f>IF(A62="","",$B$84)</f>
        <v>Fotografer</v>
      </c>
      <c r="C62" s="203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$33:$AG$38,A62,'10'!$AF$33:$AF$38)+SUMIF('11'!$AG$29:$AG$34,A62,'11'!$AF$29:$AF$34)+SUMIF('12'!$AG$26:$AG$31,A62,'12'!$AF$26:$AF$31)+SUMIF('13'!$AG$25:$AG$30,A62,'13'!$AF$25:$AF$30)+SUMIF('14'!$AG$25:$AG$30,A62,'14'!$AF$25:$AF$30)+SUMIF('15'!$AG$29:$AG$34,A62,'15'!$AF$29:$AF$34)+SUMIF('16'!$AG$28:$AG$33,A62,'16'!$AF$28:$AF$33)+SUMIF('17'!$AG$44:$AG$49,A62,'17'!$AF$44:$AF$49)+SUMIF('18'!$AG$28:$AG$33,A62,'18'!$AF$28:$AF$33)+SUMIF('19'!$AG$33:$AG$38,A62,'19'!$AF$33:$AF$38)+SUMIF('20'!$AG$28:$AG$33,A62,'20'!$AF$28:$AF$33)+SUMIF('21'!$AG$32:$AG$37,A62,'21'!$AF$32:$AF$37)+SUMIF('22'!$AG$35:$AG$40,A62,'22'!$AF$35:$AF$40)+SUMIF('23'!$AG$30:$AG$35,A62,'23'!$AF$30:$AF$35)+SUMIF('24'!$AG$25:$AG$30,A62,'24'!$AF$25:$AF$30)+SUMIF('25'!$AG$27:$AG$32,A62,'25'!$AF$27:$AF$32)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20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$33:$AG$38,A62,'10'!$AC$33:$AC$38)+SUMIF('11'!$AG$29:$AG$34,A62,'11'!$AC$29:$AC$34)+SUMIF('12'!$AG$26:$AG$31,A62,'12'!$AC$26:$AC$31)+SUMIF('13'!$AG$25:$AG$30,A62,'13'!$AC$25:$AC$30)+SUMIF('14'!$AG$25:$AG$30,A62,'14'!$AC$25:$AC$30)+SUMIF('15'!$AG$29:$AG$34,A62,'15'!$AC$29:$AC$34)+SUMIF('16'!$AG$28:$AG$33,A62,'16'!$AC$28:$AC$33)+SUMIF('17'!$AG$44:$AG$49,A62,'17'!$AC$44:$AC$49)+SUMIF('18'!$AG$28:$AG$33,A62,'18'!$AC$28:$AC$33)+SUMIF('19'!$AG$33:$AG$38,A62,'19'!$AC$33:$AC$38)+SUMIF('20'!$AG$28:$AG$33,A62,'20'!$AC$28:$AC$33)+SUMIF('21'!$AG$32:$AG$37,A62,'21'!$AC$32:$AC$37)+SUMIF('22'!$AG$35:$AG$40,A62,'22'!$AC$35:$AC$40)+SUMIF('23'!$AG$30:$AG$35,A62,'23'!$AC$30:$AC$35)+SUMIF('24'!$AG$25:$AG$30,A62,'24'!$AC$25:$AC$30)+SUMIF('25'!$AG$27:$AG$32,A62,'25'!$AC$27:$AC$32)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203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$33:$AG$38,A62,'10'!$AD$33:$AD$38,"Underperform")+COUNTIFS('11'!$AG$29:$AG$34,A62,'11'!$AD$29:$AD$34,"Underperform")+COUNTIFS('12'!$AG$26:$AG$31,A62,'12'!$AD$26:$AD$31,"Underperform")+COUNTIFS('13'!$AG$25:$AG$30,A62,'13'!$AD$25:$AD$30,"Underperform")+COUNTIFS('14'!$AG$25:$AG$30,A62,'14'!$AD$25:$AD$30,"Underperform")+COUNTIFS('15'!$AG$29:$AG$34,A62,'15'!$AD$29:$AD$34,"Underperform")+COUNTIFS('16'!$AG$28:$AG$33,A62,'16'!$AD$28:$AD$33,"Underperform")+COUNTIFS('17'!$AG$44:$AG$49,A62,'17'!$AD$44:$AD$49,"Underperform")+COUNTIFS('18'!$AG$28:$AG$33,A62,'18'!$AD$28:$AD$33,"Underperform")+COUNTIFS('19'!$AG$33:$AG$38,A62,'19'!$AD$33:$AD$38,"Underperform")+COUNTIFS('20'!$AG$28:$AG$33,A62,'20'!$AD$28:$AD$33,"Underperform")+COUNTIFS('21'!$AG$32:$AG$37,A62,'21'!$AD$32:$AD$37,"Underperform")+COUNTIFS('22'!$AG$35:$AG$40,A62,'22'!$AD$35:$AD$40,"Underperform")+COUNTIFS('23'!$AG$30:$AG$35,A62,'23'!$AD$30:$AD$35,"Underperform")+COUNTIFS('24'!$AG$25:$AG$30,A62,'24'!$AD$25:$AD$30,"Underperform")+COUNTIFS('25'!$AG$27:$AG$32,A62,'25'!$AD$27:$AD$32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202" t="str">
        <f t="shared" si="9"/>
        <v/>
      </c>
      <c r="G62" s="209"/>
    </row>
    <row r="63" ht="15.75" customHeight="1">
      <c r="A63" s="202" t="str">
        <f>IF($A$85="","",$A$85)</f>
        <v>ADIF</v>
      </c>
      <c r="B63" s="202" t="str">
        <f>IF(A63="","",$B$85)</f>
        <v>Fotografer</v>
      </c>
      <c r="C63" s="203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$33:$AG$38,A63,'10'!$AF$33:$AF$38)+SUMIF('11'!$AG$29:$AG$34,A63,'11'!$AF$29:$AF$34)+SUMIF('12'!$AG$26:$AG$31,A63,'12'!$AF$26:$AF$31)+SUMIF('13'!$AG$25:$AG$30,A63,'13'!$AF$25:$AF$30)+SUMIF('14'!$AG$25:$AG$30,A63,'14'!$AF$25:$AF$30)+SUMIF('15'!$AG$29:$AG$34,A63,'15'!$AF$29:$AF$34)+SUMIF('16'!$AG$28:$AG$33,A63,'16'!$AF$28:$AF$33)+SUMIF('17'!$AG$44:$AG$49,A63,'17'!$AF$44:$AF$49)+SUMIF('18'!$AG$28:$AG$33,A63,'18'!$AF$28:$AF$33)+SUMIF('19'!$AG$33:$AG$38,A63,'19'!$AF$33:$AF$38)+SUMIF('20'!$AG$28:$AG$33,A63,'20'!$AF$28:$AF$33)+SUMIF('21'!$AG$32:$AG$37,A63,'21'!$AF$32:$AF$37)+SUMIF('22'!$AG$35:$AG$40,A63,'22'!$AF$35:$AF$40)+SUMIF('23'!$AG$30:$AG$35,A63,'23'!$AF$30:$AF$35)+SUMIF('24'!$AG$25:$AG$30,A63,'24'!$AF$25:$AF$30)+SUMIF('25'!$AG$27:$AG$32,A63,'25'!$AF$27:$AF$32)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26</v>
      </c>
      <c r="D63" s="20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$33:$AG$38,A63,'10'!$AC$33:$AC$38)+SUMIF('11'!$AG$29:$AG$34,A63,'11'!$AC$29:$AC$34)+SUMIF('12'!$AG$26:$AG$31,A63,'12'!$AC$26:$AC$31)+SUMIF('13'!$AG$25:$AG$30,A63,'13'!$AC$25:$AC$30)+SUMIF('14'!$AG$25:$AG$30,A63,'14'!$AC$25:$AC$30)+SUMIF('15'!$AG$29:$AG$34,A63,'15'!$AC$29:$AC$34)+SUMIF('16'!$AG$28:$AG$33,A63,'16'!$AC$28:$AC$33)+SUMIF('17'!$AG$44:$AG$49,A63,'17'!$AC$44:$AC$49)+SUMIF('18'!$AG$28:$AG$33,A63,'18'!$AC$28:$AC$33)+SUMIF('19'!$AG$33:$AG$38,A63,'19'!$AC$33:$AC$38)+SUMIF('20'!$AG$28:$AG$33,A63,'20'!$AC$28:$AC$33)+SUMIF('21'!$AG$32:$AG$37,A63,'21'!$AC$32:$AC$37)+SUMIF('22'!$AG$35:$AG$40,A63,'22'!$AC$35:$AC$40)+SUMIF('23'!$AG$30:$AG$35,A63,'23'!$AC$30:$AC$35)+SUMIF('24'!$AG$25:$AG$30,A63,'24'!$AC$25:$AC$30)+SUMIF('25'!$AG$27:$AG$32,A63,'25'!$AC$27:$AC$32)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99.42307692</v>
      </c>
      <c r="E63" s="203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$33:$AG$38,A63,'10'!$AD$33:$AD$38,"Underperform")+COUNTIFS('11'!$AG$29:$AG$34,A63,'11'!$AD$29:$AD$34,"Underperform")+COUNTIFS('12'!$AG$26:$AG$31,A63,'12'!$AD$26:$AD$31,"Underperform")+COUNTIFS('13'!$AG$25:$AG$30,A63,'13'!$AD$25:$AD$30,"Underperform")+COUNTIFS('14'!$AG$25:$AG$30,A63,'14'!$AD$25:$AD$30,"Underperform")+COUNTIFS('15'!$AG$29:$AG$34,A63,'15'!$AD$29:$AD$34,"Underperform")+COUNTIFS('16'!$AG$28:$AG$33,A63,'16'!$AD$28:$AD$33,"Underperform")+COUNTIFS('17'!$AG$44:$AG$49,A63,'17'!$AD$44:$AD$49,"Underperform")+COUNTIFS('18'!$AG$28:$AG$33,A63,'18'!$AD$28:$AD$33,"Underperform")+COUNTIFS('19'!$AG$33:$AG$38,A63,'19'!$AD$33:$AD$38,"Underperform")+COUNTIFS('20'!$AG$28:$AG$33,A63,'20'!$AD$28:$AD$33,"Underperform")+COUNTIFS('21'!$AG$32:$AG$37,A63,'21'!$AD$32:$AD$37,"Underperform")+COUNTIFS('22'!$AG$35:$AG$40,A63,'22'!$AD$35:$AD$40,"Underperform")+COUNTIFS('23'!$AG$30:$AG$35,A63,'23'!$AD$30:$AD$35,"Underperform")+COUNTIFS('24'!$AG$25:$AG$30,A63,'24'!$AD$25:$AD$30,"Underperform")+COUNTIFS('25'!$AG$27:$AG$32,A63,'25'!$AD$27:$AD$32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202" t="str">
        <f t="shared" si="9"/>
        <v>Sangat Baik</v>
      </c>
      <c r="G63" s="209"/>
    </row>
    <row r="64" ht="15.75" customHeight="1">
      <c r="A64" s="202" t="str">
        <f>IF($A$86="","",$A$86)</f>
        <v>ABROR</v>
      </c>
      <c r="B64" s="202" t="str">
        <f>IF(A64="","",$B$86)</f>
        <v>Fotografer</v>
      </c>
      <c r="C64" s="203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$33:$AG$38,A64,'10'!$AF$33:$AF$38)+SUMIF('11'!$AG$29:$AG$34,A64,'11'!$AF$29:$AF$34)+SUMIF('12'!$AG$26:$AG$31,A64,'12'!$AF$26:$AF$31)+SUMIF('13'!$AG$25:$AG$30,A64,'13'!$AF$25:$AF$30)+SUMIF('14'!$AG$25:$AG$30,A64,'14'!$AF$25:$AF$30)+SUMIF('15'!$AG$29:$AG$34,A64,'15'!$AF$29:$AF$34)+SUMIF('16'!$AG$28:$AG$33,A64,'16'!$AF$28:$AF$33)+SUMIF('17'!$AG$44:$AG$49,A64,'17'!$AF$44:$AF$49)+SUMIF('18'!$AG$28:$AG$33,A64,'18'!$AF$28:$AF$33)+SUMIF('19'!$AG$33:$AG$38,A64,'19'!$AF$33:$AF$38)+SUMIF('20'!$AG$28:$AG$33,A64,'20'!$AF$28:$AF$33)+SUMIF('21'!$AG$32:$AG$37,A64,'21'!$AF$32:$AF$37)+SUMIF('22'!$AG$35:$AG$40,A64,'22'!$AF$35:$AF$40)+SUMIF('23'!$AG$30:$AG$35,A64,'23'!$AF$30:$AF$35)+SUMIF('24'!$AG$25:$AG$30,A64,'24'!$AF$25:$AF$30)+SUMIF('25'!$AG$27:$AG$32,A64,'25'!$AF$27:$AF$32)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20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$33:$AG$38,A64,'10'!$AC$33:$AC$38)+SUMIF('11'!$AG$29:$AG$34,A64,'11'!$AC$29:$AC$34)+SUMIF('12'!$AG$26:$AG$31,A64,'12'!$AC$26:$AC$31)+SUMIF('13'!$AG$25:$AG$30,A64,'13'!$AC$25:$AC$30)+SUMIF('14'!$AG$25:$AG$30,A64,'14'!$AC$25:$AC$30)+SUMIF('15'!$AG$29:$AG$34,A64,'15'!$AC$29:$AC$34)+SUMIF('16'!$AG$28:$AG$33,A64,'16'!$AC$28:$AC$33)+SUMIF('17'!$AG$44:$AG$49,A64,'17'!$AC$44:$AC$49)+SUMIF('18'!$AG$28:$AG$33,A64,'18'!$AC$28:$AC$33)+SUMIF('19'!$AG$33:$AG$38,A64,'19'!$AC$33:$AC$38)+SUMIF('20'!$AG$28:$AG$33,A64,'20'!$AC$28:$AC$33)+SUMIF('21'!$AG$32:$AG$37,A64,'21'!$AC$32:$AC$37)+SUMIF('22'!$AG$35:$AG$40,A64,'22'!$AC$35:$AC$40)+SUMIF('23'!$AG$30:$AG$35,A64,'23'!$AC$30:$AC$35)+SUMIF('24'!$AG$25:$AG$30,A64,'24'!$AC$25:$AC$30)+SUMIF('25'!$AG$27:$AG$32,A64,'25'!$AC$27:$AC$32)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203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$33:$AG$38,A64,'10'!$AD$33:$AD$38,"Underperform")+COUNTIFS('11'!$AG$29:$AG$34,A64,'11'!$AD$29:$AD$34,"Underperform")+COUNTIFS('12'!$AG$26:$AG$31,A64,'12'!$AD$26:$AD$31,"Underperform")+COUNTIFS('13'!$AG$25:$AG$30,A64,'13'!$AD$25:$AD$30,"Underperform")+COUNTIFS('14'!$AG$25:$AG$30,A64,'14'!$AD$25:$AD$30,"Underperform")+COUNTIFS('15'!$AG$29:$AG$34,A64,'15'!$AD$29:$AD$34,"Underperform")+COUNTIFS('16'!$AG$28:$AG$33,A64,'16'!$AD$28:$AD$33,"Underperform")+COUNTIFS('17'!$AG$44:$AG$49,A64,'17'!$AD$44:$AD$49,"Underperform")+COUNTIFS('18'!$AG$28:$AG$33,A64,'18'!$AD$28:$AD$33,"Underperform")+COUNTIFS('19'!$AG$33:$AG$38,A64,'19'!$AD$33:$AD$38,"Underperform")+COUNTIFS('20'!$AG$28:$AG$33,A64,'20'!$AD$28:$AD$33,"Underperform")+COUNTIFS('21'!$AG$32:$AG$37,A64,'21'!$AD$32:$AD$37,"Underperform")+COUNTIFS('22'!$AG$35:$AG$40,A64,'22'!$AD$35:$AD$40,"Underperform")+COUNTIFS('23'!$AG$30:$AG$35,A64,'23'!$AD$30:$AD$35,"Underperform")+COUNTIFS('24'!$AG$25:$AG$30,A64,'24'!$AD$25:$AD$30,"Underperform")+COUNTIFS('25'!$AG$27:$AG$32,A64,'25'!$AD$27:$AD$32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202" t="str">
        <f t="shared" si="9"/>
        <v/>
      </c>
      <c r="G64" s="209"/>
    </row>
    <row r="65" ht="15.75" customHeight="1">
      <c r="A65" s="202" t="str">
        <f>IF($A$87="","",$A$87)</f>
        <v>FADEL</v>
      </c>
      <c r="B65" s="202" t="str">
        <f>IF(A65="","",$B$87)</f>
        <v>Fotografer</v>
      </c>
      <c r="C65" s="203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$33:$AG$38,A65,'10'!$AF$33:$AF$38)+SUMIF('11'!$AG$29:$AG$34,A65,'11'!$AF$29:$AF$34)+SUMIF('12'!$AG$26:$AG$31,A65,'12'!$AF$26:$AF$31)+SUMIF('13'!$AG$25:$AG$30,A65,'13'!$AF$25:$AF$30)+SUMIF('14'!$AG$25:$AG$30,A65,'14'!$AF$25:$AF$30)+SUMIF('15'!$AG$29:$AG$34,A65,'15'!$AF$29:$AF$34)+SUMIF('16'!$AG$28:$AG$33,A65,'16'!$AF$28:$AF$33)+SUMIF('17'!$AG$44:$AG$49,A65,'17'!$AF$44:$AF$49)+SUMIF('18'!$AG$28:$AG$33,A65,'18'!$AF$28:$AF$33)+SUMIF('19'!$AG$33:$AG$38,A65,'19'!$AF$33:$AF$38)+SUMIF('20'!$AG$28:$AG$33,A65,'20'!$AF$28:$AF$33)+SUMIF('21'!$AG$32:$AG$37,A65,'21'!$AF$32:$AF$37)+SUMIF('22'!$AG$35:$AG$40,A65,'22'!$AF$35:$AF$40)+SUMIF('23'!$AG$30:$AG$35,A65,'23'!$AF$30:$AF$35)+SUMIF('24'!$AG$25:$AG$30,A65,'24'!$AF$25:$AF$30)+SUMIF('25'!$AG$27:$AG$32,A65,'25'!$AF$27:$AF$32)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20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$33:$AG$38,A65,'10'!$AC$33:$AC$38)+SUMIF('11'!$AG$29:$AG$34,A65,'11'!$AC$29:$AC$34)+SUMIF('12'!$AG$26:$AG$31,A65,'12'!$AC$26:$AC$31)+SUMIF('13'!$AG$25:$AG$30,A65,'13'!$AC$25:$AC$30)+SUMIF('14'!$AG$25:$AG$30,A65,'14'!$AC$25:$AC$30)+SUMIF('15'!$AG$29:$AG$34,A65,'15'!$AC$29:$AC$34)+SUMIF('16'!$AG$28:$AG$33,A65,'16'!$AC$28:$AC$33)+SUMIF('17'!$AG$44:$AG$49,A65,'17'!$AC$44:$AC$49)+SUMIF('18'!$AG$28:$AG$33,A65,'18'!$AC$28:$AC$33)+SUMIF('19'!$AG$33:$AG$38,A65,'19'!$AC$33:$AC$38)+SUMIF('20'!$AG$28:$AG$33,A65,'20'!$AC$28:$AC$33)+SUMIF('21'!$AG$32:$AG$37,A65,'21'!$AC$32:$AC$37)+SUMIF('22'!$AG$35:$AG$40,A65,'22'!$AC$35:$AC$40)+SUMIF('23'!$AG$30:$AG$35,A65,'23'!$AC$30:$AC$35)+SUMIF('24'!$AG$25:$AG$30,A65,'24'!$AC$25:$AC$30)+SUMIF('25'!$AG$27:$AG$32,A65,'25'!$AC$27:$AC$32)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203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$33:$AG$38,A65,'10'!$AD$33:$AD$38,"Underperform")+COUNTIFS('11'!$AG$29:$AG$34,A65,'11'!$AD$29:$AD$34,"Underperform")+COUNTIFS('12'!$AG$26:$AG$31,A65,'12'!$AD$26:$AD$31,"Underperform")+COUNTIFS('13'!$AG$25:$AG$30,A65,'13'!$AD$25:$AD$30,"Underperform")+COUNTIFS('14'!$AG$25:$AG$30,A65,'14'!$AD$25:$AD$30,"Underperform")+COUNTIFS('15'!$AG$29:$AG$34,A65,'15'!$AD$29:$AD$34,"Underperform")+COUNTIFS('16'!$AG$28:$AG$33,A65,'16'!$AD$28:$AD$33,"Underperform")+COUNTIFS('17'!$AG$44:$AG$49,A65,'17'!$AD$44:$AD$49,"Underperform")+COUNTIFS('18'!$AG$28:$AG$33,A65,'18'!$AD$28:$AD$33,"Underperform")+COUNTIFS('19'!$AG$33:$AG$38,A65,'19'!$AD$33:$AD$38,"Underperform")+COUNTIFS('20'!$AG$28:$AG$33,A65,'20'!$AD$28:$AD$33,"Underperform")+COUNTIFS('21'!$AG$32:$AG$37,A65,'21'!$AD$32:$AD$37,"Underperform")+COUNTIFS('22'!$AG$35:$AG$40,A65,'22'!$AD$35:$AD$40,"Underperform")+COUNTIFS('23'!$AG$30:$AG$35,A65,'23'!$AD$30:$AD$35,"Underperform")+COUNTIFS('24'!$AG$25:$AG$30,A65,'24'!$AD$25:$AD$30,"Underperform")+COUNTIFS('25'!$AG$27:$AG$32,A65,'25'!$AD$27:$AD$32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202" t="str">
        <f t="shared" si="9"/>
        <v/>
      </c>
      <c r="G65" s="209"/>
    </row>
    <row r="66" ht="15.75" customHeight="1">
      <c r="A66" s="202" t="str">
        <f>IF($A$88="","",$A$88)</f>
        <v>SAKA</v>
      </c>
      <c r="B66" s="202" t="str">
        <f>IF(A66="","",$B$88)</f>
        <v>Fotografer</v>
      </c>
      <c r="C66" s="203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$33:$AG$38,A66,'10'!$AF$33:$AF$38)+SUMIF('11'!$AG$29:$AG$34,A66,'11'!$AF$29:$AF$34)+SUMIF('12'!$AG$26:$AG$31,A66,'12'!$AF$26:$AF$31)+SUMIF('13'!$AG$25:$AG$30,A66,'13'!$AF$25:$AF$30)+SUMIF('14'!$AG$25:$AG$30,A66,'14'!$AF$25:$AF$30)+SUMIF('15'!$AG$29:$AG$34,A66,'15'!$AF$29:$AF$34)+SUMIF('16'!$AG$28:$AG$33,A66,'16'!$AF$28:$AF$33)+SUMIF('17'!$AG$44:$AG$49,A66,'17'!$AF$44:$AF$49)+SUMIF('18'!$AG$28:$AG$33,A66,'18'!$AF$28:$AF$33)+SUMIF('19'!$AG$33:$AG$38,A66,'19'!$AF$33:$AF$38)+SUMIF('20'!$AG$28:$AG$33,A66,'20'!$AF$28:$AF$33)+SUMIF('21'!$AG$32:$AG$37,A66,'21'!$AF$32:$AF$37)+SUMIF('22'!$AG$35:$AG$40,A66,'22'!$AF$35:$AF$40)+SUMIF('23'!$AG$30:$AG$35,A66,'23'!$AF$30:$AF$35)+SUMIF('24'!$AG$25:$AG$30,A66,'24'!$AF$25:$AF$30)+SUMIF('25'!$AG$27:$AG$32,A66,'25'!$AF$27:$AF$32)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24</v>
      </c>
      <c r="D66" s="20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$33:$AG$38,A66,'10'!$AC$33:$AC$38)+SUMIF('11'!$AG$29:$AG$34,A66,'11'!$AC$29:$AC$34)+SUMIF('12'!$AG$26:$AG$31,A66,'12'!$AC$26:$AC$31)+SUMIF('13'!$AG$25:$AG$30,A66,'13'!$AC$25:$AC$30)+SUMIF('14'!$AG$25:$AG$30,A66,'14'!$AC$25:$AC$30)+SUMIF('15'!$AG$29:$AG$34,A66,'15'!$AC$29:$AC$34)+SUMIF('16'!$AG$28:$AG$33,A66,'16'!$AC$28:$AC$33)+SUMIF('17'!$AG$44:$AG$49,A66,'17'!$AC$44:$AC$49)+SUMIF('18'!$AG$28:$AG$33,A66,'18'!$AC$28:$AC$33)+SUMIF('19'!$AG$33:$AG$38,A66,'19'!$AC$33:$AC$38)+SUMIF('20'!$AG$28:$AG$33,A66,'20'!$AC$28:$AC$33)+SUMIF('21'!$AG$32:$AG$37,A66,'21'!$AC$32:$AC$37)+SUMIF('22'!$AG$35:$AG$40,A66,'22'!$AC$35:$AC$40)+SUMIF('23'!$AG$30:$AG$35,A66,'23'!$AC$30:$AC$35)+SUMIF('24'!$AG$25:$AG$30,A66,'24'!$AC$25:$AC$30)+SUMIF('25'!$AG$27:$AG$32,A66,'25'!$AC$27:$AC$32)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99.125</v>
      </c>
      <c r="E66" s="203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$33:$AG$38,A66,'10'!$AD$33:$AD$38,"Underperform")+COUNTIFS('11'!$AG$29:$AG$34,A66,'11'!$AD$29:$AD$34,"Underperform")+COUNTIFS('12'!$AG$26:$AG$31,A66,'12'!$AD$26:$AD$31,"Underperform")+COUNTIFS('13'!$AG$25:$AG$30,A66,'13'!$AD$25:$AD$30,"Underperform")+COUNTIFS('14'!$AG$25:$AG$30,A66,'14'!$AD$25:$AD$30,"Underperform")+COUNTIFS('15'!$AG$29:$AG$34,A66,'15'!$AD$29:$AD$34,"Underperform")+COUNTIFS('16'!$AG$28:$AG$33,A66,'16'!$AD$28:$AD$33,"Underperform")+COUNTIFS('17'!$AG$44:$AG$49,A66,'17'!$AD$44:$AD$49,"Underperform")+COUNTIFS('18'!$AG$28:$AG$33,A66,'18'!$AD$28:$AD$33,"Underperform")+COUNTIFS('19'!$AG$33:$AG$38,A66,'19'!$AD$33:$AD$38,"Underperform")+COUNTIFS('20'!$AG$28:$AG$33,A66,'20'!$AD$28:$AD$33,"Underperform")+COUNTIFS('21'!$AG$32:$AG$37,A66,'21'!$AD$32:$AD$37,"Underperform")+COUNTIFS('22'!$AG$35:$AG$40,A66,'22'!$AD$35:$AD$40,"Underperform")+COUNTIFS('23'!$AG$30:$AG$35,A66,'23'!$AD$30:$AD$35,"Underperform")+COUNTIFS('24'!$AG$25:$AG$30,A66,'24'!$AD$25:$AD$30,"Underperform")+COUNTIFS('25'!$AG$27:$AG$32,A66,'25'!$AD$27:$AD$32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202" t="str">
        <f t="shared" si="9"/>
        <v>Sangat Baik</v>
      </c>
      <c r="G66" s="209"/>
    </row>
    <row r="67" ht="15.75" customHeight="1">
      <c r="A67" s="202" t="str">
        <f>IF($A$89="","",$A$89)</f>
        <v/>
      </c>
      <c r="B67" s="202" t="str">
        <f>IF(A67="","",$B$89)</f>
        <v/>
      </c>
      <c r="C67" s="203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$33:$K$38,A67,'10'!$AF$33:$AF$38)+SUMIF('11'!$K$29:$K$34,A67,'11'!$AF$29:$AF$34)+SUMIF('12'!$K$26:$K$31,A67,'12'!$AF$26:$AF$31)+SUMIF('13'!$K$25:$K$30,A67,'13'!$AF$25:$AF$30)+SUMIF('14'!$K$25:$K$30,A67,'14'!$AF$25:$AF$30)+SUMIF('15'!$K$29:$K$34,A67,'15'!$AF$29:$AF$34)+SUMIF('16'!$K$28:$K$33,A67,'16'!$AF$28:$AF$33)+SUMIF('17'!$K$44:$K$49,A67,'17'!$AF$44:$AF$49)+SUMIF('18'!$K$28:$K$33,A67,'18'!$AF$28:$AF$33)+SUMIF('19'!$K$33:$K$38,A67,'19'!$AF$33:$AF$38)+SUMIF('20'!$K$28:$K$33,A67,'20'!$AF$28:$AF$33)+SUMIF('21'!$K$32:$K$37,A67,'21'!$AF$32:$AF$37)+SUMIF('22'!$K$35:$K$40,A67,'22'!$AF$35:$AF$40)+SUMIF('23'!$K$30:$K$35,A67,'23'!$AF$30:$AF$35)+SUMIF('24'!$K$25:$K$30,A67,'24'!$AF$25:$AF$30)+SUMIF('25'!$K$27:$K$32,A67,'25'!$AF$27:$AF$32)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20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$33:$K$38,A67,'10'!$AC$33:$AC$38)+SUMIF('11'!$K$29:$K$34,A67,'11'!$AC$29:$AC$34)+SUMIF('12'!$K$26:$K$31,A67,'12'!$AC$26:$AC$31)+SUMIF('13'!$K$25:$K$30,A67,'13'!$AC$25:$AC$30)+SUMIF('14'!$K$25:$K$30,A67,'14'!$AC$25:$AC$30)+SUMIF('15'!$K$29:$K$34,A67,'15'!$AC$29:$AC$34)+SUMIF('16'!$K$28:$K$33,A67,'16'!$AC$28:$AC$33)+SUMIF('17'!$K$44:$K$49,A67,'17'!$AC$44:$AC$49)+SUMIF('18'!$K$28:$K$33,A67,'18'!$AC$28:$AC$33)+SUMIF('19'!$K$33:$K$38,A67,'19'!$AC$33:$AC$38)+SUMIF('20'!$K$28:$K$33,A67,'20'!$AC$28:$AC$33)+SUMIF('21'!$K$32:$K$37,A67,'21'!$AC$32:$AC$37)+SUMIF('22'!$K$35:$K$40,A67,'22'!$AC$35:$AC$40)+SUMIF('23'!$K$30:$K$35,A67,'23'!$AC$30:$AC$35)+SUMIF('24'!$K$25:$K$30,A67,'24'!$AC$25:$AC$30)+SUMIF('25'!$K$27:$K$32,A67,'25'!$AC$27:$AC$32)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203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$33:$K$38,A67,'10'!$AD$33:$AD$38,"Underperform")+COUNTIFS('11'!$K$29:$K$34,A67,'11'!$AD$29:$AD$34,"Underperform")+COUNTIFS('12'!$K$26:$K$31,A67,'12'!$AD$26:$AD$31,"Underperform")+COUNTIFS('13'!$K$25:$K$30,A67,'13'!$AD$25:$AD$30,"Underperform")+COUNTIFS('14'!$K$25:$K$30,A67,'14'!$AD$25:$AD$30,"Underperform")+COUNTIFS('15'!$K$29:$K$34,A67,'15'!$AD$29:$AD$34,"Underperform")+COUNTIFS('16'!$K$28:$K$33,A67,'16'!$AD$28:$AD$33,"Underperform")+COUNTIFS('17'!$K$44:$K$49,A67,'17'!$AD$44:$AD$49,"Underperform")+COUNTIFS('18'!$K$28:$K$33,A67,'18'!$AD$28:$AD$33,"Underperform")+COUNTIFS('19'!$K$33:$K$38,A67,'19'!$AD$33:$AD$38,"Underperform")+COUNTIFS('20'!$K$28:$K$33,A67,'20'!$AD$28:$AD$33,"Underperform")+COUNTIFS('21'!$K$32:$K$37,A67,'21'!$AD$32:$AD$37,"Underperform")+COUNTIFS('22'!$K$35:$K$40,A67,'22'!$AD$35:$AD$40,"Underperform")+COUNTIFS('23'!$K$30:$K$35,A67,'23'!$AD$30:$AD$35,"Underperform")+COUNTIFS('24'!$K$25:$K$30,A67,'24'!$AD$25:$AD$30,"Underperform")+COUNTIFS('25'!$K$27:$K$32,A67,'25'!$AD$27:$AD$32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202" t="str">
        <f t="shared" si="9"/>
        <v/>
      </c>
      <c r="G67" s="209"/>
    </row>
    <row r="68" ht="15.75" customHeight="1">
      <c r="A68" s="202" t="str">
        <f>IF($A$90="","",$A$90)</f>
        <v/>
      </c>
      <c r="B68" s="202" t="str">
        <f>IF(A68="","",$B$90)</f>
        <v/>
      </c>
      <c r="C68" s="203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$33:$K$38,A68,'10'!$AF$33:$AF$38)+SUMIF('11'!$K$29:$K$34,A68,'11'!$AF$29:$AF$34)+SUMIF('12'!$K$26:$K$31,A68,'12'!$AF$26:$AF$31)+SUMIF('13'!$K$25:$K$30,A68,'13'!$AF$25:$AF$30)+SUMIF('14'!$K$25:$K$30,A68,'14'!$AF$25:$AF$30)+SUMIF('15'!$K$29:$K$34,A68,'15'!$AF$29:$AF$34)+SUMIF('16'!$K$28:$K$33,A68,'16'!$AF$28:$AF$33)+SUMIF('17'!$K$44:$K$49,A68,'17'!$AF$44:$AF$49)+SUMIF('18'!$K$28:$K$33,A68,'18'!$AF$28:$AF$33)+SUMIF('19'!$K$33:$K$38,A68,'19'!$AF$33:$AF$38)+SUMIF('20'!$K$28:$K$33,A68,'20'!$AF$28:$AF$33)+SUMIF('21'!$K$32:$K$37,A68,'21'!$AF$32:$AF$37)+SUMIF('22'!$K$35:$K$40,A68,'22'!$AF$35:$AF$40)+SUMIF('23'!$K$30:$K$35,A68,'23'!$AF$30:$AF$35)+SUMIF('24'!$K$25:$K$30,A68,'24'!$AF$25:$AF$30)+SUMIF('25'!$K$27:$K$32,A68,'25'!$AF$27:$AF$32)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20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$33:$K$38,A68,'10'!$AC$33:$AC$38)+SUMIF('11'!$K$29:$K$34,A68,'11'!$AC$29:$AC$34)+SUMIF('12'!$K$26:$K$31,A68,'12'!$AC$26:$AC$31)+SUMIF('13'!$K$25:$K$30,A68,'13'!$AC$25:$AC$30)+SUMIF('14'!$K$25:$K$30,A68,'14'!$AC$25:$AC$30)+SUMIF('15'!$K$29:$K$34,A68,'15'!$AC$29:$AC$34)+SUMIF('16'!$K$28:$K$33,A68,'16'!$AC$28:$AC$33)+SUMIF('17'!$K$44:$K$49,A68,'17'!$AC$44:$AC$49)+SUMIF('18'!$K$28:$K$33,A68,'18'!$AC$28:$AC$33)+SUMIF('19'!$K$33:$K$38,A68,'19'!$AC$33:$AC$38)+SUMIF('20'!$K$28:$K$33,A68,'20'!$AC$28:$AC$33)+SUMIF('21'!$K$32:$K$37,A68,'21'!$AC$32:$AC$37)+SUMIF('22'!$K$35:$K$40,A68,'22'!$AC$35:$AC$40)+SUMIF('23'!$K$30:$K$35,A68,'23'!$AC$30:$AC$35)+SUMIF('24'!$K$25:$K$30,A68,'24'!$AC$25:$AC$30)+SUMIF('25'!$K$27:$K$32,A68,'25'!$AC$27:$AC$32)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203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$33:$K$38,A68,'10'!$AD$33:$AD$38,"Underperform")+COUNTIFS('11'!$K$29:$K$34,A68,'11'!$AD$29:$AD$34,"Underperform")+COUNTIFS('12'!$K$26:$K$31,A68,'12'!$AD$26:$AD$31,"Underperform")+COUNTIFS('13'!$K$25:$K$30,A68,'13'!$AD$25:$AD$30,"Underperform")+COUNTIFS('14'!$K$25:$K$30,A68,'14'!$AD$25:$AD$30,"Underperform")+COUNTIFS('15'!$K$29:$K$34,A68,'15'!$AD$29:$AD$34,"Underperform")+COUNTIFS('16'!$K$28:$K$33,A68,'16'!$AD$28:$AD$33,"Underperform")+COUNTIFS('17'!$K$44:$K$49,A68,'17'!$AD$44:$AD$49,"Underperform")+COUNTIFS('18'!$K$28:$K$33,A68,'18'!$AD$28:$AD$33,"Underperform")+COUNTIFS('19'!$K$33:$K$38,A68,'19'!$AD$33:$AD$38,"Underperform")+COUNTIFS('20'!$K$28:$K$33,A68,'20'!$AD$28:$AD$33,"Underperform")+COUNTIFS('21'!$K$32:$K$37,A68,'21'!$AD$32:$AD$37,"Underperform")+COUNTIFS('22'!$K$35:$K$40,A68,'22'!$AD$35:$AD$40,"Underperform")+COUNTIFS('23'!$K$30:$K$35,A68,'23'!$AD$30:$AD$35,"Underperform")+COUNTIFS('24'!$K$25:$K$30,A68,'24'!$AD$25:$AD$30,"Underperform")+COUNTIFS('25'!$K$27:$K$32,A68,'25'!$AD$27:$AD$32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202" t="str">
        <f t="shared" si="9"/>
        <v/>
      </c>
      <c r="G68" s="209"/>
    </row>
    <row r="69" ht="15.75" customHeight="1"/>
    <row r="70" ht="15.75" customHeight="1">
      <c r="A70" s="212" t="s">
        <v>537</v>
      </c>
    </row>
    <row r="71" ht="15.75" customHeight="1">
      <c r="A71" s="213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14" t="s">
        <v>538</v>
      </c>
      <c r="B77" s="214" t="s">
        <v>539</v>
      </c>
      <c r="D77" s="197" t="s">
        <v>540</v>
      </c>
    </row>
    <row r="78" ht="15.75" customHeight="1">
      <c r="A78" s="210" t="s">
        <v>29</v>
      </c>
      <c r="B78" s="210" t="s">
        <v>532</v>
      </c>
      <c r="D78" s="215" t="s">
        <v>200</v>
      </c>
      <c r="E78" s="138">
        <f>SUM('1'!$L$39:$L$40)+SUM('2'!$L$37:$L$38)+SUM('3'!$L$84:$L$85)+SUM('4'!$L$96:$L$97)+SUM('5'!$L$37:$L$38)+SUM('6'!$L$41:$L$42)+SUM('7'!$L$40:$L$41)+SUM('8'!$L$41:$L$42)+SUM('9'!$L$43:$L$44)+SUM('10'!$L$43:$L$44)+SUM('11'!$L$39:$L$40)+SUM('12'!$L$36:$L$37)+SUM('13'!$L$35:$L$36)+SUM('14'!$L$35:$L$36)+SUM('15'!$L$39:$L$40)+SUM('16'!$L$38:$L$39)+SUM('17'!$L$54:$L$55)+SUM('18'!$L$38:$L$39)+SUM('19'!$L$43:$L$44)+SUM('20'!$L$38:$L$39)+SUM('21'!$L$42:$L$43)+SUM('22'!$L$45:$L$46)+SUM('23'!$L$40:$L$41)+SUM('24'!$L$35:$L$36)+SUM('25'!$L$37:$L$38)+SUM('26'!$L$35:$L$36)+SUM('27'!$L$35:$L$36)+SUM('28'!$L$35:$L$36)+SUM('29'!$L$35:$L$36)+SUM('30'!$L$35:$L$36)+SUM('31'!$L$38:$L$39)</f>
        <v>140</v>
      </c>
    </row>
    <row r="79" ht="15.75" customHeight="1">
      <c r="A79" s="210" t="s">
        <v>535</v>
      </c>
      <c r="B79" s="210" t="s">
        <v>532</v>
      </c>
      <c r="D79" s="215" t="s">
        <v>201</v>
      </c>
      <c r="E79" s="138">
        <f>SUM('1'!$M$39:$M$40)+SUM('2'!$M$37:$M$38)+SUM('3'!$M$84:$M$85)+SUM('4'!$M$96:$M$97)+SUM('5'!$M$37:$M$38)+SUM('6'!$M$41:$M$42)+SUM('7'!$M$40:$M$41)+SUM('8'!$M$41:$M$42)+SUM('9'!$M$43:$M$44)+SUM('10'!$M$43:$M$44)+SUM('11'!$M$39:$M$40)+SUM('12'!$M$36:$M$37)+SUM('13'!$M$35:$M$36)+SUM('14'!$M$35:$M$36)+SUM('15'!$M$39:$M$40)+SUM('16'!$M$38:$M$39)+SUM('17'!$M$54:$M$55)+SUM('18'!$M$38:$M$39)+SUM('19'!$M$43:$M$44)+SUM('20'!$M$38:$M$39)+SUM('21'!$M$42:$M$43)+SUM('22'!$M$45:$M$46)+SUM('23'!$M$40:$M$41)+SUM('24'!$M$35:$M$36)+SUM('25'!$M$37:$M$38)+SUM('26'!$M$35:$M$36)+SUM('27'!$M$35:$M$36)+SUM('28'!$M$35:$M$36)+SUM('29'!$M$35:$M$36)+SUM('30'!$M$35:$M$36)+SUM('31'!$M$38:$M$39)</f>
        <v>0</v>
      </c>
    </row>
    <row r="80" ht="15.75" customHeight="1">
      <c r="A80" s="210" t="s">
        <v>28</v>
      </c>
      <c r="B80" s="210" t="s">
        <v>532</v>
      </c>
      <c r="D80" s="215" t="s">
        <v>207</v>
      </c>
      <c r="E80" s="138">
        <f>SUM('1'!$M$43)+SUM('2'!$M$41)+SUM('3'!$M$88)+SUM('4'!$M$100)+SUM('5'!$M$41)+SUM('6'!$M$45)+SUM('7'!$M$44)+SUM('8'!$M$45)+SUM('9'!$M$47)+SUM('10'!$M$47)+SUM('11'!$M$43)+SUM('12'!$M$40)+SUM('13'!$M$39)+SUM('14'!$M$39)+SUM('15'!$M$43)+SUM('16'!$M$42)+SUM('17'!$M$58)+SUM('18'!$M$42)+SUM('19'!$M$47)+SUM('20'!$M$42)+SUM('21'!$M$46)+SUM('22'!$M$49)+SUM('23'!$M$44)+SUM('24'!$M$39)+SUM('25'!$M$41)+SUM('26'!$M$39)+SUM('27'!$M$39)+SUM('28'!$M$39)+SUM('29'!$M$39)+SUM('30'!$M$39)+SUM('31'!$M$42)</f>
        <v>673</v>
      </c>
    </row>
    <row r="81" ht="15.75" customHeight="1">
      <c r="A81" s="210" t="s">
        <v>541</v>
      </c>
      <c r="B81" s="210" t="s">
        <v>532</v>
      </c>
      <c r="D81" s="215" t="s">
        <v>208</v>
      </c>
      <c r="E81" s="138">
        <f>SUM('1'!$M$44)+SUM('2'!$M$42)+SUM('3'!$M$89)+SUM('4'!$M$101)+SUM('5'!$M$42)+SUM('6'!$M$46)+SUM('7'!$M$45)+SUM('8'!$M$46)+SUM('9'!$M$48)+SUM('10'!$M$48)+SUM('11'!$M$44)+SUM('12'!$M$41)+SUM('13'!$M$40)+SUM('14'!$M$40)+SUM('15'!$M$44)+SUM('16'!$M$43)+SUM('17'!$M$59)+SUM('18'!$M$43)+SUM('19'!$M$48)+SUM('20'!$M$43)+SUM('21'!$M$47)+SUM('22'!$M$50)+SUM('23'!$M$45)+SUM('24'!$M$40)+SUM('25'!$M$42)+SUM('26'!$M$40)+SUM('27'!$M$40)+SUM('28'!$M$40)+SUM('29'!$M$40)+SUM('30'!$M$40)+SUM('31'!$M$43)</f>
        <v>122</v>
      </c>
    </row>
    <row r="82" ht="15.75" customHeight="1">
      <c r="A82" s="210" t="s">
        <v>542</v>
      </c>
      <c r="B82" s="210" t="s">
        <v>532</v>
      </c>
      <c r="D82" s="215" t="s">
        <v>210</v>
      </c>
      <c r="E82" s="138">
        <f>SUM('1'!$M$45)+SUM('2'!$M$43)+SUM('3'!$M$90)+SUM('4'!$M$102)+SUM('5'!$M$43)+SUM('6'!$M$47)+SUM('7'!$M$46)+SUM('8'!$M$47)+SUM('9'!$M$49)+SUM('10'!$M$49)+SUM('11'!$M$45)+SUM('12'!$M$42)+SUM('13'!$M$41)+SUM('14'!$M$41)+SUM('15'!$M$45)+SUM('16'!$M$44)+SUM('17'!$M$60)+SUM('18'!$M$44)+SUM('19'!$M$49)+SUM('20'!$M$44)+SUM('21'!$M$48)+SUM('22'!$M$51)+SUM('23'!$M$46)+SUM('24'!$M$41)+SUM('25'!$M$43)+SUM('26'!$M$41)+SUM('27'!$M$41)+SUM('28'!$M$41)+SUM('29'!$M$41)+SUM('30'!$M$41)+SUM('31'!$M$44)</f>
        <v>267</v>
      </c>
    </row>
    <row r="83" ht="15.75" customHeight="1">
      <c r="A83" s="210" t="s">
        <v>533</v>
      </c>
      <c r="B83" s="210" t="s">
        <v>543</v>
      </c>
      <c r="D83" s="215" t="s">
        <v>211</v>
      </c>
      <c r="E83" s="138">
        <f>SUM('1'!$M$46)+SUM('2'!$M$44)+SUM('3'!$M$91)+SUM('4'!$M$103)+SUM('5'!$M$44)+SUM('6'!$M$48)+SUM('7'!$M$47)+SUM('8'!$M$48)+SUM('9'!$M$50)+SUM('10'!$M$50)+SUM('11'!$M$46)+SUM('12'!$M$43)+SUM('13'!$M$42)+SUM('14'!$M$42)+SUM('15'!$M$46)+SUM('16'!$M$45)+SUM('17'!$M$61)+SUM('18'!$M$45)+SUM('19'!$M$50)+SUM('20'!$M$45)+SUM('21'!$M$49)+SUM('22'!$M$52)+SUM('23'!$M$47)+SUM('24'!$M$42)+SUM('25'!$M$44)+SUM('26'!$M$42)+SUM('27'!$M$42)+SUM('28'!$M$42)+SUM('29'!$M$42)+SUM('30'!$M$42)+SUM('31'!$M$45)</f>
        <v>389</v>
      </c>
    </row>
    <row r="84" ht="15.75" customHeight="1">
      <c r="A84" s="210" t="s">
        <v>81</v>
      </c>
      <c r="B84" s="210" t="s">
        <v>543</v>
      </c>
      <c r="D84" s="215" t="s">
        <v>212</v>
      </c>
      <c r="E84" s="141">
        <f>IFERROR(E81/E80,0)</f>
        <v>0.1812778603</v>
      </c>
    </row>
    <row r="85" ht="15.75" customHeight="1">
      <c r="A85" s="210" t="s">
        <v>42</v>
      </c>
      <c r="B85" s="210" t="s">
        <v>543</v>
      </c>
    </row>
    <row r="86" ht="15.75" customHeight="1">
      <c r="A86" s="210" t="s">
        <v>93</v>
      </c>
      <c r="B86" s="210" t="s">
        <v>543</v>
      </c>
    </row>
    <row r="87" ht="15.75" customHeight="1">
      <c r="A87" s="210" t="s">
        <v>544</v>
      </c>
      <c r="B87" s="210" t="s">
        <v>543</v>
      </c>
    </row>
    <row r="88" ht="15.75" customHeight="1">
      <c r="A88" s="210" t="s">
        <v>59</v>
      </c>
      <c r="B88" s="210" t="s">
        <v>543</v>
      </c>
    </row>
    <row r="89" ht="15.75" customHeight="1">
      <c r="A89" s="210"/>
      <c r="B89" s="210"/>
    </row>
    <row r="90" ht="15.75" customHeight="1">
      <c r="A90" s="210"/>
      <c r="B90" s="210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 t="s">
        <v>1</v>
      </c>
      <c r="C2" s="6" t="s">
        <v>2</v>
      </c>
      <c r="D2" s="6" t="s">
        <v>3</v>
      </c>
      <c r="E2" s="6" t="s">
        <v>4</v>
      </c>
      <c r="F2" s="6" t="s">
        <v>5</v>
      </c>
      <c r="G2" s="7" t="s">
        <v>6</v>
      </c>
      <c r="H2" s="8"/>
      <c r="I2" s="7" t="s">
        <v>7</v>
      </c>
      <c r="J2" s="9"/>
      <c r="K2" s="8"/>
      <c r="L2" s="6" t="s">
        <v>8</v>
      </c>
      <c r="M2" s="6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78"/>
      <c r="D4" s="59"/>
      <c r="E4" s="17"/>
      <c r="F4" s="99"/>
      <c r="G4" s="159"/>
      <c r="H4" s="60"/>
      <c r="I4" s="18"/>
      <c r="J4" s="18"/>
      <c r="K4" s="18"/>
      <c r="L4" s="18"/>
      <c r="M4" s="18"/>
      <c r="N4" s="33"/>
      <c r="O4" s="33"/>
      <c r="P4" s="34"/>
      <c r="Q4" s="1"/>
      <c r="R4" s="1"/>
    </row>
    <row r="5" ht="15.75" customHeight="1">
      <c r="A5" s="1"/>
      <c r="B5" s="18">
        <v>2.0</v>
      </c>
      <c r="C5" s="78"/>
      <c r="D5" s="59"/>
      <c r="E5" s="17"/>
      <c r="F5" s="99"/>
      <c r="G5" s="159"/>
      <c r="H5" s="60"/>
      <c r="I5" s="18"/>
      <c r="J5" s="18"/>
      <c r="K5" s="18"/>
      <c r="L5" s="18"/>
      <c r="M5" s="18"/>
      <c r="N5" s="38"/>
      <c r="O5" s="38"/>
      <c r="P5" s="38"/>
      <c r="Q5" s="1"/>
      <c r="R5" s="1"/>
    </row>
    <row r="6" ht="15.75" customHeight="1">
      <c r="A6" s="1"/>
      <c r="B6" s="18">
        <v>3.0</v>
      </c>
      <c r="C6" s="78"/>
      <c r="D6" s="59"/>
      <c r="E6" s="17"/>
      <c r="F6" s="18"/>
      <c r="G6" s="159"/>
      <c r="H6" s="60"/>
      <c r="I6" s="18"/>
      <c r="J6" s="18"/>
      <c r="K6" s="18"/>
      <c r="L6" s="18"/>
      <c r="M6" s="18"/>
      <c r="N6" s="38"/>
      <c r="O6" s="38"/>
      <c r="P6" s="38"/>
      <c r="Q6" s="1"/>
      <c r="R6" s="1"/>
    </row>
    <row r="7" ht="15.75" customHeight="1">
      <c r="A7" s="1"/>
      <c r="B7" s="18">
        <v>4.0</v>
      </c>
      <c r="C7" s="78"/>
      <c r="D7" s="59"/>
      <c r="E7" s="17"/>
      <c r="F7" s="18"/>
      <c r="G7" s="159"/>
      <c r="H7" s="60"/>
      <c r="I7" s="18"/>
      <c r="J7" s="18"/>
      <c r="K7" s="18"/>
      <c r="L7" s="18"/>
      <c r="M7" s="18"/>
      <c r="N7" s="38"/>
      <c r="O7" s="38"/>
      <c r="P7" s="38"/>
      <c r="Q7" s="1"/>
      <c r="R7" s="1"/>
    </row>
    <row r="8" ht="15.75" customHeight="1">
      <c r="A8" s="1"/>
      <c r="B8" s="18">
        <v>5.0</v>
      </c>
      <c r="C8" s="78"/>
      <c r="D8" s="59"/>
      <c r="E8" s="17"/>
      <c r="F8" s="18"/>
      <c r="G8" s="159"/>
      <c r="H8" s="60"/>
      <c r="I8" s="18"/>
      <c r="J8" s="18"/>
      <c r="K8" s="18"/>
      <c r="L8" s="18"/>
      <c r="M8" s="18"/>
      <c r="N8" s="38"/>
      <c r="O8" s="38"/>
      <c r="P8" s="38"/>
      <c r="Q8" s="1"/>
      <c r="R8" s="1"/>
    </row>
    <row r="9" ht="15.75" customHeight="1">
      <c r="A9" s="1"/>
      <c r="B9" s="18">
        <v>6.0</v>
      </c>
      <c r="C9" s="78"/>
      <c r="D9" s="59"/>
      <c r="E9" s="17"/>
      <c r="F9" s="18"/>
      <c r="G9" s="159"/>
      <c r="H9" s="60"/>
      <c r="I9" s="18"/>
      <c r="J9" s="18"/>
      <c r="K9" s="18"/>
      <c r="L9" s="18"/>
      <c r="M9" s="18"/>
      <c r="N9" s="38"/>
      <c r="O9" s="38"/>
      <c r="P9" s="38"/>
      <c r="Q9" s="1"/>
      <c r="R9" s="1"/>
    </row>
    <row r="10" ht="15.75" customHeight="1">
      <c r="A10" s="1"/>
      <c r="B10" s="18">
        <v>7.0</v>
      </c>
      <c r="C10" s="78"/>
      <c r="D10" s="59"/>
      <c r="E10" s="17"/>
      <c r="F10" s="18"/>
      <c r="G10" s="159"/>
      <c r="H10" s="60"/>
      <c r="I10" s="18"/>
      <c r="J10" s="18"/>
      <c r="K10" s="18"/>
      <c r="L10" s="18"/>
      <c r="M10" s="18"/>
      <c r="N10" s="38"/>
      <c r="O10" s="38"/>
      <c r="P10" s="38"/>
      <c r="Q10" s="1"/>
      <c r="R10" s="1"/>
    </row>
    <row r="11" ht="15.75" customHeight="1">
      <c r="A11" s="1"/>
      <c r="B11" s="18">
        <v>8.0</v>
      </c>
      <c r="C11" s="78"/>
      <c r="D11" s="59"/>
      <c r="E11" s="17"/>
      <c r="F11" s="18"/>
      <c r="G11" s="159"/>
      <c r="H11" s="60"/>
      <c r="I11" s="18"/>
      <c r="J11" s="18"/>
      <c r="K11" s="18"/>
      <c r="L11" s="18"/>
      <c r="M11" s="18"/>
      <c r="N11" s="38"/>
      <c r="O11" s="38"/>
      <c r="P11" s="38"/>
      <c r="Q11" s="1"/>
      <c r="R11" s="1"/>
    </row>
    <row r="12" ht="15.75" customHeight="1">
      <c r="A12" s="1"/>
      <c r="B12" s="18">
        <v>9.0</v>
      </c>
      <c r="C12" s="78"/>
      <c r="D12" s="59"/>
      <c r="E12" s="17"/>
      <c r="F12" s="18"/>
      <c r="G12" s="159"/>
      <c r="H12" s="60"/>
      <c r="I12" s="18"/>
      <c r="J12" s="18"/>
      <c r="K12" s="18"/>
      <c r="L12" s="18"/>
      <c r="M12" s="18"/>
      <c r="N12" s="38"/>
      <c r="O12" s="38"/>
      <c r="P12" s="38"/>
      <c r="Q12" s="1"/>
      <c r="R12" s="1"/>
    </row>
    <row r="13" ht="15.75" customHeight="1">
      <c r="A13" s="1"/>
      <c r="B13" s="18">
        <v>10.0</v>
      </c>
      <c r="C13" s="78"/>
      <c r="D13" s="59"/>
      <c r="E13" s="17"/>
      <c r="F13" s="18"/>
      <c r="G13" s="159"/>
      <c r="H13" s="60"/>
      <c r="I13" s="18"/>
      <c r="J13" s="18"/>
      <c r="K13" s="18"/>
      <c r="L13" s="18"/>
      <c r="M13" s="18"/>
      <c r="N13" s="38"/>
      <c r="O13" s="38"/>
      <c r="P13" s="38"/>
      <c r="Q13" s="1"/>
      <c r="R13" s="1"/>
    </row>
    <row r="14" ht="15.75" customHeight="1">
      <c r="A14" s="1"/>
      <c r="B14" s="18"/>
      <c r="C14" s="78"/>
      <c r="D14" s="59"/>
      <c r="E14" s="17"/>
      <c r="F14" s="18"/>
      <c r="G14" s="159"/>
      <c r="H14" s="60"/>
      <c r="I14" s="18"/>
      <c r="J14" s="18"/>
      <c r="K14" s="18"/>
      <c r="L14" s="18"/>
      <c r="M14" s="18"/>
      <c r="N14" s="38"/>
      <c r="O14" s="38"/>
      <c r="P14" s="38"/>
      <c r="Q14" s="1"/>
      <c r="R14" s="1"/>
    </row>
    <row r="15" ht="15.75" customHeight="1">
      <c r="A15" s="1"/>
      <c r="B15" s="18"/>
      <c r="C15" s="78"/>
      <c r="D15" s="59"/>
      <c r="E15" s="17"/>
      <c r="F15" s="18"/>
      <c r="G15" s="159"/>
      <c r="H15" s="60"/>
      <c r="I15" s="18"/>
      <c r="J15" s="18"/>
      <c r="K15" s="18"/>
      <c r="L15" s="18"/>
      <c r="M15" s="18"/>
      <c r="N15" s="38"/>
      <c r="O15" s="38"/>
      <c r="P15" s="38"/>
      <c r="Q15" s="1"/>
      <c r="R15" s="1"/>
    </row>
    <row r="16" ht="15.75" customHeight="1">
      <c r="A16" s="1"/>
      <c r="B16" s="18"/>
      <c r="C16" s="78"/>
      <c r="D16" s="59"/>
      <c r="E16" s="17"/>
      <c r="F16" s="18"/>
      <c r="G16" s="159"/>
      <c r="H16" s="60"/>
      <c r="I16" s="18"/>
      <c r="J16" s="18"/>
      <c r="K16" s="18"/>
      <c r="L16" s="18"/>
      <c r="M16" s="18"/>
      <c r="N16" s="38"/>
      <c r="O16" s="38"/>
      <c r="P16" s="38"/>
      <c r="Q16" s="1"/>
      <c r="R16" s="1"/>
    </row>
    <row r="17" ht="15.75" customHeight="1">
      <c r="A17" s="1"/>
      <c r="B17" s="18"/>
      <c r="C17" s="78"/>
      <c r="D17" s="59"/>
      <c r="E17" s="17"/>
      <c r="F17" s="18"/>
      <c r="G17" s="159"/>
      <c r="H17" s="60"/>
      <c r="I17" s="18"/>
      <c r="J17" s="18"/>
      <c r="K17" s="18"/>
      <c r="L17" s="18"/>
      <c r="M17" s="18"/>
      <c r="N17" s="38"/>
      <c r="O17" s="38"/>
      <c r="P17" s="38"/>
      <c r="Q17" s="1"/>
      <c r="R17" s="1"/>
    </row>
    <row r="18" ht="15.75" customHeight="1">
      <c r="A18" s="1"/>
      <c r="B18" s="18"/>
      <c r="C18" s="78"/>
      <c r="D18" s="59"/>
      <c r="E18" s="17"/>
      <c r="F18" s="18"/>
      <c r="G18" s="159"/>
      <c r="H18" s="60"/>
      <c r="I18" s="18"/>
      <c r="J18" s="18"/>
      <c r="K18" s="18"/>
      <c r="L18" s="18"/>
      <c r="M18" s="18"/>
      <c r="N18" s="38"/>
      <c r="O18" s="38"/>
      <c r="P18" s="38"/>
      <c r="Q18" s="1"/>
      <c r="R18" s="1"/>
    </row>
    <row r="19" ht="15.75" customHeight="1">
      <c r="A19" s="1"/>
      <c r="B19" s="18"/>
      <c r="C19" s="78"/>
      <c r="D19" s="59"/>
      <c r="E19" s="17"/>
      <c r="F19" s="18"/>
      <c r="G19" s="159"/>
      <c r="H19" s="60"/>
      <c r="I19" s="18"/>
      <c r="J19" s="18"/>
      <c r="K19" s="18"/>
      <c r="L19" s="18"/>
      <c r="M19" s="18"/>
      <c r="N19" s="38"/>
      <c r="O19" s="38"/>
      <c r="P19" s="38"/>
      <c r="Q19" s="1"/>
      <c r="R19" s="1"/>
    </row>
    <row r="20" ht="15.75" customHeight="1">
      <c r="A20" s="1"/>
      <c r="B20" s="18"/>
      <c r="C20" s="78"/>
      <c r="D20" s="59"/>
      <c r="E20" s="17"/>
      <c r="F20" s="18"/>
      <c r="G20" s="159"/>
      <c r="H20" s="60"/>
      <c r="I20" s="18"/>
      <c r="J20" s="18"/>
      <c r="K20" s="18"/>
      <c r="L20" s="18"/>
      <c r="M20" s="18"/>
      <c r="N20" s="38"/>
      <c r="O20" s="38"/>
      <c r="P20" s="38"/>
      <c r="Q20" s="1"/>
      <c r="R20" s="1"/>
    </row>
    <row r="21" ht="15.75" customHeight="1">
      <c r="A21" s="1"/>
      <c r="B21" s="18"/>
      <c r="C21" s="78"/>
      <c r="D21" s="59"/>
      <c r="E21" s="17"/>
      <c r="F21" s="18"/>
      <c r="G21" s="159"/>
      <c r="H21" s="60"/>
      <c r="I21" s="18"/>
      <c r="J21" s="18"/>
      <c r="K21" s="18"/>
      <c r="L21" s="18"/>
      <c r="M21" s="18"/>
      <c r="N21" s="38"/>
      <c r="O21" s="38"/>
      <c r="P21" s="38"/>
      <c r="Q21" s="1"/>
      <c r="R21" s="1"/>
    </row>
    <row r="22" ht="15.75" customHeight="1">
      <c r="A22" s="1"/>
      <c r="B22" s="18"/>
      <c r="C22" s="78"/>
      <c r="D22" s="59"/>
      <c r="E22" s="17"/>
      <c r="F22" s="18"/>
      <c r="G22" s="159"/>
      <c r="H22" s="60"/>
      <c r="I22" s="18"/>
      <c r="J22" s="18"/>
      <c r="K22" s="18"/>
      <c r="L22" s="18"/>
      <c r="M22" s="18"/>
      <c r="N22" s="38"/>
      <c r="O22" s="38"/>
      <c r="P22" s="38"/>
      <c r="Q22" s="1"/>
      <c r="R22" s="1"/>
    </row>
    <row r="23" ht="15.75" customHeight="1">
      <c r="A23" s="1"/>
      <c r="B23" s="18"/>
      <c r="C23" s="78"/>
      <c r="D23" s="59"/>
      <c r="E23" s="17"/>
      <c r="F23" s="18"/>
      <c r="G23" s="159"/>
      <c r="H23" s="60"/>
      <c r="I23" s="18"/>
      <c r="J23" s="18"/>
      <c r="K23" s="18"/>
      <c r="L23" s="18"/>
      <c r="M23" s="18"/>
      <c r="N23" s="38"/>
      <c r="O23" s="38"/>
      <c r="P23" s="38"/>
      <c r="Q23" s="1"/>
      <c r="R23" s="1"/>
    </row>
    <row r="24" ht="15.75" customHeight="1">
      <c r="A24" s="1"/>
      <c r="B24" s="18"/>
      <c r="C24" s="78"/>
      <c r="D24" s="59"/>
      <c r="E24" s="17"/>
      <c r="F24" s="18"/>
      <c r="G24" s="159"/>
      <c r="H24" s="60"/>
      <c r="I24" s="18"/>
      <c r="J24" s="18"/>
      <c r="K24" s="18"/>
      <c r="L24" s="18"/>
      <c r="M24" s="18"/>
      <c r="N24" s="38"/>
      <c r="O24" s="38"/>
      <c r="P24" s="38"/>
      <c r="Q24" s="1"/>
      <c r="R24" s="1"/>
    </row>
    <row r="25" ht="15.75" customHeight="1">
      <c r="A25" s="1"/>
      <c r="B25" s="18"/>
      <c r="C25" s="78"/>
      <c r="D25" s="59"/>
      <c r="E25" s="17"/>
      <c r="F25" s="18"/>
      <c r="G25" s="159"/>
      <c r="H25" s="60"/>
      <c r="I25" s="18"/>
      <c r="J25" s="18"/>
      <c r="K25" s="18"/>
      <c r="L25" s="18"/>
      <c r="M25" s="18"/>
      <c r="N25" s="38"/>
      <c r="O25" s="38"/>
      <c r="P25" s="38"/>
      <c r="Q25" s="1"/>
      <c r="R25" s="1"/>
    </row>
    <row r="26" ht="15.75" customHeight="1">
      <c r="A26" s="1"/>
      <c r="B26" s="18"/>
      <c r="C26" s="78"/>
      <c r="D26" s="59"/>
      <c r="E26" s="17"/>
      <c r="F26" s="18"/>
      <c r="G26" s="159"/>
      <c r="H26" s="60"/>
      <c r="I26" s="18"/>
      <c r="J26" s="18"/>
      <c r="K26" s="18"/>
      <c r="L26" s="18"/>
      <c r="M26" s="18"/>
      <c r="N26" s="38"/>
      <c r="O26" s="38"/>
      <c r="P26" s="38"/>
      <c r="Q26" s="1"/>
      <c r="R26" s="1"/>
    </row>
    <row r="27" ht="15.75" customHeight="1">
      <c r="A27" s="1"/>
      <c r="B27" s="18"/>
      <c r="C27" s="78"/>
      <c r="D27" s="59"/>
      <c r="E27" s="17"/>
      <c r="F27" s="18"/>
      <c r="G27" s="159"/>
      <c r="H27" s="60"/>
      <c r="I27" s="18"/>
      <c r="J27" s="18"/>
      <c r="K27" s="18"/>
      <c r="L27" s="18"/>
      <c r="M27" s="18"/>
      <c r="N27" s="38"/>
      <c r="O27" s="38"/>
      <c r="P27" s="38"/>
      <c r="Q27" s="1"/>
      <c r="R27" s="1"/>
    </row>
    <row r="28" ht="15.75" customHeight="1">
      <c r="A28" s="1"/>
      <c r="B28" s="18"/>
      <c r="C28" s="78"/>
      <c r="D28" s="59"/>
      <c r="E28" s="17"/>
      <c r="F28" s="18"/>
      <c r="G28" s="159"/>
      <c r="H28" s="60"/>
      <c r="I28" s="18"/>
      <c r="J28" s="18"/>
      <c r="K28" s="18"/>
      <c r="L28" s="18"/>
      <c r="M28" s="18"/>
      <c r="N28" s="38"/>
      <c r="O28" s="38"/>
      <c r="P28" s="38"/>
      <c r="Q28" s="1"/>
      <c r="R28" s="1"/>
    </row>
    <row r="29" ht="15.75" customHeight="1">
      <c r="A29" s="1"/>
      <c r="B29" s="18"/>
      <c r="C29" s="78"/>
      <c r="D29" s="59"/>
      <c r="E29" s="17"/>
      <c r="F29" s="18"/>
      <c r="G29" s="159"/>
      <c r="H29" s="60"/>
      <c r="I29" s="18"/>
      <c r="J29" s="18"/>
      <c r="K29" s="18"/>
      <c r="L29" s="18"/>
      <c r="M29" s="18"/>
      <c r="N29" s="38"/>
      <c r="O29" s="38"/>
      <c r="P29" s="38"/>
      <c r="Q29" s="1"/>
      <c r="R29" s="1"/>
    </row>
    <row r="30" ht="15.75" customHeight="1">
      <c r="A30" s="1"/>
      <c r="B30" s="18"/>
      <c r="C30" s="78"/>
      <c r="D30" s="59"/>
      <c r="E30" s="17"/>
      <c r="F30" s="18"/>
      <c r="G30" s="159"/>
      <c r="H30" s="60"/>
      <c r="I30" s="18"/>
      <c r="J30" s="18"/>
      <c r="K30" s="18"/>
      <c r="L30" s="18"/>
      <c r="M30" s="18"/>
      <c r="N30" s="38"/>
      <c r="O30" s="38"/>
      <c r="P30" s="38"/>
      <c r="Q30" s="1"/>
      <c r="R30" s="1"/>
    </row>
    <row r="31" ht="15.75" customHeight="1">
      <c r="A31" s="1"/>
      <c r="B31" s="18"/>
      <c r="C31" s="78"/>
      <c r="D31" s="59"/>
      <c r="E31" s="17"/>
      <c r="F31" s="18"/>
      <c r="G31" s="159"/>
      <c r="H31" s="60"/>
      <c r="I31" s="18"/>
      <c r="J31" s="18"/>
      <c r="K31" s="18"/>
      <c r="L31" s="18"/>
      <c r="M31" s="18"/>
      <c r="N31" s="38"/>
      <c r="O31" s="38"/>
      <c r="P31" s="38"/>
      <c r="Q31" s="1"/>
      <c r="R31" s="1"/>
    </row>
    <row r="32" ht="15.75" customHeight="1">
      <c r="A32" s="1"/>
      <c r="B32" s="18"/>
      <c r="C32" s="78"/>
      <c r="D32" s="59"/>
      <c r="E32" s="17"/>
      <c r="F32" s="18"/>
      <c r="G32" s="159"/>
      <c r="H32" s="60"/>
      <c r="I32" s="18"/>
      <c r="J32" s="18"/>
      <c r="K32" s="18"/>
      <c r="L32" s="18"/>
      <c r="M32" s="18"/>
      <c r="N32" s="38"/>
      <c r="O32" s="38"/>
      <c r="P32" s="38"/>
      <c r="Q32" s="1"/>
      <c r="R32" s="1"/>
    </row>
    <row r="33" ht="15.75" customHeight="1">
      <c r="A33" s="1"/>
      <c r="B33" s="18"/>
      <c r="C33" s="78"/>
      <c r="D33" s="59"/>
      <c r="E33" s="17"/>
      <c r="F33" s="18"/>
      <c r="G33" s="159"/>
      <c r="H33" s="60"/>
      <c r="I33" s="18"/>
      <c r="J33" s="18"/>
      <c r="K33" s="18"/>
      <c r="L33" s="18"/>
      <c r="M33" s="18"/>
      <c r="N33" s="38"/>
      <c r="O33" s="38"/>
      <c r="P33" s="38"/>
      <c r="Q33" s="1"/>
      <c r="R33" s="1"/>
    </row>
    <row r="34" ht="15.75" customHeight="1">
      <c r="A34" s="1"/>
      <c r="B34" s="18"/>
      <c r="C34" s="78"/>
      <c r="D34" s="59"/>
      <c r="E34" s="17"/>
      <c r="F34" s="18"/>
      <c r="G34" s="159"/>
      <c r="H34" s="60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19">
        <f t="shared" ref="G35:H35" si="1">SUM(G4:G34)</f>
        <v>0</v>
      </c>
      <c r="H35" s="70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71" t="s">
        <v>1</v>
      </c>
      <c r="C38" s="72" t="s">
        <v>7</v>
      </c>
      <c r="D38" s="72" t="s">
        <v>120</v>
      </c>
      <c r="E38" s="1"/>
      <c r="F38" s="1"/>
      <c r="G38" s="1"/>
      <c r="H38" s="1"/>
      <c r="I38" s="1"/>
      <c r="J38" s="1"/>
      <c r="K38" s="1"/>
      <c r="L38" s="1"/>
      <c r="M38" s="1"/>
      <c r="N38" s="72" t="s">
        <v>121</v>
      </c>
      <c r="O38" s="72" t="s">
        <v>2</v>
      </c>
      <c r="P38" s="1"/>
      <c r="Q38" s="1"/>
      <c r="R38" s="1"/>
    </row>
    <row r="39" ht="15.75" customHeight="1">
      <c r="A39" s="1"/>
      <c r="B39" s="73">
        <v>1.0</v>
      </c>
      <c r="C39" s="75" t="s">
        <v>124</v>
      </c>
      <c r="D39" s="76">
        <f>SUM(G35)</f>
        <v>0</v>
      </c>
      <c r="E39" s="77"/>
      <c r="F39" s="1"/>
      <c r="G39" s="1"/>
      <c r="H39" s="1"/>
      <c r="I39" s="1"/>
      <c r="J39" s="1"/>
      <c r="K39" s="1"/>
      <c r="L39" s="1"/>
      <c r="M39" s="1"/>
      <c r="N39" s="79" t="s">
        <v>128</v>
      </c>
      <c r="O39" s="33"/>
      <c r="P39" s="1"/>
      <c r="Q39" s="1"/>
      <c r="R39" s="1"/>
    </row>
    <row r="40" ht="15.75" customHeight="1">
      <c r="A40" s="1"/>
      <c r="B40" s="82">
        <v>2.0</v>
      </c>
      <c r="C40" s="92"/>
      <c r="D40" s="93"/>
      <c r="E40" s="77"/>
      <c r="F40" s="1"/>
      <c r="G40" s="1"/>
      <c r="H40" s="1"/>
      <c r="I40" s="1"/>
      <c r="J40" s="1"/>
      <c r="K40" s="1"/>
      <c r="L40" s="1"/>
      <c r="M40" s="1"/>
      <c r="N40" s="85" t="s">
        <v>132</v>
      </c>
      <c r="O40" s="166"/>
      <c r="P40" s="1"/>
      <c r="Q40" s="1"/>
      <c r="R40" s="1"/>
    </row>
    <row r="41" ht="15.75" customHeight="1">
      <c r="A41" s="1"/>
      <c r="B41" s="73">
        <v>3.0</v>
      </c>
      <c r="C41" s="75"/>
      <c r="D41" s="76"/>
      <c r="E41" s="77"/>
      <c r="F41" s="1"/>
      <c r="G41" s="1"/>
      <c r="H41" s="1"/>
      <c r="I41" s="1"/>
      <c r="J41" s="1"/>
      <c r="K41" s="1"/>
      <c r="L41" s="1"/>
      <c r="M41" s="1"/>
      <c r="N41" s="88" t="s">
        <v>136</v>
      </c>
      <c r="O41" s="38"/>
      <c r="P41" s="1"/>
      <c r="Q41" s="1"/>
      <c r="R41" s="1"/>
    </row>
    <row r="42" ht="15.75" customHeight="1">
      <c r="A42" s="1"/>
      <c r="B42" s="82">
        <v>4.0</v>
      </c>
      <c r="C42" s="92"/>
      <c r="D42" s="93"/>
      <c r="E42" s="77"/>
      <c r="F42" s="1"/>
      <c r="G42" s="1"/>
      <c r="H42" s="1"/>
      <c r="I42" s="1"/>
      <c r="J42" s="1"/>
      <c r="K42" s="1"/>
      <c r="L42" s="1"/>
      <c r="M42" s="1"/>
      <c r="N42" s="95" t="s">
        <v>147</v>
      </c>
      <c r="O42" s="166"/>
      <c r="P42" s="1"/>
      <c r="Q42" s="1"/>
      <c r="R42" s="1"/>
    </row>
    <row r="43" ht="15.75" customHeight="1">
      <c r="A43" s="1"/>
      <c r="B43" s="73"/>
      <c r="C43" s="75"/>
      <c r="D43" s="76"/>
      <c r="E43" s="77"/>
      <c r="F43" s="1"/>
      <c r="G43" s="1"/>
      <c r="H43" s="1"/>
      <c r="I43" s="1"/>
      <c r="J43" s="1"/>
      <c r="K43" s="1"/>
      <c r="L43" s="1"/>
      <c r="M43" s="1"/>
      <c r="N43" s="98"/>
      <c r="O43" s="1"/>
      <c r="P43" s="1"/>
      <c r="Q43" s="1"/>
      <c r="R43" s="1"/>
    </row>
    <row r="44" ht="15.75" customHeight="1">
      <c r="A44" s="1"/>
      <c r="B44" s="82"/>
      <c r="C44" s="92"/>
      <c r="D44" s="93"/>
      <c r="E44" s="77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3"/>
      <c r="C45" s="75"/>
      <c r="D45" s="76"/>
      <c r="E45" s="77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82"/>
      <c r="C46" s="92"/>
      <c r="D46" s="93"/>
      <c r="E46" s="77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3"/>
      <c r="C47" s="75"/>
      <c r="D47" s="76"/>
      <c r="E47" s="77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82"/>
      <c r="C48" s="92"/>
      <c r="D48" s="93"/>
      <c r="E48" s="77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14"/>
      <c r="C49" s="115"/>
      <c r="D49" s="116"/>
      <c r="E49" s="77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7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205" t="s">
        <v>522</v>
      </c>
      <c r="AU1" s="102" t="s">
        <v>523</v>
      </c>
    </row>
    <row r="2">
      <c r="A2" s="206" t="s">
        <v>524</v>
      </c>
      <c r="AU2" s="102">
        <v>1.0</v>
      </c>
    </row>
    <row r="3">
      <c r="AU3" s="102">
        <v>2.0</v>
      </c>
    </row>
    <row r="4">
      <c r="A4" s="207" t="s">
        <v>525</v>
      </c>
      <c r="AU4" s="102">
        <v>3.0</v>
      </c>
      <c r="AV4" s="102">
        <v>1.0</v>
      </c>
      <c r="AW4" s="102">
        <v>2.0</v>
      </c>
      <c r="AX4" s="102">
        <v>3.0</v>
      </c>
      <c r="AY4" s="102">
        <v>4.0</v>
      </c>
      <c r="AZ4" s="102">
        <v>5.0</v>
      </c>
      <c r="BA4" s="102">
        <v>6.0</v>
      </c>
      <c r="BB4" s="102">
        <v>7.0</v>
      </c>
      <c r="BC4" s="102">
        <v>8.0</v>
      </c>
      <c r="BD4" s="102">
        <v>9.0</v>
      </c>
      <c r="BE4" s="102">
        <v>10.0</v>
      </c>
      <c r="BF4" s="102">
        <v>11.0</v>
      </c>
      <c r="BG4" s="102">
        <v>12.0</v>
      </c>
      <c r="BH4" s="102">
        <v>13.0</v>
      </c>
      <c r="BI4" s="102">
        <v>14.0</v>
      </c>
      <c r="BJ4" s="102">
        <v>15.0</v>
      </c>
      <c r="BK4" s="102">
        <v>16.0</v>
      </c>
      <c r="BL4" s="102">
        <v>17.0</v>
      </c>
      <c r="BM4" s="102">
        <v>18.0</v>
      </c>
      <c r="BN4" s="102">
        <v>19.0</v>
      </c>
      <c r="BO4" s="102">
        <v>20.0</v>
      </c>
      <c r="BP4" s="102">
        <v>21.0</v>
      </c>
      <c r="BQ4" s="102">
        <v>22.0</v>
      </c>
      <c r="BR4" s="102">
        <v>23.0</v>
      </c>
      <c r="BS4" s="102">
        <v>24.0</v>
      </c>
      <c r="BT4" s="102">
        <v>25.0</v>
      </c>
      <c r="BU4" s="102">
        <v>26.0</v>
      </c>
      <c r="BV4" s="102">
        <v>27.0</v>
      </c>
      <c r="BW4" s="102">
        <v>28.0</v>
      </c>
      <c r="BX4" s="102">
        <v>29.0</v>
      </c>
      <c r="BY4" s="102">
        <v>30.0</v>
      </c>
      <c r="BZ4" s="102">
        <v>31.0</v>
      </c>
      <c r="CA4" s="102" t="s">
        <v>526</v>
      </c>
      <c r="CB4" s="102" t="s">
        <v>527</v>
      </c>
    </row>
    <row r="5">
      <c r="A5" s="208" t="s">
        <v>528</v>
      </c>
      <c r="B5" s="208" t="s">
        <v>3</v>
      </c>
      <c r="C5" s="208" t="s">
        <v>529</v>
      </c>
      <c r="D5" s="208" t="s">
        <v>530</v>
      </c>
      <c r="E5" s="208" t="s">
        <v>531</v>
      </c>
      <c r="X5" s="102" t="s">
        <v>54</v>
      </c>
      <c r="Y5" s="102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$24,X5)+COUNTIF('11'!$D$4:$D$20,X5)+COUNTIF('12'!$D$4:$D$17,X5)+COUNTIF('13'!$D$4:$D$16,X5)+COUNTIF('14'!$D$4:$D$16,X5)+COUNTIF('15'!$D$4:$D$20,X5)+COUNTIF('16'!$D$4:$D$19,X5)+COUNTIF('17'!$D$14:$D$35,X5)+COUNTIF('18'!$D$4:$D$19,X5)+COUNTIF('19'!$D$4:$D$24,X5)+COUNTIF('20'!$D$4:$D$19,X5)+COUNTIF('21'!$D$4:$D$23,X5)+COUNTIF('22'!$D$4:$D$26,X5)+COUNTIF('23'!$D$4:$D$21,X5)+COUNTIF('24'!$D$4:$D$16,X5)+COUNTIF('25'!$D$4:$D$18,X5)+COUNTIF('26'!$D$4:$D$16,X5)+COUNTIF('27'!$D$4:$D$16,X5)+COUNTIF('28'!$D$4:$D$16,X5)+COUNTIF('29'!$D$4:$D$16,X5)+COUNTIF('30'!$D$4:$D$16,X5)+COUNTIF('31'!$D$4:$D$17,X5)</f>
        <v>120</v>
      </c>
      <c r="Z5" s="102">
        <f t="shared" ref="Z5:Z17" si="1">Y5+(18-ROW())/100000</f>
        <v>120.00013</v>
      </c>
      <c r="AA5" s="102" t="s">
        <v>29</v>
      </c>
      <c r="AB5" s="102" t="s">
        <v>532</v>
      </c>
      <c r="AC5" s="102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$26:$O$29,AA5)+COUNTIF('11'!$O$22:$O$25,AA5)+COUNTIF('12'!$O$19:$O$22,AA5)+COUNTIF('13'!$O$18:$O$21,AA5)+COUNTIF('14'!$O$18:$O$21,AA5)+COUNTIF('15'!$O$22:$O$25,AA5)+COUNTIF('16'!$O$21:$O$24,AA5)+COUNTIF('17'!$O$37:$O$40,AA5)+COUNTIF('18'!$O$21:$O$24,AA5)+COUNTIF('19'!$O$26:$O$29,AA5)+COUNTIF('20'!$O$21:$O$24,AA5)+COUNTIF('21'!$O$25:$O$28,AA5)+COUNTIF('22'!$O$28:$O$31,AA5)+COUNTIF('23'!$O$23:$O$26,AA5)+COUNTIF('24'!$O$18:$O$21,AA5)+COUNTIF('25'!$O$20:$O$23,AA5)+COUNTIF('26'!$O$18:$O$21,AA5)+COUNTIF('27'!$O$18:$O$21,AA5)+COUNTIF('28'!$O$18:$O$21,AA5)+COUNTIF('29'!$O$18:$O$21,AA5)+COUNTIF('30'!$O$18:$O$21,AA5)+COUNTIF('31'!$O$19:$O$22,AA5)</f>
        <v>31</v>
      </c>
      <c r="AD5" s="102">
        <f t="shared" ref="AD5:AD15" si="2">AC5+(16-ROW())/100000</f>
        <v>31.00011</v>
      </c>
      <c r="AE5" s="102" t="s">
        <v>29</v>
      </c>
      <c r="AF5" s="102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$24,AE5)+COUNTIF('11'!$L$4:$L$20,AE5)+COUNTIF('12'!$L$4:$L$17,AE5)+COUNTIF('13'!$L$4:$L$16,AE5)+COUNTIF('14'!$L$4:$L$16,AE5)+COUNTIF('15'!$L$4:$L$20,AE5)+COUNTIF('16'!$L$4:$L$19,AE5)+COUNTIF('17'!$L$14:$L$35,AE5)+COUNTIF('18'!$L$4:$L$19,AE5)+COUNTIF('19'!$L$4:$L$24,AE5)+COUNTIF('20'!$L$4:$L$19,AE5)+COUNTIF('21'!$L$4:$L$23,AE5)+COUNTIF('22'!$L$4:$L$26,AE5)+COUNTIF('23'!$L$4:$L$21,AE5)+COUNTIF('24'!$L$4:$L$16,AE5)+COUNTIF('25'!$L$4:$L$18,AE5)+COUNTIF('26'!$L$4:$L$16,AE5)+COUNTIF('27'!$L$4:$L$16,AE5)+COUNTIF('28'!$L$4:$L$16,AE5)+COUNTIF('29'!$L$4:$L$16,AE5)+COUNTIF('30'!$L$4:$L$16,AE5)+COUNTIF('31'!$L$4:$L$17,AE5)</f>
        <v>181</v>
      </c>
      <c r="AG5" s="102">
        <f t="shared" ref="AG5:AG9" si="3">AF5+(10-ROW())/100000</f>
        <v>181.00005</v>
      </c>
      <c r="AH5" s="102" t="s">
        <v>533</v>
      </c>
      <c r="AI5" s="102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$24,AH5)+COUNTIF('11'!$M$4:$M$20,AH5)+COUNTIF('12'!$M$4:$M$17,AH5)+COUNTIF('13'!$M$4:$M$16,AH5)+COUNTIF('14'!$M$4:$M$16,AH5)+COUNTIF('15'!$M$4:$M$20,AH5)+COUNTIF('16'!$M$4:$M$19,AH5)+COUNTIF('17'!$M$14:$M$35,AH5)+COUNTIF('18'!$M$4:$M$19,AH5)+COUNTIF('19'!$M$4:$M$24,AH5)+COUNTIF('20'!$M$4:$M$19,AH5)+COUNTIF('21'!$M$4:$M$23,AH5)+COUNTIF('22'!$M$4:$M$26,AH5)+COUNTIF('23'!$M$4:$M$21,AH5)+COUNTIF('24'!$M$4:$M$16,AH5)+COUNTIF('25'!$M$4:$M$18,AH5)+COUNTIF('26'!$M$4:$M$16,AH5)+COUNTIF('27'!$M$4:$M$16,AH5)+COUNTIF('28'!$M$4:$M$16,AH5)+COUNTIF('29'!$M$4:$M$16,AH5)+COUNTIF('30'!$M$4:$M$16,AH5)+COUNTIF('31'!$M$4:$M$17,AH5)</f>
        <v>0</v>
      </c>
      <c r="AJ5" s="102">
        <f t="shared" ref="AJ5:AJ10" si="4">AI5+(11-ROW())/100000</f>
        <v>0.00006</v>
      </c>
      <c r="AK5" s="102" t="s">
        <v>29</v>
      </c>
      <c r="AL5" s="102" t="s">
        <v>532</v>
      </c>
      <c r="AM5" s="102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$33:$AG$38,AK5,'10'!$AF$33:$AF$38,1)+COUNTIFS('11'!$AG$29:$AG$34,AK5,'11'!$AF$29:$AF$34,1)+COUNTIFS('12'!$AG$26:$AG$31,AK5,'12'!$AF$26:$AF$31,1)+COUNTIFS('13'!$AG$25:$AG$30,AK5,'13'!$AF$25:$AF$30,1)+COUNTIFS('14'!$AG$25:$AG$30,AK5,'14'!$AF$25:$AF$30,1)+COUNTIFS('15'!$AG$29:$AG$34,AK5,'15'!$AF$29:$AF$34,1)+COUNTIFS('16'!$AG$28:$AG$33,AK5,'16'!$AF$28:$AF$33,1)+COUNTIFS('17'!$AG$44:$AG$49,AK5,'17'!$AF$44:$AF$49,1)+COUNTIFS('18'!$AG$28:$AG$33,AK5,'18'!$AF$28:$AF$33,1)+COUNTIFS('19'!$AG$33:$AG$38,AK5,'19'!$AF$33:$AF$38,1)+COUNTIFS('20'!$AG$28:$AG$33,AK5,'20'!$AF$28:$AF$33,1)+COUNTIFS('21'!$AG$32:$AG$37,AK5,'21'!$AF$32:$AF$37,1)+COUNTIFS('22'!$AG$35:$AG$40,AK5,'22'!$AF$35:$AF$40,1)+COUNTIFS('23'!$AG$30:$AG$35,AK5,'23'!$AF$30:$AF$35,1)+COUNTIFS('24'!$AG$25:$AG$30,AK5,'24'!$AF$25:$AF$30,1)+COUNTIFS('25'!$AG$27:$AG$32,AK5,'25'!$AF$27:$AF$32,1)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26</v>
      </c>
      <c r="AN5" s="102">
        <f t="shared" ref="AN5:AN15" si="5">IF(AM5=0,"",AO5/5*20+AP5/5*25+AQ5/5*25+AR5/5*15+AS5/5*15)</f>
        <v>100</v>
      </c>
      <c r="AO5" s="102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$33:$L$38,'10'!$AG$33:$AG$38,AK5,'10'!$AF$33:$AF$38,1)+SUMIFS('11'!$L$29:$L$34,'11'!$AG$29:$AG$34,AK5,'11'!$AF$29:$AF$34,1)+SUMIFS('12'!$L$26:$L$31,'12'!$AG$26:$AG$31,AK5,'12'!$AF$26:$AF$31,1)+SUMIFS('13'!$L$25:$L$30,'13'!$AG$25:$AG$30,AK5,'13'!$AF$25:$AF$30,1)+SUMIFS('14'!$L$25:$L$30,'14'!$AG$25:$AG$30,AK5,'14'!$AF$25:$AF$30,1)+SUMIFS('15'!$L$29:$L$34,'15'!$AG$29:$AG$34,AK5,'15'!$AF$29:$AF$34,1)+SUMIFS('16'!$L$28:$L$33,'16'!$AG$28:$AG$33,AK5,'16'!$AF$28:$AF$33,1)+SUMIFS('17'!$L$44:$L$49,'17'!$AG$44:$AG$49,AK5,'17'!$AF$44:$AF$49,1)+SUMIFS('18'!$L$28:$L$33,'18'!$AG$28:$AG$33,AK5,'18'!$AF$28:$AF$33,1)+SUMIFS('19'!$L$33:$L$38,'19'!$AG$33:$AG$38,AK5,'19'!$AF$33:$AF$38,1)+SUMIFS('20'!$L$28:$L$33,'20'!$AG$28:$AG$33,AK5,'20'!$AF$28:$AF$33,1)+SUMIFS('21'!$L$32:$L$37,'21'!$AG$32:$AG$37,AK5,'21'!$AF$32:$AF$37,1)+SUMIFS('22'!$L$35:$L$40,'22'!$AG$35:$AG$40,AK5,'22'!$AF$35:$AF$40,1)+SUMIFS('23'!$L$30:$L$35,'23'!$AG$30:$AG$35,AK5,'23'!$AF$30:$AF$35,1)+SUMIFS('24'!$L$25:$L$30,'24'!$AG$25:$AG$30,AK5,'24'!$AF$25:$AF$30,1)+SUMIFS('25'!$L$27:$L$32,'25'!$AG$27:$AG$32,AK5,'25'!$AF$27:$AF$32,1)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102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$33:$M$38,'10'!$AG$33:$AG$38,AK5,'10'!$AF$33:$AF$38,1)+SUMIFS('11'!$M$29:$M$34,'11'!$AG$29:$AG$34,AK5,'11'!$AF$29:$AF$34,1)+SUMIFS('12'!$M$26:$M$31,'12'!$AG$26:$AG$31,AK5,'12'!$AF$26:$AF$31,1)+SUMIFS('13'!$M$25:$M$30,'13'!$AG$25:$AG$30,AK5,'13'!$AF$25:$AF$30,1)+SUMIFS('14'!$M$25:$M$30,'14'!$AG$25:$AG$30,AK5,'14'!$AF$25:$AF$30,1)+SUMIFS('15'!$M$29:$M$34,'15'!$AG$29:$AG$34,AK5,'15'!$AF$29:$AF$34,1)+SUMIFS('16'!$M$28:$M$33,'16'!$AG$28:$AG$33,AK5,'16'!$AF$28:$AF$33,1)+SUMIFS('17'!$M$44:$M$49,'17'!$AG$44:$AG$49,AK5,'17'!$AF$44:$AF$49,1)+SUMIFS('18'!$M$28:$M$33,'18'!$AG$28:$AG$33,AK5,'18'!$AF$28:$AF$33,1)+SUMIFS('19'!$M$33:$M$38,'19'!$AG$33:$AG$38,AK5,'19'!$AF$33:$AF$38,1)+SUMIFS('20'!$M$28:$M$33,'20'!$AG$28:$AG$33,AK5,'20'!$AF$28:$AF$33,1)+SUMIFS('21'!$M$32:$M$37,'21'!$AG$32:$AG$37,AK5,'21'!$AF$32:$AF$37,1)+SUMIFS('22'!$M$35:$M$40,'22'!$AG$35:$AG$40,AK5,'22'!$AF$35:$AF$40,1)+SUMIFS('23'!$M$30:$M$35,'23'!$AG$30:$AG$35,AK5,'23'!$AF$30:$AF$35,1)+SUMIFS('24'!$M$25:$M$30,'24'!$AG$25:$AG$30,AK5,'24'!$AF$25:$AF$30,1)+SUMIFS('25'!$M$27:$M$32,'25'!$AG$27:$AG$32,AK5,'25'!$AF$27:$AF$32,1)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102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$33:$N$38,'10'!$AG$33:$AG$38,AK5,'10'!$AF$33:$AF$38,1)+SUMIFS('11'!$N$29:$N$34,'11'!$AG$29:$AG$34,AK5,'11'!$AF$29:$AF$34,1)+SUMIFS('12'!$N$26:$N$31,'12'!$AG$26:$AG$31,AK5,'12'!$AF$26:$AF$31,1)+SUMIFS('13'!$N$25:$N$30,'13'!$AG$25:$AG$30,AK5,'13'!$AF$25:$AF$30,1)+SUMIFS('14'!$N$25:$N$30,'14'!$AG$25:$AG$30,AK5,'14'!$AF$25:$AF$30,1)+SUMIFS('15'!$N$29:$N$34,'15'!$AG$29:$AG$34,AK5,'15'!$AF$29:$AF$34,1)+SUMIFS('16'!$N$28:$N$33,'16'!$AG$28:$AG$33,AK5,'16'!$AF$28:$AF$33,1)+SUMIFS('17'!$N$44:$N$49,'17'!$AG$44:$AG$49,AK5,'17'!$AF$44:$AF$49,1)+SUMIFS('18'!$N$28:$N$33,'18'!$AG$28:$AG$33,AK5,'18'!$AF$28:$AF$33,1)+SUMIFS('19'!$N$33:$N$38,'19'!$AG$33:$AG$38,AK5,'19'!$AF$33:$AF$38,1)+SUMIFS('20'!$N$28:$N$33,'20'!$AG$28:$AG$33,AK5,'20'!$AF$28:$AF$33,1)+SUMIFS('21'!$N$32:$N$37,'21'!$AG$32:$AG$37,AK5,'21'!$AF$32:$AF$37,1)+SUMIFS('22'!$N$35:$N$40,'22'!$AG$35:$AG$40,AK5,'22'!$AF$35:$AF$40,1)+SUMIFS('23'!$N$30:$N$35,'23'!$AG$30:$AG$35,AK5,'23'!$AF$30:$AF$35,1)+SUMIFS('24'!$N$25:$N$30,'24'!$AG$25:$AG$30,AK5,'24'!$AF$25:$AF$30,1)+SUMIFS('25'!$N$27:$N$32,'25'!$AG$27:$AG$32,AK5,'25'!$AF$27:$AF$32,1)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102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$33:$O$38,'10'!$AG$33:$AG$38,AK5,'10'!$AF$33:$AF$38,1)+SUMIFS('11'!$O$29:$O$34,'11'!$AG$29:$AG$34,AK5,'11'!$AF$29:$AF$34,1)+SUMIFS('12'!$O$26:$O$31,'12'!$AG$26:$AG$31,AK5,'12'!$AF$26:$AF$31,1)+SUMIFS('13'!$O$25:$O$30,'13'!$AG$25:$AG$30,AK5,'13'!$AF$25:$AF$30,1)+SUMIFS('14'!$O$25:$O$30,'14'!$AG$25:$AG$30,AK5,'14'!$AF$25:$AF$30,1)+SUMIFS('15'!$O$29:$O$34,'15'!$AG$29:$AG$34,AK5,'15'!$AF$29:$AF$34,1)+SUMIFS('16'!$O$28:$O$33,'16'!$AG$28:$AG$33,AK5,'16'!$AF$28:$AF$33,1)+SUMIFS('17'!$O$44:$O$49,'17'!$AG$44:$AG$49,AK5,'17'!$AF$44:$AF$49,1)+SUMIFS('18'!$O$28:$O$33,'18'!$AG$28:$AG$33,AK5,'18'!$AF$28:$AF$33,1)+SUMIFS('19'!$O$33:$O$38,'19'!$AG$33:$AG$38,AK5,'19'!$AF$33:$AF$38,1)+SUMIFS('20'!$O$28:$O$33,'20'!$AG$28:$AG$33,AK5,'20'!$AF$28:$AF$33,1)+SUMIFS('21'!$O$32:$O$37,'21'!$AG$32:$AG$37,AK5,'21'!$AF$32:$AF$37,1)+SUMIFS('22'!$O$35:$O$40,'22'!$AG$35:$AG$40,AK5,'22'!$AF$35:$AF$40,1)+SUMIFS('23'!$O$30:$O$35,'23'!$AG$30:$AG$35,AK5,'23'!$AF$30:$AF$35,1)+SUMIFS('24'!$O$25:$O$30,'24'!$AG$25:$AG$30,AK5,'24'!$AF$25:$AF$30,1)+SUMIFS('25'!$O$27:$O$32,'25'!$AG$27:$AG$32,AK5,'25'!$AF$27:$AF$32,1)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102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$33:$P$38,'10'!$AG$33:$AG$38,AK5,'10'!$AF$33:$AF$38,1)+SUMIFS('11'!$P$29:$P$34,'11'!$AG$29:$AG$34,AK5,'11'!$AF$29:$AF$34,1)+SUMIFS('12'!$P$26:$P$31,'12'!$AG$26:$AG$31,AK5,'12'!$AF$26:$AF$31,1)+SUMIFS('13'!$P$25:$P$30,'13'!$AG$25:$AG$30,AK5,'13'!$AF$25:$AF$30,1)+SUMIFS('14'!$P$25:$P$30,'14'!$AG$25:$AG$30,AK5,'14'!$AF$25:$AF$30,1)+SUMIFS('15'!$P$29:$P$34,'15'!$AG$29:$AG$34,AK5,'15'!$AF$29:$AF$34,1)+SUMIFS('16'!$P$28:$P$33,'16'!$AG$28:$AG$33,AK5,'16'!$AF$28:$AF$33,1)+SUMIFS('17'!$P$44:$P$49,'17'!$AG$44:$AG$49,AK5,'17'!$AF$44:$AF$49,1)+SUMIFS('18'!$P$28:$P$33,'18'!$AG$28:$AG$33,AK5,'18'!$AF$28:$AF$33,1)+SUMIFS('19'!$P$33:$P$38,'19'!$AG$33:$AG$38,AK5,'19'!$AF$33:$AF$38,1)+SUMIFS('20'!$P$28:$P$33,'20'!$AG$28:$AG$33,AK5,'20'!$AF$28:$AF$33,1)+SUMIFS('21'!$P$32:$P$37,'21'!$AG$32:$AG$37,AK5,'21'!$AF$32:$AF$37,1)+SUMIFS('22'!$P$35:$P$40,'22'!$AG$35:$AG$40,AK5,'22'!$AF$35:$AF$40,1)+SUMIFS('23'!$P$30:$P$35,'23'!$AG$30:$AG$35,AK5,'23'!$AF$30:$AF$35,1)+SUMIFS('24'!$P$25:$P$30,'24'!$AG$25:$AG$30,AK5,'24'!$AF$25:$AF$30,1)+SUMIFS('25'!$P$27:$P$32,'25'!$AG$27:$AG$32,AK5,'25'!$AF$27:$AF$32,1)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102">
        <v>4.0</v>
      </c>
      <c r="AV5" s="102" t="str">
        <f>IF(COUNTIFS('1'!$AG$29:$AG$34,$AK5,'1'!$AF$29:$AF$34,1)=0,"",SUMIFS('1'!$AC$29:$AC$34,'1'!$AG$29:$AG$34,$AK5,'1'!$AF$29:$AF$34,1)/COUNTIFS('1'!$AG$29:$AG$34,$AK5,'1'!$AF$29:$AF$34,1))</f>
        <v/>
      </c>
      <c r="AW5" s="102">
        <f>IF(COUNTIFS('2'!$AG$27:$AG$32,$AK5,'2'!$AF$27:$AF$32,1)=0,"",SUMIFS('2'!$AC$27:$AC$32,'2'!$AG$27:$AG$32,$AK5,'2'!$AF$27:$AF$32,1)/COUNTIFS('2'!$AG$27:$AG$32,$AK5,'2'!$AF$27:$AF$32,1))</f>
        <v>100</v>
      </c>
      <c r="AX5" s="102">
        <f>IF(COUNTIFS('3'!$AG$74:$AG$79,$AK5,'3'!$AF$74:$AF$79,1)=0,"",SUMIFS('3'!$AC$74:$AC$79,'3'!$AG$74:$AG$79,$AK5,'3'!$AF$74:$AF$79,1)/COUNTIFS('3'!$AG$74:$AG$79,$AK5,'3'!$AF$74:$AF$79,1))</f>
        <v>100</v>
      </c>
      <c r="AY5" s="102">
        <f>IF(COUNTIFS('4'!$AG$86:$AG$91,$AK5,'4'!$AF$86:$AF$91,1)=0,"",SUMIFS('4'!$AC$86:$AC$91,'4'!$AG$86:$AG$91,$AK5,'4'!$AF$86:$AF$91,1)/COUNTIFS('4'!$AG$86:$AG$91,$AK5,'4'!$AF$86:$AF$91,1))</f>
        <v>100</v>
      </c>
      <c r="AZ5" s="102">
        <f>IF(COUNTIFS('5'!$AG$27:$AG$32,$AK5,'5'!$AF$27:$AF$32,1)=0,"",SUMIFS('5'!$AC$27:$AC$32,'5'!$AG$27:$AG$32,$AK5,'5'!$AF$27:$AF$32,1)/COUNTIFS('5'!$AG$27:$AG$32,$AK5,'5'!$AF$27:$AF$32,1))</f>
        <v>100</v>
      </c>
      <c r="BA5" s="102">
        <f>IF(COUNTIFS('6'!$AG$31:$AG$36,$AK5,'6'!$AF$31:$AF$36,1)=0,"",SUMIFS('6'!$AC$31:$AC$36,'6'!$AG$31:$AG$36,$AK5,'6'!$AF$31:$AF$36,1)/COUNTIFS('6'!$AG$31:$AG$36,$AK5,'6'!$AF$31:$AF$36,1))</f>
        <v>100</v>
      </c>
      <c r="BB5" s="102">
        <f>IF(COUNTIFS('7'!$AG$30:$AG$35,$AK5,'7'!$AF$30:$AF$35,1)=0,"",SUMIFS('7'!$AC$30:$AC$35,'7'!$AG$30:$AG$35,$AK5,'7'!$AF$30:$AF$35,1)/COUNTIFS('7'!$AG$30:$AG$35,$AK5,'7'!$AF$30:$AF$35,1))</f>
        <v>100</v>
      </c>
      <c r="BC5" s="102" t="str">
        <f>IF(COUNTIFS('8'!$AG$31:$AG$36,$AK5,'8'!$AF$31:$AF$36,1)=0,"",SUMIFS('8'!$AC$31:$AC$36,'8'!$AG$31:$AG$36,$AK5,'8'!$AF$31:$AF$36,1)/COUNTIFS('8'!$AG$31:$AG$36,$AK5,'8'!$AF$31:$AF$36,1))</f>
        <v/>
      </c>
      <c r="BD5" s="102">
        <f>IF(COUNTIFS('9'!$AG$33:$AG$38,$AK5,'9'!$AF$33:$AF$38,1)=0,"",SUMIFS('9'!$AC$33:$AC$38,'9'!$AG$33:$AG$38,$AK5,'9'!$AF$33:$AF$38,1)/COUNTIFS('9'!$AG$33:$AG$38,$AK5,'9'!$AF$33:$AF$38,1))</f>
        <v>100</v>
      </c>
      <c r="BE5" s="102">
        <f>IF(COUNTIFS('10'!$AG$33:$AG$38,$AK5,'10'!$AF$33:$AF$38,1)=0,"",SUMIFS('10'!$AC$33:$AC$38,'10'!$AG$33:$AG$38,$AK5,'10'!$AF$33:$AF$38,1)/COUNTIFS('10'!$AG$33:$AG$38,$AK5,'10'!$AF$33:$AF$38,1))</f>
        <v>100</v>
      </c>
      <c r="BF5" s="102">
        <f>IF(COUNTIFS('11'!$AG$29:$AG$34,$AK5,'11'!$AF$29:$AF$34,1)=0,"",SUMIFS('11'!$AC$29:$AC$34,'11'!$AG$29:$AG$34,$AK5,'11'!$AF$29:$AF$34,1)/COUNTIFS('11'!$AG$29:$AG$34,$AK5,'11'!$AF$29:$AF$34,1))</f>
        <v>100</v>
      </c>
      <c r="BG5" s="102">
        <f>IF(COUNTIFS('12'!$AG$26:$AG$31,$AK5,'12'!$AF$26:$AF$31,1)=0,"",SUMIFS('12'!$AC$26:$AC$31,'12'!$AG$26:$AG$31,$AK5,'12'!$AF$26:$AF$31,1)/COUNTIFS('12'!$AG$26:$AG$31,$AK5,'12'!$AF$26:$AF$31,1))</f>
        <v>100</v>
      </c>
      <c r="BH5" s="102">
        <f>IF(COUNTIFS('13'!$AG$25:$AG$30,$AK5,'13'!$AF$25:$AF$30,1)=0,"",SUMIFS('13'!$AC$25:$AC$30,'13'!$AG$25:$AG$30,$AK5,'13'!$AF$25:$AF$30,1)/COUNTIFS('13'!$AG$25:$AG$30,$AK5,'13'!$AF$25:$AF$30,1))</f>
        <v>100</v>
      </c>
      <c r="BI5" s="102" t="str">
        <f>IF(COUNTIFS('14'!$AG$25:$AG$30,$AK5,'14'!$AF$25:$AF$30,1)=0,"",SUMIFS('14'!$AC$25:$AC$30,'14'!$AG$25:$AG$30,$AK5,'14'!$AF$25:$AF$30,1)/COUNTIFS('14'!$AG$25:$AG$30,$AK5,'14'!$AF$25:$AF$30,1))</f>
        <v/>
      </c>
      <c r="BJ5" s="102">
        <f>IF(COUNTIFS('15'!$AG$29:$AG$34,$AK5,'15'!$AF$29:$AF$34,1)=0,"",SUMIFS('15'!$AC$29:$AC$34,'15'!$AG$29:$AG$34,$AK5,'15'!$AF$29:$AF$34,1)/COUNTIFS('15'!$AG$29:$AG$34,$AK5,'15'!$AF$29:$AF$34,1))</f>
        <v>100</v>
      </c>
      <c r="BK5" s="102">
        <f>IF(COUNTIFS('16'!$AG$28:$AG$33,$AK5,'16'!$AF$28:$AF$33,1)=0,"",SUMIFS('16'!$AC$28:$AC$33,'16'!$AG$28:$AG$33,$AK5,'16'!$AF$28:$AF$33,1)/COUNTIFS('16'!$AG$28:$AG$33,$AK5,'16'!$AF$28:$AF$33,1))</f>
        <v>100</v>
      </c>
      <c r="BL5" s="102">
        <f>IF(COUNTIFS('17'!$AG$44:$AG$49,$AK5,'17'!$AF$44:$AF$49,1)=0,"",SUMIFS('17'!$AC$44:$AC$49,'17'!$AG$44:$AG$49,$AK5,'17'!$AF$44:$AF$49,1)/COUNTIFS('17'!$AG$44:$AG$49,$AK5,'17'!$AF$44:$AF$49,1))</f>
        <v>100</v>
      </c>
      <c r="BM5" s="102">
        <f>IF(COUNTIFS('18'!$AG$28:$AG$33,$AK5,'18'!$AF$28:$AF$33,1)=0,"",SUMIFS('18'!$AC$28:$AC$33,'18'!$AG$28:$AG$33,$AK5,'18'!$AF$28:$AF$33,1)/COUNTIFS('18'!$AG$28:$AG$33,$AK5,'18'!$AF$28:$AF$33,1))</f>
        <v>100</v>
      </c>
      <c r="BN5" s="102">
        <f>IF(COUNTIFS('19'!$AG$33:$AG$38,$AK5,'19'!$AF$33:$AF$38,1)=0,"",SUMIFS('19'!$AC$33:$AC$38,'19'!$AG$33:$AG$38,$AK5,'19'!$AF$33:$AF$38,1)/COUNTIFS('19'!$AG$33:$AG$38,$AK5,'19'!$AF$33:$AF$38,1))</f>
        <v>100</v>
      </c>
      <c r="BO5" s="102">
        <f>IF(COUNTIFS('20'!$AG$28:$AG$33,$AK5,'20'!$AF$28:$AF$33,1)=0,"",SUMIFS('20'!$AC$28:$AC$33,'20'!$AG$28:$AG$33,$AK5,'20'!$AF$28:$AF$33,1)/COUNTIFS('20'!$AG$28:$AG$33,$AK5,'20'!$AF$28:$AF$33,1))</f>
        <v>100</v>
      </c>
      <c r="BP5" s="102">
        <f>IF(COUNTIFS('21'!$AG$32:$AG$37,$AK5,'21'!$AF$32:$AF$37,1)=0,"",SUMIFS('21'!$AC$32:$AC$37,'21'!$AG$32:$AG$37,$AK5,'21'!$AF$32:$AF$37,1)/COUNTIFS('21'!$AG$32:$AG$37,$AK5,'21'!$AF$32:$AF$37,1))</f>
        <v>100</v>
      </c>
      <c r="BQ5" s="102">
        <f>IF(COUNTIFS('22'!$AG$35:$AG$40,$AK5,'22'!$AF$35:$AF$40,1)=0,"",SUMIFS('22'!$AC$35:$AC$40,'22'!$AG$35:$AG$40,$AK5,'22'!$AF$35:$AF$40,1)/COUNTIFS('22'!$AG$35:$AG$40,$AK5,'22'!$AF$35:$AF$40,1))</f>
        <v>100</v>
      </c>
      <c r="BR5" s="102">
        <f>IF(COUNTIFS('23'!$AG$30:$AG$35,$AK5,'23'!$AF$30:$AF$35,1)=0,"",SUMIFS('23'!$AC$30:$AC$35,'23'!$AG$30:$AG$35,$AK5,'23'!$AF$30:$AF$35,1)/COUNTIFS('23'!$AG$30:$AG$35,$AK5,'23'!$AF$30:$AF$35,1))</f>
        <v>100</v>
      </c>
      <c r="BS5" s="102">
        <f>IF(COUNTIFS('24'!$AG$25:$AG$30,$AK5,'24'!$AF$25:$AF$30,1)=0,"",SUMIFS('24'!$AC$25:$AC$30,'24'!$AG$25:$AG$30,$AK5,'24'!$AF$25:$AF$30,1)/COUNTIFS('24'!$AG$25:$AG$30,$AK5,'24'!$AF$25:$AF$30,1))</f>
        <v>100</v>
      </c>
      <c r="BT5" s="102">
        <f>IF(COUNTIFS('25'!$AG$27:$AG$32,$AK5,'25'!$AF$27:$AF$32,1)=0,"",SUMIFS('25'!$AC$27:$AC$32,'25'!$AG$27:$AG$32,$AK5,'25'!$AF$27:$AF$32,1)/COUNTIFS('25'!$AG$27:$AG$32,$AK5,'25'!$AF$27:$AF$32,1))</f>
        <v>100</v>
      </c>
      <c r="BU5" s="102" t="str">
        <f>IF(COUNTIFS('26'!$AG$25:$AG$30,$AK5,'26'!$AF$25:$AF$30,1)=0,"",SUMIFS('26'!$AC$25:$AC$30,'26'!$AG$25:$AG$30,$AK5,'26'!$AF$25:$AF$30,1)/COUNTIFS('26'!$AG$25:$AG$30,$AK5,'26'!$AF$25:$AF$30,1))</f>
        <v/>
      </c>
      <c r="BV5" s="102" t="str">
        <f>IF(COUNTIFS('27'!$AG$25:$AG$30,$AK5,'27'!$AF$25:$AF$30,1)=0,"",SUMIFS('27'!$AC$25:$AC$30,'27'!$AG$25:$AG$30,$AK5,'27'!$AF$25:$AF$30,1)/COUNTIFS('27'!$AG$25:$AG$30,$AK5,'27'!$AF$25:$AF$30,1))</f>
        <v/>
      </c>
      <c r="BW5" s="102" t="str">
        <f>IF(COUNTIFS('28'!$AG$25:$AG$30,$AK5,'28'!$AF$25:$AF$30,1)=0,"",SUMIFS('28'!$AC$25:$AC$30,'28'!$AG$25:$AG$30,$AK5,'28'!$AF$25:$AF$30,1)/COUNTIFS('28'!$AG$25:$AG$30,$AK5,'28'!$AF$25:$AF$30,1))</f>
        <v/>
      </c>
      <c r="BX5" s="102" t="str">
        <f>IF(COUNTIFS('29'!$AG$25:$AG$30,$AK5,'29'!$AF$25:$AF$30,1)=0,"",SUMIFS('29'!$AC$25:$AC$30,'29'!$AG$25:$AG$30,$AK5,'29'!$AF$25:$AF$30,1)/COUNTIFS('29'!$AG$25:$AG$30,$AK5,'29'!$AF$25:$AF$30,1))</f>
        <v/>
      </c>
      <c r="BY5" s="102" t="str">
        <f>IF(COUNTIFS('30'!$AG$25:$AG$30,$AK5,'30'!$AF$25:$AF$30,1)=0,"",SUMIFS('30'!$AC$25:$AC$30,'30'!$AG$25:$AG$30,$AK5,'30'!$AF$25:$AF$30,1)/COUNTIFS('30'!$AG$25:$AG$30,$AK5,'30'!$AF$25:$AF$30,1))</f>
        <v/>
      </c>
      <c r="BZ5" s="102" t="str">
        <f>IF(COUNTIFS('31'!$AG$28:$AG$33,$AK5,'31'!$AF$28:$AF$33,1)=0,"",SUMIFS('31'!$AC$28:$AC$33,'31'!$AG$28:$AG$33,$AK5,'31'!$AF$28:$AF$33,1)/COUNTIFS('31'!$AG$28:$AG$33,$AK5,'31'!$AF$28:$AF$33,1))</f>
        <v/>
      </c>
      <c r="CA5" s="102" t="s">
        <v>534</v>
      </c>
      <c r="CB5" s="102">
        <f t="shared" ref="CB5:CB8" si="6">COUNTIF($J$51:$J$61,CA5)</f>
        <v>4</v>
      </c>
    </row>
    <row r="6">
      <c r="A6" s="210">
        <f>IF(LARGE($Y$5:$Y$17,1)=0,"",1)</f>
        <v>1</v>
      </c>
      <c r="B6" s="210" t="str">
        <f t="shared" ref="B6:B18" si="7">IF(A6="","",INDEX($X$5:$X$17,MATCH(LARGE($Z$5:$Z$17,A6),$Z$5:$Z$17,0)))</f>
        <v>Large Group</v>
      </c>
      <c r="C6" s="210">
        <f t="shared" ref="C6:C18" si="8">IF(B6="","",INDEX($Y$5:$Y$17,MATCH(B6,$X$5:$X$17,0)))</f>
        <v>120</v>
      </c>
      <c r="D6" s="211">
        <f t="shared" ref="D6:D18" si="9">IF(C6="","",C6/$C$19)</f>
        <v>0.3428571429</v>
      </c>
      <c r="E6" s="211">
        <f t="shared" ref="E6:E18" si="10">IF(D6="","",SUM($D$6:D6))</f>
        <v>0.3428571429</v>
      </c>
      <c r="X6" s="102" t="s">
        <v>22</v>
      </c>
      <c r="Y6" s="102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$24,X6)+COUNTIF('11'!$D$4:$D$20,X6)+COUNTIF('12'!$D$4:$D$17,X6)+COUNTIF('13'!$D$4:$D$16,X6)+COUNTIF('14'!$D$4:$D$16,X6)+COUNTIF('15'!$D$4:$D$20,X6)+COUNTIF('16'!$D$4:$D$19,X6)+COUNTIF('17'!$D$14:$D$35,X6)+COUNTIF('18'!$D$4:$D$19,X6)+COUNTIF('19'!$D$4:$D$24,X6)+COUNTIF('20'!$D$4:$D$19,X6)+COUNTIF('21'!$D$4:$D$23,X6)+COUNTIF('22'!$D$4:$D$26,X6)+COUNTIF('23'!$D$4:$D$21,X6)+COUNTIF('24'!$D$4:$D$16,X6)+COUNTIF('25'!$D$4:$D$18,X6)+COUNTIF('26'!$D$4:$D$16,X6)+COUNTIF('27'!$D$4:$D$16,X6)+COUNTIF('28'!$D$4:$D$16,X6)+COUNTIF('29'!$D$4:$D$16,X6)+COUNTIF('30'!$D$4:$D$16,X6)+COUNTIF('31'!$D$4:$D$17,X6)</f>
        <v>120</v>
      </c>
      <c r="Z6" s="102">
        <f t="shared" si="1"/>
        <v>120.00012</v>
      </c>
      <c r="AA6" s="102" t="s">
        <v>535</v>
      </c>
      <c r="AB6" s="102" t="s">
        <v>532</v>
      </c>
      <c r="AC6" s="102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$26:$O$29,AA6)+COUNTIF('11'!$O$22:$O$25,AA6)+COUNTIF('12'!$O$19:$O$22,AA6)+COUNTIF('13'!$O$18:$O$21,AA6)+COUNTIF('14'!$O$18:$O$21,AA6)+COUNTIF('15'!$O$22:$O$25,AA6)+COUNTIF('16'!$O$21:$O$24,AA6)+COUNTIF('17'!$O$37:$O$40,AA6)+COUNTIF('18'!$O$21:$O$24,AA6)+COUNTIF('19'!$O$26:$O$29,AA6)+COUNTIF('20'!$O$21:$O$24,AA6)+COUNTIF('21'!$O$25:$O$28,AA6)+COUNTIF('22'!$O$28:$O$31,AA6)+COUNTIF('23'!$O$23:$O$26,AA6)+COUNTIF('24'!$O$18:$O$21,AA6)+COUNTIF('25'!$O$20:$O$23,AA6)+COUNTIF('26'!$O$18:$O$21,AA6)+COUNTIF('27'!$O$18:$O$21,AA6)+COUNTIF('28'!$O$18:$O$21,AA6)+COUNTIF('29'!$O$18:$O$21,AA6)+COUNTIF('30'!$O$18:$O$21,AA6)+COUNTIF('31'!$O$19:$O$22,AA6)</f>
        <v>0</v>
      </c>
      <c r="AD6" s="102">
        <f t="shared" si="2"/>
        <v>0.0001</v>
      </c>
      <c r="AE6" s="102" t="s">
        <v>535</v>
      </c>
      <c r="AF6" s="102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$24,AE6)+COUNTIF('11'!$L$4:$L$20,AE6)+COUNTIF('12'!$L$4:$L$17,AE6)+COUNTIF('13'!$L$4:$L$16,AE6)+COUNTIF('14'!$L$4:$L$16,AE6)+COUNTIF('15'!$L$4:$L$20,AE6)+COUNTIF('16'!$L$4:$L$19,AE6)+COUNTIF('17'!$L$14:$L$35,AE6)+COUNTIF('18'!$L$4:$L$19,AE6)+COUNTIF('19'!$L$4:$L$24,AE6)+COUNTIF('20'!$L$4:$L$19,AE6)+COUNTIF('21'!$L$4:$L$23,AE6)+COUNTIF('22'!$L$4:$L$26,AE6)+COUNTIF('23'!$L$4:$L$21,AE6)+COUNTIF('24'!$L$4:$L$16,AE6)+COUNTIF('25'!$L$4:$L$18,AE6)+COUNTIF('26'!$L$4:$L$16,AE6)+COUNTIF('27'!$L$4:$L$16,AE6)+COUNTIF('28'!$L$4:$L$16,AE6)+COUNTIF('29'!$L$4:$L$16,AE6)+COUNTIF('30'!$L$4:$L$16,AE6)+COUNTIF('31'!$L$4:$L$17,AE6)</f>
        <v>0</v>
      </c>
      <c r="AG6" s="102">
        <f t="shared" si="3"/>
        <v>0.00004</v>
      </c>
      <c r="AH6" s="102" t="s">
        <v>81</v>
      </c>
      <c r="AI6" s="102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$24,AH6)+COUNTIF('11'!$M$4:$M$20,AH6)+COUNTIF('12'!$M$4:$M$17,AH6)+COUNTIF('13'!$M$4:$M$16,AH6)+COUNTIF('14'!$M$4:$M$16,AH6)+COUNTIF('15'!$M$4:$M$20,AH6)+COUNTIF('16'!$M$4:$M$19,AH6)+COUNTIF('17'!$M$14:$M$35,AH6)+COUNTIF('18'!$M$4:$M$19,AH6)+COUNTIF('19'!$M$4:$M$24,AH6)+COUNTIF('20'!$M$4:$M$19,AH6)+COUNTIF('21'!$M$4:$M$23,AH6)+COUNTIF('22'!$M$4:$M$26,AH6)+COUNTIF('23'!$M$4:$M$21,AH6)+COUNTIF('24'!$M$4:$M$16,AH6)+COUNTIF('25'!$M$4:$M$18,AH6)+COUNTIF('26'!$M$4:$M$16,AH6)+COUNTIF('27'!$M$4:$M$16,AH6)+COUNTIF('28'!$M$4:$M$16,AH6)+COUNTIF('29'!$M$4:$M$16,AH6)+COUNTIF('30'!$M$4:$M$16,AH6)+COUNTIF('31'!$M$4:$M$17,AH6)</f>
        <v>12</v>
      </c>
      <c r="AJ6" s="102">
        <f t="shared" si="4"/>
        <v>12.00005</v>
      </c>
      <c r="AK6" s="102" t="s">
        <v>535</v>
      </c>
      <c r="AL6" s="102" t="s">
        <v>532</v>
      </c>
      <c r="AM6" s="102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$33:$AG$38,AK6,'10'!$AF$33:$AF$38,1)+COUNTIFS('11'!$AG$29:$AG$34,AK6,'11'!$AF$29:$AF$34,1)+COUNTIFS('12'!$AG$26:$AG$31,AK6,'12'!$AF$26:$AF$31,1)+COUNTIFS('13'!$AG$25:$AG$30,AK6,'13'!$AF$25:$AF$30,1)+COUNTIFS('14'!$AG$25:$AG$30,AK6,'14'!$AF$25:$AF$30,1)+COUNTIFS('15'!$AG$29:$AG$34,AK6,'15'!$AF$29:$AF$34,1)+COUNTIFS('16'!$AG$28:$AG$33,AK6,'16'!$AF$28:$AF$33,1)+COUNTIFS('17'!$AG$44:$AG$49,AK6,'17'!$AF$44:$AF$49,1)+COUNTIFS('18'!$AG$28:$AG$33,AK6,'18'!$AF$28:$AF$33,1)+COUNTIFS('19'!$AG$33:$AG$38,AK6,'19'!$AF$33:$AF$38,1)+COUNTIFS('20'!$AG$28:$AG$33,AK6,'20'!$AF$28:$AF$33,1)+COUNTIFS('21'!$AG$32:$AG$37,AK6,'21'!$AF$32:$AF$37,1)+COUNTIFS('22'!$AG$35:$AG$40,AK6,'22'!$AF$35:$AF$40,1)+COUNTIFS('23'!$AG$30:$AG$35,AK6,'23'!$AF$30:$AF$35,1)+COUNTIFS('24'!$AG$25:$AG$30,AK6,'24'!$AF$25:$AF$30,1)+COUNTIFS('25'!$AG$27:$AG$32,AK6,'25'!$AF$27:$AF$32,1)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102" t="str">
        <f t="shared" si="5"/>
        <v/>
      </c>
      <c r="AO6" s="102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$33:$L$38,'10'!$AG$33:$AG$38,AK6,'10'!$AF$33:$AF$38,1)+SUMIFS('11'!$L$29:$L$34,'11'!$AG$29:$AG$34,AK6,'11'!$AF$29:$AF$34,1)+SUMIFS('12'!$L$26:$L$31,'12'!$AG$26:$AG$31,AK6,'12'!$AF$26:$AF$31,1)+SUMIFS('13'!$L$25:$L$30,'13'!$AG$25:$AG$30,AK6,'13'!$AF$25:$AF$30,1)+SUMIFS('14'!$L$25:$L$30,'14'!$AG$25:$AG$30,AK6,'14'!$AF$25:$AF$30,1)+SUMIFS('15'!$L$29:$L$34,'15'!$AG$29:$AG$34,AK6,'15'!$AF$29:$AF$34,1)+SUMIFS('16'!$L$28:$L$33,'16'!$AG$28:$AG$33,AK6,'16'!$AF$28:$AF$33,1)+SUMIFS('17'!$L$44:$L$49,'17'!$AG$44:$AG$49,AK6,'17'!$AF$44:$AF$49,1)+SUMIFS('18'!$L$28:$L$33,'18'!$AG$28:$AG$33,AK6,'18'!$AF$28:$AF$33,1)+SUMIFS('19'!$L$33:$L$38,'19'!$AG$33:$AG$38,AK6,'19'!$AF$33:$AF$38,1)+SUMIFS('20'!$L$28:$L$33,'20'!$AG$28:$AG$33,AK6,'20'!$AF$28:$AF$33,1)+SUMIFS('21'!$L$32:$L$37,'21'!$AG$32:$AG$37,AK6,'21'!$AF$32:$AF$37,1)+SUMIFS('22'!$L$35:$L$40,'22'!$AG$35:$AG$40,AK6,'22'!$AF$35:$AF$40,1)+SUMIFS('23'!$L$30:$L$35,'23'!$AG$30:$AG$35,AK6,'23'!$AF$30:$AF$35,1)+SUMIFS('24'!$L$25:$L$30,'24'!$AG$25:$AG$30,AK6,'24'!$AF$25:$AF$30,1)+SUMIFS('25'!$L$27:$L$32,'25'!$AG$27:$AG$32,AK6,'25'!$AF$27:$AF$32,1)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102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$33:$M$38,'10'!$AG$33:$AG$38,AK6,'10'!$AF$33:$AF$38,1)+SUMIFS('11'!$M$29:$M$34,'11'!$AG$29:$AG$34,AK6,'11'!$AF$29:$AF$34,1)+SUMIFS('12'!$M$26:$M$31,'12'!$AG$26:$AG$31,AK6,'12'!$AF$26:$AF$31,1)+SUMIFS('13'!$M$25:$M$30,'13'!$AG$25:$AG$30,AK6,'13'!$AF$25:$AF$30,1)+SUMIFS('14'!$M$25:$M$30,'14'!$AG$25:$AG$30,AK6,'14'!$AF$25:$AF$30,1)+SUMIFS('15'!$M$29:$M$34,'15'!$AG$29:$AG$34,AK6,'15'!$AF$29:$AF$34,1)+SUMIFS('16'!$M$28:$M$33,'16'!$AG$28:$AG$33,AK6,'16'!$AF$28:$AF$33,1)+SUMIFS('17'!$M$44:$M$49,'17'!$AG$44:$AG$49,AK6,'17'!$AF$44:$AF$49,1)+SUMIFS('18'!$M$28:$M$33,'18'!$AG$28:$AG$33,AK6,'18'!$AF$28:$AF$33,1)+SUMIFS('19'!$M$33:$M$38,'19'!$AG$33:$AG$38,AK6,'19'!$AF$33:$AF$38,1)+SUMIFS('20'!$M$28:$M$33,'20'!$AG$28:$AG$33,AK6,'20'!$AF$28:$AF$33,1)+SUMIFS('21'!$M$32:$M$37,'21'!$AG$32:$AG$37,AK6,'21'!$AF$32:$AF$37,1)+SUMIFS('22'!$M$35:$M$40,'22'!$AG$35:$AG$40,AK6,'22'!$AF$35:$AF$40,1)+SUMIFS('23'!$M$30:$M$35,'23'!$AG$30:$AG$35,AK6,'23'!$AF$30:$AF$35,1)+SUMIFS('24'!$M$25:$M$30,'24'!$AG$25:$AG$30,AK6,'24'!$AF$25:$AF$30,1)+SUMIFS('25'!$M$27:$M$32,'25'!$AG$27:$AG$32,AK6,'25'!$AF$27:$AF$32,1)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102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$33:$N$38,'10'!$AG$33:$AG$38,AK6,'10'!$AF$33:$AF$38,1)+SUMIFS('11'!$N$29:$N$34,'11'!$AG$29:$AG$34,AK6,'11'!$AF$29:$AF$34,1)+SUMIFS('12'!$N$26:$N$31,'12'!$AG$26:$AG$31,AK6,'12'!$AF$26:$AF$31,1)+SUMIFS('13'!$N$25:$N$30,'13'!$AG$25:$AG$30,AK6,'13'!$AF$25:$AF$30,1)+SUMIFS('14'!$N$25:$N$30,'14'!$AG$25:$AG$30,AK6,'14'!$AF$25:$AF$30,1)+SUMIFS('15'!$N$29:$N$34,'15'!$AG$29:$AG$34,AK6,'15'!$AF$29:$AF$34,1)+SUMIFS('16'!$N$28:$N$33,'16'!$AG$28:$AG$33,AK6,'16'!$AF$28:$AF$33,1)+SUMIFS('17'!$N$44:$N$49,'17'!$AG$44:$AG$49,AK6,'17'!$AF$44:$AF$49,1)+SUMIFS('18'!$N$28:$N$33,'18'!$AG$28:$AG$33,AK6,'18'!$AF$28:$AF$33,1)+SUMIFS('19'!$N$33:$N$38,'19'!$AG$33:$AG$38,AK6,'19'!$AF$33:$AF$38,1)+SUMIFS('20'!$N$28:$N$33,'20'!$AG$28:$AG$33,AK6,'20'!$AF$28:$AF$33,1)+SUMIFS('21'!$N$32:$N$37,'21'!$AG$32:$AG$37,AK6,'21'!$AF$32:$AF$37,1)+SUMIFS('22'!$N$35:$N$40,'22'!$AG$35:$AG$40,AK6,'22'!$AF$35:$AF$40,1)+SUMIFS('23'!$N$30:$N$35,'23'!$AG$30:$AG$35,AK6,'23'!$AF$30:$AF$35,1)+SUMIFS('24'!$N$25:$N$30,'24'!$AG$25:$AG$30,AK6,'24'!$AF$25:$AF$30,1)+SUMIFS('25'!$N$27:$N$32,'25'!$AG$27:$AG$32,AK6,'25'!$AF$27:$AF$32,1)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102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$33:$O$38,'10'!$AG$33:$AG$38,AK6,'10'!$AF$33:$AF$38,1)+SUMIFS('11'!$O$29:$O$34,'11'!$AG$29:$AG$34,AK6,'11'!$AF$29:$AF$34,1)+SUMIFS('12'!$O$26:$O$31,'12'!$AG$26:$AG$31,AK6,'12'!$AF$26:$AF$31,1)+SUMIFS('13'!$O$25:$O$30,'13'!$AG$25:$AG$30,AK6,'13'!$AF$25:$AF$30,1)+SUMIFS('14'!$O$25:$O$30,'14'!$AG$25:$AG$30,AK6,'14'!$AF$25:$AF$30,1)+SUMIFS('15'!$O$29:$O$34,'15'!$AG$29:$AG$34,AK6,'15'!$AF$29:$AF$34,1)+SUMIFS('16'!$O$28:$O$33,'16'!$AG$28:$AG$33,AK6,'16'!$AF$28:$AF$33,1)+SUMIFS('17'!$O$44:$O$49,'17'!$AG$44:$AG$49,AK6,'17'!$AF$44:$AF$49,1)+SUMIFS('18'!$O$28:$O$33,'18'!$AG$28:$AG$33,AK6,'18'!$AF$28:$AF$33,1)+SUMIFS('19'!$O$33:$O$38,'19'!$AG$33:$AG$38,AK6,'19'!$AF$33:$AF$38,1)+SUMIFS('20'!$O$28:$O$33,'20'!$AG$28:$AG$33,AK6,'20'!$AF$28:$AF$33,1)+SUMIFS('21'!$O$32:$O$37,'21'!$AG$32:$AG$37,AK6,'21'!$AF$32:$AF$37,1)+SUMIFS('22'!$O$35:$O$40,'22'!$AG$35:$AG$40,AK6,'22'!$AF$35:$AF$40,1)+SUMIFS('23'!$O$30:$O$35,'23'!$AG$30:$AG$35,AK6,'23'!$AF$30:$AF$35,1)+SUMIFS('24'!$O$25:$O$30,'24'!$AG$25:$AG$30,AK6,'24'!$AF$25:$AF$30,1)+SUMIFS('25'!$O$27:$O$32,'25'!$AG$27:$AG$32,AK6,'25'!$AF$27:$AF$32,1)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102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$33:$P$38,'10'!$AG$33:$AG$38,AK6,'10'!$AF$33:$AF$38,1)+SUMIFS('11'!$P$29:$P$34,'11'!$AG$29:$AG$34,AK6,'11'!$AF$29:$AF$34,1)+SUMIFS('12'!$P$26:$P$31,'12'!$AG$26:$AG$31,AK6,'12'!$AF$26:$AF$31,1)+SUMIFS('13'!$P$25:$P$30,'13'!$AG$25:$AG$30,AK6,'13'!$AF$25:$AF$30,1)+SUMIFS('14'!$P$25:$P$30,'14'!$AG$25:$AG$30,AK6,'14'!$AF$25:$AF$30,1)+SUMIFS('15'!$P$29:$P$34,'15'!$AG$29:$AG$34,AK6,'15'!$AF$29:$AF$34,1)+SUMIFS('16'!$P$28:$P$33,'16'!$AG$28:$AG$33,AK6,'16'!$AF$28:$AF$33,1)+SUMIFS('17'!$P$44:$P$49,'17'!$AG$44:$AG$49,AK6,'17'!$AF$44:$AF$49,1)+SUMIFS('18'!$P$28:$P$33,'18'!$AG$28:$AG$33,AK6,'18'!$AF$28:$AF$33,1)+SUMIFS('19'!$P$33:$P$38,'19'!$AG$33:$AG$38,AK6,'19'!$AF$33:$AF$38,1)+SUMIFS('20'!$P$28:$P$33,'20'!$AG$28:$AG$33,AK6,'20'!$AF$28:$AF$33,1)+SUMIFS('21'!$P$32:$P$37,'21'!$AG$32:$AG$37,AK6,'21'!$AF$32:$AF$37,1)+SUMIFS('22'!$P$35:$P$40,'22'!$AG$35:$AG$40,AK6,'22'!$AF$35:$AF$40,1)+SUMIFS('23'!$P$30:$P$35,'23'!$AG$30:$AG$35,AK6,'23'!$AF$30:$AF$35,1)+SUMIFS('24'!$P$25:$P$30,'24'!$AG$25:$AG$30,AK6,'24'!$AF$25:$AF$30,1)+SUMIFS('25'!$P$27:$P$32,'25'!$AG$27:$AG$32,AK6,'25'!$AF$27:$AF$32,1)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102">
        <v>5.0</v>
      </c>
      <c r="AV6" s="102" t="str">
        <f>IF(COUNTIFS('1'!$AG$29:$AG$34,$AK6,'1'!$AF$29:$AF$34,1)=0,"",SUMIFS('1'!$AC$29:$AC$34,'1'!$AG$29:$AG$34,$AK6,'1'!$AF$29:$AF$34,1)/COUNTIFS('1'!$AG$29:$AG$34,$AK6,'1'!$AF$29:$AF$34,1))</f>
        <v/>
      </c>
      <c r="AW6" s="102" t="str">
        <f>IF(COUNTIFS('2'!$AG$27:$AG$32,$AK6,'2'!$AF$27:$AF$32,1)=0,"",SUMIFS('2'!$AC$27:$AC$32,'2'!$AG$27:$AG$32,$AK6,'2'!$AF$27:$AF$32,1)/COUNTIFS('2'!$AG$27:$AG$32,$AK6,'2'!$AF$27:$AF$32,1))</f>
        <v/>
      </c>
      <c r="AX6" s="102" t="str">
        <f>IF(COUNTIFS('3'!$AG$74:$AG$79,$AK6,'3'!$AF$74:$AF$79,1)=0,"",SUMIFS('3'!$AC$74:$AC$79,'3'!$AG$74:$AG$79,$AK6,'3'!$AF$74:$AF$79,1)/COUNTIFS('3'!$AG$74:$AG$79,$AK6,'3'!$AF$74:$AF$79,1))</f>
        <v/>
      </c>
      <c r="AY6" s="102" t="str">
        <f>IF(COUNTIFS('4'!$AG$86:$AG$91,$AK6,'4'!$AF$86:$AF$91,1)=0,"",SUMIFS('4'!$AC$86:$AC$91,'4'!$AG$86:$AG$91,$AK6,'4'!$AF$86:$AF$91,1)/COUNTIFS('4'!$AG$86:$AG$91,$AK6,'4'!$AF$86:$AF$91,1))</f>
        <v/>
      </c>
      <c r="AZ6" s="102" t="str">
        <f>IF(COUNTIFS('5'!$AG$27:$AG$32,$AK6,'5'!$AF$27:$AF$32,1)=0,"",SUMIFS('5'!$AC$27:$AC$32,'5'!$AG$27:$AG$32,$AK6,'5'!$AF$27:$AF$32,1)/COUNTIFS('5'!$AG$27:$AG$32,$AK6,'5'!$AF$27:$AF$32,1))</f>
        <v/>
      </c>
      <c r="BA6" s="102" t="str">
        <f>IF(COUNTIFS('6'!$AG$31:$AG$36,$AK6,'6'!$AF$31:$AF$36,1)=0,"",SUMIFS('6'!$AC$31:$AC$36,'6'!$AG$31:$AG$36,$AK6,'6'!$AF$31:$AF$36,1)/COUNTIFS('6'!$AG$31:$AG$36,$AK6,'6'!$AF$31:$AF$36,1))</f>
        <v/>
      </c>
      <c r="BB6" s="102" t="str">
        <f>IF(COUNTIFS('7'!$AG$30:$AG$35,$AK6,'7'!$AF$30:$AF$35,1)=0,"",SUMIFS('7'!$AC$30:$AC$35,'7'!$AG$30:$AG$35,$AK6,'7'!$AF$30:$AF$35,1)/COUNTIFS('7'!$AG$30:$AG$35,$AK6,'7'!$AF$30:$AF$35,1))</f>
        <v/>
      </c>
      <c r="BC6" s="102" t="str">
        <f>IF(COUNTIFS('8'!$AG$31:$AG$36,$AK6,'8'!$AF$31:$AF$36,1)=0,"",SUMIFS('8'!$AC$31:$AC$36,'8'!$AG$31:$AG$36,$AK6,'8'!$AF$31:$AF$36,1)/COUNTIFS('8'!$AG$31:$AG$36,$AK6,'8'!$AF$31:$AF$36,1))</f>
        <v/>
      </c>
      <c r="BD6" s="102" t="str">
        <f>IF(COUNTIFS('9'!$AG$33:$AG$38,$AK6,'9'!$AF$33:$AF$38,1)=0,"",SUMIFS('9'!$AC$33:$AC$38,'9'!$AG$33:$AG$38,$AK6,'9'!$AF$33:$AF$38,1)/COUNTIFS('9'!$AG$33:$AG$38,$AK6,'9'!$AF$33:$AF$38,1))</f>
        <v/>
      </c>
      <c r="BE6" s="102" t="str">
        <f>IF(COUNTIFS('10'!$AG$33:$AG$38,$AK6,'10'!$AF$33:$AF$38,1)=0,"",SUMIFS('10'!$AC$33:$AC$38,'10'!$AG$33:$AG$38,$AK6,'10'!$AF$33:$AF$38,1)/COUNTIFS('10'!$AG$33:$AG$38,$AK6,'10'!$AF$33:$AF$38,1))</f>
        <v/>
      </c>
      <c r="BF6" s="102" t="str">
        <f>IF(COUNTIFS('11'!$AG$29:$AG$34,$AK6,'11'!$AF$29:$AF$34,1)=0,"",SUMIFS('11'!$AC$29:$AC$34,'11'!$AG$29:$AG$34,$AK6,'11'!$AF$29:$AF$34,1)/COUNTIFS('11'!$AG$29:$AG$34,$AK6,'11'!$AF$29:$AF$34,1))</f>
        <v/>
      </c>
      <c r="BG6" s="102" t="str">
        <f>IF(COUNTIFS('12'!$AG$26:$AG$31,$AK6,'12'!$AF$26:$AF$31,1)=0,"",SUMIFS('12'!$AC$26:$AC$31,'12'!$AG$26:$AG$31,$AK6,'12'!$AF$26:$AF$31,1)/COUNTIFS('12'!$AG$26:$AG$31,$AK6,'12'!$AF$26:$AF$31,1))</f>
        <v/>
      </c>
      <c r="BH6" s="102" t="str">
        <f>IF(COUNTIFS('13'!$AG$25:$AG$30,$AK6,'13'!$AF$25:$AF$30,1)=0,"",SUMIFS('13'!$AC$25:$AC$30,'13'!$AG$25:$AG$30,$AK6,'13'!$AF$25:$AF$30,1)/COUNTIFS('13'!$AG$25:$AG$30,$AK6,'13'!$AF$25:$AF$30,1))</f>
        <v/>
      </c>
      <c r="BI6" s="102" t="str">
        <f>IF(COUNTIFS('14'!$AG$25:$AG$30,$AK6,'14'!$AF$25:$AF$30,1)=0,"",SUMIFS('14'!$AC$25:$AC$30,'14'!$AG$25:$AG$30,$AK6,'14'!$AF$25:$AF$30,1)/COUNTIFS('14'!$AG$25:$AG$30,$AK6,'14'!$AF$25:$AF$30,1))</f>
        <v/>
      </c>
      <c r="BJ6" s="102" t="str">
        <f>IF(COUNTIFS('15'!$AG$29:$AG$34,$AK6,'15'!$AF$29:$AF$34,1)=0,"",SUMIFS('15'!$AC$29:$AC$34,'15'!$AG$29:$AG$34,$AK6,'15'!$AF$29:$AF$34,1)/COUNTIFS('15'!$AG$29:$AG$34,$AK6,'15'!$AF$29:$AF$34,1))</f>
        <v/>
      </c>
      <c r="BK6" s="102" t="str">
        <f>IF(COUNTIFS('16'!$AG$28:$AG$33,$AK6,'16'!$AF$28:$AF$33,1)=0,"",SUMIFS('16'!$AC$28:$AC$33,'16'!$AG$28:$AG$33,$AK6,'16'!$AF$28:$AF$33,1)/COUNTIFS('16'!$AG$28:$AG$33,$AK6,'16'!$AF$28:$AF$33,1))</f>
        <v/>
      </c>
      <c r="BL6" s="102" t="str">
        <f>IF(COUNTIFS('17'!$AG$44:$AG$49,$AK6,'17'!$AF$44:$AF$49,1)=0,"",SUMIFS('17'!$AC$44:$AC$49,'17'!$AG$44:$AG$49,$AK6,'17'!$AF$44:$AF$49,1)/COUNTIFS('17'!$AG$44:$AG$49,$AK6,'17'!$AF$44:$AF$49,1))</f>
        <v/>
      </c>
      <c r="BM6" s="102" t="str">
        <f>IF(COUNTIFS('18'!$AG$28:$AG$33,$AK6,'18'!$AF$28:$AF$33,1)=0,"",SUMIFS('18'!$AC$28:$AC$33,'18'!$AG$28:$AG$33,$AK6,'18'!$AF$28:$AF$33,1)/COUNTIFS('18'!$AG$28:$AG$33,$AK6,'18'!$AF$28:$AF$33,1))</f>
        <v/>
      </c>
      <c r="BN6" s="102" t="str">
        <f>IF(COUNTIFS('19'!$AG$33:$AG$38,$AK6,'19'!$AF$33:$AF$38,1)=0,"",SUMIFS('19'!$AC$33:$AC$38,'19'!$AG$33:$AG$38,$AK6,'19'!$AF$33:$AF$38,1)/COUNTIFS('19'!$AG$33:$AG$38,$AK6,'19'!$AF$33:$AF$38,1))</f>
        <v/>
      </c>
      <c r="BO6" s="102" t="str">
        <f>IF(COUNTIFS('20'!$AG$28:$AG$33,$AK6,'20'!$AF$28:$AF$33,1)=0,"",SUMIFS('20'!$AC$28:$AC$33,'20'!$AG$28:$AG$33,$AK6,'20'!$AF$28:$AF$33,1)/COUNTIFS('20'!$AG$28:$AG$33,$AK6,'20'!$AF$28:$AF$33,1))</f>
        <v/>
      </c>
      <c r="BP6" s="102" t="str">
        <f>IF(COUNTIFS('21'!$AG$32:$AG$37,$AK6,'21'!$AF$32:$AF$37,1)=0,"",SUMIFS('21'!$AC$32:$AC$37,'21'!$AG$32:$AG$37,$AK6,'21'!$AF$32:$AF$37,1)/COUNTIFS('21'!$AG$32:$AG$37,$AK6,'21'!$AF$32:$AF$37,1))</f>
        <v/>
      </c>
      <c r="BQ6" s="102" t="str">
        <f>IF(COUNTIFS('22'!$AG$35:$AG$40,$AK6,'22'!$AF$35:$AF$40,1)=0,"",SUMIFS('22'!$AC$35:$AC$40,'22'!$AG$35:$AG$40,$AK6,'22'!$AF$35:$AF$40,1)/COUNTIFS('22'!$AG$35:$AG$40,$AK6,'22'!$AF$35:$AF$40,1))</f>
        <v/>
      </c>
      <c r="BR6" s="102" t="str">
        <f>IF(COUNTIFS('23'!$AG$30:$AG$35,$AK6,'23'!$AF$30:$AF$35,1)=0,"",SUMIFS('23'!$AC$30:$AC$35,'23'!$AG$30:$AG$35,$AK6,'23'!$AF$30:$AF$35,1)/COUNTIFS('23'!$AG$30:$AG$35,$AK6,'23'!$AF$30:$AF$35,1))</f>
        <v/>
      </c>
      <c r="BS6" s="102" t="str">
        <f>IF(COUNTIFS('24'!$AG$25:$AG$30,$AK6,'24'!$AF$25:$AF$30,1)=0,"",SUMIFS('24'!$AC$25:$AC$30,'24'!$AG$25:$AG$30,$AK6,'24'!$AF$25:$AF$30,1)/COUNTIFS('24'!$AG$25:$AG$30,$AK6,'24'!$AF$25:$AF$30,1))</f>
        <v/>
      </c>
      <c r="BT6" s="102" t="str">
        <f>IF(COUNTIFS('25'!$AG$27:$AG$32,$AK6,'25'!$AF$27:$AF$32,1)=0,"",SUMIFS('25'!$AC$27:$AC$32,'25'!$AG$27:$AG$32,$AK6,'25'!$AF$27:$AF$32,1)/COUNTIFS('25'!$AG$27:$AG$32,$AK6,'25'!$AF$27:$AF$32,1))</f>
        <v/>
      </c>
      <c r="BU6" s="102" t="str">
        <f>IF(COUNTIFS('26'!$AG$25:$AG$30,$AK6,'26'!$AF$25:$AF$30,1)=0,"",SUMIFS('26'!$AC$25:$AC$30,'26'!$AG$25:$AG$30,$AK6,'26'!$AF$25:$AF$30,1)/COUNTIFS('26'!$AG$25:$AG$30,$AK6,'26'!$AF$25:$AF$30,1))</f>
        <v/>
      </c>
      <c r="BV6" s="102" t="str">
        <f>IF(COUNTIFS('27'!$AG$25:$AG$30,$AK6,'27'!$AF$25:$AF$30,1)=0,"",SUMIFS('27'!$AC$25:$AC$30,'27'!$AG$25:$AG$30,$AK6,'27'!$AF$25:$AF$30,1)/COUNTIFS('27'!$AG$25:$AG$30,$AK6,'27'!$AF$25:$AF$30,1))</f>
        <v/>
      </c>
      <c r="BW6" s="102" t="str">
        <f>IF(COUNTIFS('28'!$AG$25:$AG$30,$AK6,'28'!$AF$25:$AF$30,1)=0,"",SUMIFS('28'!$AC$25:$AC$30,'28'!$AG$25:$AG$30,$AK6,'28'!$AF$25:$AF$30,1)/COUNTIFS('28'!$AG$25:$AG$30,$AK6,'28'!$AF$25:$AF$30,1))</f>
        <v/>
      </c>
      <c r="BX6" s="102" t="str">
        <f>IF(COUNTIFS('29'!$AG$25:$AG$30,$AK6,'29'!$AF$25:$AF$30,1)=0,"",SUMIFS('29'!$AC$25:$AC$30,'29'!$AG$25:$AG$30,$AK6,'29'!$AF$25:$AF$30,1)/COUNTIFS('29'!$AG$25:$AG$30,$AK6,'29'!$AF$25:$AF$30,1))</f>
        <v/>
      </c>
      <c r="BY6" s="102" t="str">
        <f>IF(COUNTIFS('30'!$AG$25:$AG$30,$AK6,'30'!$AF$25:$AF$30,1)=0,"",SUMIFS('30'!$AC$25:$AC$30,'30'!$AG$25:$AG$30,$AK6,'30'!$AF$25:$AF$30,1)/COUNTIFS('30'!$AG$25:$AG$30,$AK6,'30'!$AF$25:$AF$30,1))</f>
        <v/>
      </c>
      <c r="BZ6" s="102" t="str">
        <f>IF(COUNTIFS('31'!$AG$28:$AG$33,$AK6,'31'!$AF$28:$AF$33,1)=0,"",SUMIFS('31'!$AC$28:$AC$33,'31'!$AG$28:$AG$33,$AK6,'31'!$AF$28:$AF$33,1)/COUNTIFS('31'!$AG$28:$AG$33,$AK6,'31'!$AF$28:$AF$33,1))</f>
        <v/>
      </c>
      <c r="CA6" s="102" t="s">
        <v>536</v>
      </c>
      <c r="CB6" s="102">
        <f t="shared" si="6"/>
        <v>0</v>
      </c>
    </row>
    <row r="7">
      <c r="A7" s="210">
        <f>IF(LARGE($Y$5:$Y$17,2)=0,"",2)</f>
        <v>2</v>
      </c>
      <c r="B7" s="210" t="str">
        <f t="shared" si="7"/>
        <v>Graduation</v>
      </c>
      <c r="C7" s="210">
        <f t="shared" si="8"/>
        <v>120</v>
      </c>
      <c r="D7" s="211">
        <f t="shared" si="9"/>
        <v>0.3428571429</v>
      </c>
      <c r="E7" s="211">
        <f t="shared" si="10"/>
        <v>0.6857142857</v>
      </c>
      <c r="X7" s="102" t="s">
        <v>43</v>
      </c>
      <c r="Y7" s="102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$24,X7)+COUNTIF('11'!$D$4:$D$20,X7)+COUNTIF('12'!$D$4:$D$17,X7)+COUNTIF('13'!$D$4:$D$16,X7)+COUNTIF('14'!$D$4:$D$16,X7)+COUNTIF('15'!$D$4:$D$20,X7)+COUNTIF('16'!$D$4:$D$19,X7)+COUNTIF('17'!$D$14:$D$35,X7)+COUNTIF('18'!$D$4:$D$19,X7)+COUNTIF('19'!$D$4:$D$24,X7)+COUNTIF('20'!$D$4:$D$19,X7)+COUNTIF('21'!$D$4:$D$23,X7)+COUNTIF('22'!$D$4:$D$26,X7)+COUNTIF('23'!$D$4:$D$21,X7)+COUNTIF('24'!$D$4:$D$16,X7)+COUNTIF('25'!$D$4:$D$18,X7)+COUNTIF('26'!$D$4:$D$16,X7)+COUNTIF('27'!$D$4:$D$16,X7)+COUNTIF('28'!$D$4:$D$16,X7)+COUNTIF('29'!$D$4:$D$16,X7)+COUNTIF('30'!$D$4:$D$16,X7)+COUNTIF('31'!$D$4:$D$17,X7)</f>
        <v>20</v>
      </c>
      <c r="Z7" s="102">
        <f t="shared" si="1"/>
        <v>20.00011</v>
      </c>
      <c r="AA7" s="102" t="s">
        <v>28</v>
      </c>
      <c r="AB7" s="102" t="s">
        <v>532</v>
      </c>
      <c r="AC7" s="102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$26:$O$29,AA7)+COUNTIF('11'!$O$22:$O$25,AA7)+COUNTIF('12'!$O$19:$O$22,AA7)+COUNTIF('13'!$O$18:$O$21,AA7)+COUNTIF('14'!$O$18:$O$21,AA7)+COUNTIF('15'!$O$22:$O$25,AA7)+COUNTIF('16'!$O$21:$O$24,AA7)+COUNTIF('17'!$O$37:$O$40,AA7)+COUNTIF('18'!$O$21:$O$24,AA7)+COUNTIF('19'!$O$26:$O$29,AA7)+COUNTIF('20'!$O$21:$O$24,AA7)+COUNTIF('21'!$O$25:$O$28,AA7)+COUNTIF('22'!$O$28:$O$31,AA7)+COUNTIF('23'!$O$23:$O$26,AA7)+COUNTIF('24'!$O$18:$O$21,AA7)+COUNTIF('25'!$O$20:$O$23,AA7)+COUNTIF('26'!$O$18:$O$21,AA7)+COUNTIF('27'!$O$18:$O$21,AA7)+COUNTIF('28'!$O$18:$O$21,AA7)+COUNTIF('29'!$O$18:$O$21,AA7)+COUNTIF('30'!$O$18:$O$21,AA7)+COUNTIF('31'!$O$19:$O$22,AA7)</f>
        <v>26</v>
      </c>
      <c r="AD7" s="102">
        <f t="shared" si="2"/>
        <v>26.00009</v>
      </c>
      <c r="AE7" s="102" t="s">
        <v>28</v>
      </c>
      <c r="AF7" s="102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$24,AE7)+COUNTIF('11'!$L$4:$L$20,AE7)+COUNTIF('12'!$L$4:$L$17,AE7)+COUNTIF('13'!$L$4:$L$16,AE7)+COUNTIF('14'!$L$4:$L$16,AE7)+COUNTIF('15'!$L$4:$L$20,AE7)+COUNTIF('16'!$L$4:$L$19,AE7)+COUNTIF('17'!$L$14:$L$35,AE7)+COUNTIF('18'!$L$4:$L$19,AE7)+COUNTIF('19'!$L$4:$L$24,AE7)+COUNTIF('20'!$L$4:$L$19,AE7)+COUNTIF('21'!$L$4:$L$23,AE7)+COUNTIF('22'!$L$4:$L$26,AE7)+COUNTIF('23'!$L$4:$L$21,AE7)+COUNTIF('24'!$L$4:$L$16,AE7)+COUNTIF('25'!$L$4:$L$18,AE7)+COUNTIF('26'!$L$4:$L$16,AE7)+COUNTIF('27'!$L$4:$L$16,AE7)+COUNTIF('28'!$L$4:$L$16,AE7)+COUNTIF('29'!$L$4:$L$16,AE7)+COUNTIF('30'!$L$4:$L$16,AE7)+COUNTIF('31'!$L$4:$L$17,AE7)</f>
        <v>192</v>
      </c>
      <c r="AG7" s="102">
        <f t="shared" si="3"/>
        <v>192.00003</v>
      </c>
      <c r="AH7" s="102" t="s">
        <v>42</v>
      </c>
      <c r="AI7" s="102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$24,AH7)+COUNTIF('11'!$M$4:$M$20,AH7)+COUNTIF('12'!$M$4:$M$17,AH7)+COUNTIF('13'!$M$4:$M$16,AH7)+COUNTIF('14'!$M$4:$M$16,AH7)+COUNTIF('15'!$M$4:$M$20,AH7)+COUNTIF('16'!$M$4:$M$19,AH7)+COUNTIF('17'!$M$14:$M$35,AH7)+COUNTIF('18'!$M$4:$M$19,AH7)+COUNTIF('19'!$M$4:$M$24,AH7)+COUNTIF('20'!$M$4:$M$19,AH7)+COUNTIF('21'!$M$4:$M$23,AH7)+COUNTIF('22'!$M$4:$M$26,AH7)+COUNTIF('23'!$M$4:$M$21,AH7)+COUNTIF('24'!$M$4:$M$16,AH7)+COUNTIF('25'!$M$4:$M$18,AH7)+COUNTIF('26'!$M$4:$M$16,AH7)+COUNTIF('27'!$M$4:$M$16,AH7)+COUNTIF('28'!$M$4:$M$16,AH7)+COUNTIF('29'!$M$4:$M$16,AH7)+COUNTIF('30'!$M$4:$M$16,AH7)+COUNTIF('31'!$M$4:$M$17,AH7)</f>
        <v>103</v>
      </c>
      <c r="AJ7" s="102">
        <f t="shared" si="4"/>
        <v>103.00004</v>
      </c>
      <c r="AK7" s="102" t="s">
        <v>28</v>
      </c>
      <c r="AL7" s="102" t="s">
        <v>532</v>
      </c>
      <c r="AM7" s="102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$33:$AG$38,AK7,'10'!$AF$33:$AF$38,1)+COUNTIFS('11'!$AG$29:$AG$34,AK7,'11'!$AF$29:$AF$34,1)+COUNTIFS('12'!$AG$26:$AG$31,AK7,'12'!$AF$26:$AF$31,1)+COUNTIFS('13'!$AG$25:$AG$30,AK7,'13'!$AF$25:$AF$30,1)+COUNTIFS('14'!$AG$25:$AG$30,AK7,'14'!$AF$25:$AF$30,1)+COUNTIFS('15'!$AG$29:$AG$34,AK7,'15'!$AF$29:$AF$34,1)+COUNTIFS('16'!$AG$28:$AG$33,AK7,'16'!$AF$28:$AF$33,1)+COUNTIFS('17'!$AG$44:$AG$49,AK7,'17'!$AF$44:$AF$49,1)+COUNTIFS('18'!$AG$28:$AG$33,AK7,'18'!$AF$28:$AF$33,1)+COUNTIFS('19'!$AG$33:$AG$38,AK7,'19'!$AF$33:$AF$38,1)+COUNTIFS('20'!$AG$28:$AG$33,AK7,'20'!$AF$28:$AF$33,1)+COUNTIFS('21'!$AG$32:$AG$37,AK7,'21'!$AF$32:$AF$37,1)+COUNTIFS('22'!$AG$35:$AG$40,AK7,'22'!$AF$35:$AF$40,1)+COUNTIFS('23'!$AG$30:$AG$35,AK7,'23'!$AF$30:$AF$35,1)+COUNTIFS('24'!$AG$25:$AG$30,AK7,'24'!$AF$25:$AF$30,1)+COUNTIFS('25'!$AG$27:$AG$32,AK7,'25'!$AF$27:$AF$32,1)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24</v>
      </c>
      <c r="AN7" s="102">
        <f t="shared" si="5"/>
        <v>93.75</v>
      </c>
      <c r="AO7" s="102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$33:$L$38,'10'!$AG$33:$AG$38,AK7,'10'!$AF$33:$AF$38,1)+SUMIFS('11'!$L$29:$L$34,'11'!$AG$29:$AG$34,AK7,'11'!$AF$29:$AF$34,1)+SUMIFS('12'!$L$26:$L$31,'12'!$AG$26:$AG$31,AK7,'12'!$AF$26:$AF$31,1)+SUMIFS('13'!$L$25:$L$30,'13'!$AG$25:$AG$30,AK7,'13'!$AF$25:$AF$30,1)+SUMIFS('14'!$L$25:$L$30,'14'!$AG$25:$AG$30,AK7,'14'!$AF$25:$AF$30,1)+SUMIFS('15'!$L$29:$L$34,'15'!$AG$29:$AG$34,AK7,'15'!$AF$29:$AF$34,1)+SUMIFS('16'!$L$28:$L$33,'16'!$AG$28:$AG$33,AK7,'16'!$AF$28:$AF$33,1)+SUMIFS('17'!$L$44:$L$49,'17'!$AG$44:$AG$49,AK7,'17'!$AF$44:$AF$49,1)+SUMIFS('18'!$L$28:$L$33,'18'!$AG$28:$AG$33,AK7,'18'!$AF$28:$AF$33,1)+SUMIFS('19'!$L$33:$L$38,'19'!$AG$33:$AG$38,AK7,'19'!$AF$33:$AF$38,1)+SUMIFS('20'!$L$28:$L$33,'20'!$AG$28:$AG$33,AK7,'20'!$AF$28:$AF$33,1)+SUMIFS('21'!$L$32:$L$37,'21'!$AG$32:$AG$37,AK7,'21'!$AF$32:$AF$37,1)+SUMIFS('22'!$L$35:$L$40,'22'!$AG$35:$AG$40,AK7,'22'!$AF$35:$AF$40,1)+SUMIFS('23'!$L$30:$L$35,'23'!$AG$30:$AG$35,AK7,'23'!$AF$30:$AF$35,1)+SUMIFS('24'!$L$25:$L$30,'24'!$AG$25:$AG$30,AK7,'24'!$AF$25:$AF$30,1)+SUMIFS('25'!$L$27:$L$32,'25'!$AG$27:$AG$32,AK7,'25'!$AF$27:$AF$32,1)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4.75</v>
      </c>
      <c r="AP7" s="102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$33:$M$38,'10'!$AG$33:$AG$38,AK7,'10'!$AF$33:$AF$38,1)+SUMIFS('11'!$M$29:$M$34,'11'!$AG$29:$AG$34,AK7,'11'!$AF$29:$AF$34,1)+SUMIFS('12'!$M$26:$M$31,'12'!$AG$26:$AG$31,AK7,'12'!$AF$26:$AF$31,1)+SUMIFS('13'!$M$25:$M$30,'13'!$AG$25:$AG$30,AK7,'13'!$AF$25:$AF$30,1)+SUMIFS('14'!$M$25:$M$30,'14'!$AG$25:$AG$30,AK7,'14'!$AF$25:$AF$30,1)+SUMIFS('15'!$M$29:$M$34,'15'!$AG$29:$AG$34,AK7,'15'!$AF$29:$AF$34,1)+SUMIFS('16'!$M$28:$M$33,'16'!$AG$28:$AG$33,AK7,'16'!$AF$28:$AF$33,1)+SUMIFS('17'!$M$44:$M$49,'17'!$AG$44:$AG$49,AK7,'17'!$AF$44:$AF$49,1)+SUMIFS('18'!$M$28:$M$33,'18'!$AG$28:$AG$33,AK7,'18'!$AF$28:$AF$33,1)+SUMIFS('19'!$M$33:$M$38,'19'!$AG$33:$AG$38,AK7,'19'!$AF$33:$AF$38,1)+SUMIFS('20'!$M$28:$M$33,'20'!$AG$28:$AG$33,AK7,'20'!$AF$28:$AF$33,1)+SUMIFS('21'!$M$32:$M$37,'21'!$AG$32:$AG$37,AK7,'21'!$AF$32:$AF$37,1)+SUMIFS('22'!$M$35:$M$40,'22'!$AG$35:$AG$40,AK7,'22'!$AF$35:$AF$40,1)+SUMIFS('23'!$M$30:$M$35,'23'!$AG$30:$AG$35,AK7,'23'!$AF$30:$AF$35,1)+SUMIFS('24'!$M$25:$M$30,'24'!$AG$25:$AG$30,AK7,'24'!$AF$25:$AF$30,1)+SUMIFS('25'!$M$27:$M$32,'25'!$AG$27:$AG$32,AK7,'25'!$AF$27:$AF$32,1)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4.625</v>
      </c>
      <c r="AQ7" s="102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$33:$N$38,'10'!$AG$33:$AG$38,AK7,'10'!$AF$33:$AF$38,1)+SUMIFS('11'!$N$29:$N$34,'11'!$AG$29:$AG$34,AK7,'11'!$AF$29:$AF$34,1)+SUMIFS('12'!$N$26:$N$31,'12'!$AG$26:$AG$31,AK7,'12'!$AF$26:$AF$31,1)+SUMIFS('13'!$N$25:$N$30,'13'!$AG$25:$AG$30,AK7,'13'!$AF$25:$AF$30,1)+SUMIFS('14'!$N$25:$N$30,'14'!$AG$25:$AG$30,AK7,'14'!$AF$25:$AF$30,1)+SUMIFS('15'!$N$29:$N$34,'15'!$AG$29:$AG$34,AK7,'15'!$AF$29:$AF$34,1)+SUMIFS('16'!$N$28:$N$33,'16'!$AG$28:$AG$33,AK7,'16'!$AF$28:$AF$33,1)+SUMIFS('17'!$N$44:$N$49,'17'!$AG$44:$AG$49,AK7,'17'!$AF$44:$AF$49,1)+SUMIFS('18'!$N$28:$N$33,'18'!$AG$28:$AG$33,AK7,'18'!$AF$28:$AF$33,1)+SUMIFS('19'!$N$33:$N$38,'19'!$AG$33:$AG$38,AK7,'19'!$AF$33:$AF$38,1)+SUMIFS('20'!$N$28:$N$33,'20'!$AG$28:$AG$33,AK7,'20'!$AF$28:$AF$33,1)+SUMIFS('21'!$N$32:$N$37,'21'!$AG$32:$AG$37,AK7,'21'!$AF$32:$AF$37,1)+SUMIFS('22'!$N$35:$N$40,'22'!$AG$35:$AG$40,AK7,'22'!$AF$35:$AF$40,1)+SUMIFS('23'!$N$30:$N$35,'23'!$AG$30:$AG$35,AK7,'23'!$AF$30:$AF$35,1)+SUMIFS('24'!$N$25:$N$30,'24'!$AG$25:$AG$30,AK7,'24'!$AF$25:$AF$30,1)+SUMIFS('25'!$N$27:$N$32,'25'!$AG$27:$AG$32,AK7,'25'!$AF$27:$AF$32,1)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4.75</v>
      </c>
      <c r="AR7" s="102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$33:$O$38,'10'!$AG$33:$AG$38,AK7,'10'!$AF$33:$AF$38,1)+SUMIFS('11'!$O$29:$O$34,'11'!$AG$29:$AG$34,AK7,'11'!$AF$29:$AF$34,1)+SUMIFS('12'!$O$26:$O$31,'12'!$AG$26:$AG$31,AK7,'12'!$AF$26:$AF$31,1)+SUMIFS('13'!$O$25:$O$30,'13'!$AG$25:$AG$30,AK7,'13'!$AF$25:$AF$30,1)+SUMIFS('14'!$O$25:$O$30,'14'!$AG$25:$AG$30,AK7,'14'!$AF$25:$AF$30,1)+SUMIFS('15'!$O$29:$O$34,'15'!$AG$29:$AG$34,AK7,'15'!$AF$29:$AF$34,1)+SUMIFS('16'!$O$28:$O$33,'16'!$AG$28:$AG$33,AK7,'16'!$AF$28:$AF$33,1)+SUMIFS('17'!$O$44:$O$49,'17'!$AG$44:$AG$49,AK7,'17'!$AF$44:$AF$49,1)+SUMIFS('18'!$O$28:$O$33,'18'!$AG$28:$AG$33,AK7,'18'!$AF$28:$AF$33,1)+SUMIFS('19'!$O$33:$O$38,'19'!$AG$33:$AG$38,AK7,'19'!$AF$33:$AF$38,1)+SUMIFS('20'!$O$28:$O$33,'20'!$AG$28:$AG$33,AK7,'20'!$AF$28:$AF$33,1)+SUMIFS('21'!$O$32:$O$37,'21'!$AG$32:$AG$37,AK7,'21'!$AF$32:$AF$37,1)+SUMIFS('22'!$O$35:$O$40,'22'!$AG$35:$AG$40,AK7,'22'!$AF$35:$AF$40,1)+SUMIFS('23'!$O$30:$O$35,'23'!$AG$30:$AG$35,AK7,'23'!$AF$30:$AF$35,1)+SUMIFS('24'!$O$25:$O$30,'24'!$AG$25:$AG$30,AK7,'24'!$AF$25:$AF$30,1)+SUMIFS('25'!$O$27:$O$32,'25'!$AG$27:$AG$32,AK7,'25'!$AF$27:$AF$32,1)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4.833333333</v>
      </c>
      <c r="AS7" s="102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$33:$P$38,'10'!$AG$33:$AG$38,AK7,'10'!$AF$33:$AF$38,1)+SUMIFS('11'!$P$29:$P$34,'11'!$AG$29:$AG$34,AK7,'11'!$AF$29:$AF$34,1)+SUMIFS('12'!$P$26:$P$31,'12'!$AG$26:$AG$31,AK7,'12'!$AF$26:$AF$31,1)+SUMIFS('13'!$P$25:$P$30,'13'!$AG$25:$AG$30,AK7,'13'!$AF$25:$AF$30,1)+SUMIFS('14'!$P$25:$P$30,'14'!$AG$25:$AG$30,AK7,'14'!$AF$25:$AF$30,1)+SUMIFS('15'!$P$29:$P$34,'15'!$AG$29:$AG$34,AK7,'15'!$AF$29:$AF$34,1)+SUMIFS('16'!$P$28:$P$33,'16'!$AG$28:$AG$33,AK7,'16'!$AF$28:$AF$33,1)+SUMIFS('17'!$P$44:$P$49,'17'!$AG$44:$AG$49,AK7,'17'!$AF$44:$AF$49,1)+SUMIFS('18'!$P$28:$P$33,'18'!$AG$28:$AG$33,AK7,'18'!$AF$28:$AF$33,1)+SUMIFS('19'!$P$33:$P$38,'19'!$AG$33:$AG$38,AK7,'19'!$AF$33:$AF$38,1)+SUMIFS('20'!$P$28:$P$33,'20'!$AG$28:$AG$33,AK7,'20'!$AF$28:$AF$33,1)+SUMIFS('21'!$P$32:$P$37,'21'!$AG$32:$AG$37,AK7,'21'!$AF$32:$AF$37,1)+SUMIFS('22'!$P$35:$P$40,'22'!$AG$35:$AG$40,AK7,'22'!$AF$35:$AF$40,1)+SUMIFS('23'!$P$30:$P$35,'23'!$AG$30:$AG$35,AK7,'23'!$AF$30:$AF$35,1)+SUMIFS('24'!$P$25:$P$30,'24'!$AG$25:$AG$30,AK7,'24'!$AF$25:$AF$30,1)+SUMIFS('25'!$P$27:$P$32,'25'!$AG$27:$AG$32,AK7,'25'!$AF$27:$AF$32,1)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4.458333333</v>
      </c>
      <c r="AV7" s="102">
        <f>IF(COUNTIFS('1'!$AG$29:$AG$34,$AK7,'1'!$AF$29:$AF$34,1)=0,"",SUMIFS('1'!$AC$29:$AC$34,'1'!$AG$29:$AG$34,$AK7,'1'!$AF$29:$AF$34,1)/COUNTIFS('1'!$AG$29:$AG$34,$AK7,'1'!$AF$29:$AF$34,1))</f>
        <v>80</v>
      </c>
      <c r="AW7" s="102">
        <f>IF(COUNTIFS('2'!$AG$27:$AG$32,$AK7,'2'!$AF$27:$AF$32,1)=0,"",SUMIFS('2'!$AC$27:$AC$32,'2'!$AG$27:$AG$32,$AK7,'2'!$AF$27:$AF$32,1)/COUNTIFS('2'!$AG$27:$AG$32,$AK7,'2'!$AF$27:$AF$32,1))</f>
        <v>100</v>
      </c>
      <c r="AX7" s="102">
        <f>IF(COUNTIFS('3'!$AG$74:$AG$79,$AK7,'3'!$AF$74:$AF$79,1)=0,"",SUMIFS('3'!$AC$74:$AC$79,'3'!$AG$74:$AG$79,$AK7,'3'!$AF$74:$AF$79,1)/COUNTIFS('3'!$AG$74:$AG$79,$AK7,'3'!$AF$74:$AF$79,1))</f>
        <v>100</v>
      </c>
      <c r="AY7" s="102">
        <f>IF(COUNTIFS('4'!$AG$86:$AG$91,$AK7,'4'!$AF$86:$AF$91,1)=0,"",SUMIFS('4'!$AC$86:$AC$91,'4'!$AG$86:$AG$91,$AK7,'4'!$AF$86:$AF$91,1)/COUNTIFS('4'!$AG$86:$AG$91,$AK7,'4'!$AF$86:$AF$91,1))</f>
        <v>100</v>
      </c>
      <c r="AZ7" s="102">
        <f>IF(COUNTIFS('5'!$AG$27:$AG$32,$AK7,'5'!$AF$27:$AF$32,1)=0,"",SUMIFS('5'!$AC$27:$AC$32,'5'!$AG$27:$AG$32,$AK7,'5'!$AF$27:$AF$32,1)/COUNTIFS('5'!$AG$27:$AG$32,$AK7,'5'!$AF$27:$AF$32,1))</f>
        <v>100</v>
      </c>
      <c r="BA7" s="102">
        <f>IF(COUNTIFS('6'!$AG$31:$AG$36,$AK7,'6'!$AF$31:$AF$36,1)=0,"",SUMIFS('6'!$AC$31:$AC$36,'6'!$AG$31:$AG$36,$AK7,'6'!$AF$31:$AF$36,1)/COUNTIFS('6'!$AG$31:$AG$36,$AK7,'6'!$AF$31:$AF$36,1))</f>
        <v>83</v>
      </c>
      <c r="BB7" s="102">
        <f>IF(COUNTIFS('7'!$AG$30:$AG$35,$AK7,'7'!$AF$30:$AF$35,1)=0,"",SUMIFS('7'!$AC$30:$AC$35,'7'!$AG$30:$AG$35,$AK7,'7'!$AF$30:$AF$35,1)/COUNTIFS('7'!$AG$30:$AG$35,$AK7,'7'!$AF$30:$AF$35,1))</f>
        <v>100</v>
      </c>
      <c r="BC7" s="102">
        <f>IF(COUNTIFS('8'!$AG$31:$AG$36,$AK7,'8'!$AF$31:$AF$36,1)=0,"",SUMIFS('8'!$AC$31:$AC$36,'8'!$AG$31:$AG$36,$AK7,'8'!$AF$31:$AF$36,1)/COUNTIFS('8'!$AG$31:$AG$36,$AK7,'8'!$AF$31:$AF$36,1))</f>
        <v>92</v>
      </c>
      <c r="BD7" s="102">
        <f>IF(COUNTIFS('9'!$AG$33:$AG$38,$AK7,'9'!$AF$33:$AF$38,1)=0,"",SUMIFS('9'!$AC$33:$AC$38,'9'!$AG$33:$AG$38,$AK7,'9'!$AF$33:$AF$38,1)/COUNTIFS('9'!$AG$33:$AG$38,$AK7,'9'!$AF$33:$AF$38,1))</f>
        <v>88</v>
      </c>
      <c r="BE7" s="102" t="str">
        <f>IF(COUNTIFS('10'!$AG$33:$AG$38,$AK7,'10'!$AF$33:$AF$38,1)=0,"",SUMIFS('10'!$AC$33:$AC$38,'10'!$AG$33:$AG$38,$AK7,'10'!$AF$33:$AF$38,1)/COUNTIFS('10'!$AG$33:$AG$38,$AK7,'10'!$AF$33:$AF$38,1))</f>
        <v/>
      </c>
      <c r="BF7" s="102" t="str">
        <f>IF(COUNTIFS('11'!$AG$29:$AG$34,$AK7,'11'!$AF$29:$AF$34,1)=0,"",SUMIFS('11'!$AC$29:$AC$34,'11'!$AG$29:$AG$34,$AK7,'11'!$AF$29:$AF$34,1)/COUNTIFS('11'!$AG$29:$AG$34,$AK7,'11'!$AF$29:$AF$34,1))</f>
        <v/>
      </c>
      <c r="BG7" s="102">
        <f>IF(COUNTIFS('12'!$AG$26:$AG$31,$AK7,'12'!$AF$26:$AF$31,1)=0,"",SUMIFS('12'!$AC$26:$AC$31,'12'!$AG$26:$AG$31,$AK7,'12'!$AF$26:$AF$31,1)/COUNTIFS('12'!$AG$26:$AG$31,$AK7,'12'!$AF$26:$AF$31,1))</f>
        <v>100</v>
      </c>
      <c r="BH7" s="102">
        <f>IF(COUNTIFS('13'!$AG$25:$AG$30,$AK7,'13'!$AF$25:$AF$30,1)=0,"",SUMIFS('13'!$AC$25:$AC$30,'13'!$AG$25:$AG$30,$AK7,'13'!$AF$25:$AF$30,1)/COUNTIFS('13'!$AG$25:$AG$30,$AK7,'13'!$AF$25:$AF$30,1))</f>
        <v>100</v>
      </c>
      <c r="BI7" s="102">
        <f>IF(COUNTIFS('14'!$AG$25:$AG$30,$AK7,'14'!$AF$25:$AF$30,1)=0,"",SUMIFS('14'!$AC$25:$AC$30,'14'!$AG$25:$AG$30,$AK7,'14'!$AF$25:$AF$30,1)/COUNTIFS('14'!$AG$25:$AG$30,$AK7,'14'!$AF$25:$AF$30,1))</f>
        <v>92</v>
      </c>
      <c r="BJ7" s="102">
        <f>IF(COUNTIFS('15'!$AG$29:$AG$34,$AK7,'15'!$AF$29:$AF$34,1)=0,"",SUMIFS('15'!$AC$29:$AC$34,'15'!$AG$29:$AG$34,$AK7,'15'!$AF$29:$AF$34,1)/COUNTIFS('15'!$AG$29:$AG$34,$AK7,'15'!$AF$29:$AF$34,1))</f>
        <v>100</v>
      </c>
      <c r="BK7" s="102" t="str">
        <f>IF(COUNTIFS('16'!$AG$28:$AG$33,$AK7,'16'!$AF$28:$AF$33,1)=0,"",SUMIFS('16'!$AC$28:$AC$33,'16'!$AG$28:$AG$33,$AK7,'16'!$AF$28:$AF$33,1)/COUNTIFS('16'!$AG$28:$AG$33,$AK7,'16'!$AF$28:$AF$33,1))</f>
        <v/>
      </c>
      <c r="BL7" s="102">
        <f>IF(COUNTIFS('17'!$AG$44:$AG$49,$AK7,'17'!$AF$44:$AF$49,1)=0,"",SUMIFS('17'!$AC$44:$AC$49,'17'!$AG$44:$AG$49,$AK7,'17'!$AF$44:$AF$49,1)/COUNTIFS('17'!$AG$44:$AG$49,$AK7,'17'!$AF$44:$AF$49,1))</f>
        <v>100</v>
      </c>
      <c r="BM7" s="102">
        <f>IF(COUNTIFS('18'!$AG$28:$AG$33,$AK7,'18'!$AF$28:$AF$33,1)=0,"",SUMIFS('18'!$AC$28:$AC$33,'18'!$AG$28:$AG$33,$AK7,'18'!$AF$28:$AF$33,1)/COUNTIFS('18'!$AG$28:$AG$33,$AK7,'18'!$AF$28:$AF$33,1))</f>
        <v>97</v>
      </c>
      <c r="BN7" s="102">
        <f>IF(COUNTIFS('19'!$AG$33:$AG$38,$AK7,'19'!$AF$33:$AF$38,1)=0,"",SUMIFS('19'!$AC$33:$AC$38,'19'!$AG$33:$AG$38,$AK7,'19'!$AF$33:$AF$38,1)/COUNTIFS('19'!$AG$33:$AG$38,$AK7,'19'!$AF$33:$AF$38,1))</f>
        <v>97</v>
      </c>
      <c r="BO7" s="102">
        <f>IF(COUNTIFS('20'!$AG$28:$AG$33,$AK7,'20'!$AF$28:$AF$33,1)=0,"",SUMIFS('20'!$AC$28:$AC$33,'20'!$AG$28:$AG$33,$AK7,'20'!$AF$28:$AF$33,1)/COUNTIFS('20'!$AG$28:$AG$33,$AK7,'20'!$AF$28:$AF$33,1))</f>
        <v>100</v>
      </c>
      <c r="BP7" s="102">
        <f>IF(COUNTIFS('21'!$AG$32:$AG$37,$AK7,'21'!$AF$32:$AF$37,1)=0,"",SUMIFS('21'!$AC$32:$AC$37,'21'!$AG$32:$AG$37,$AK7,'21'!$AF$32:$AF$37,1)/COUNTIFS('21'!$AG$32:$AG$37,$AK7,'21'!$AF$32:$AF$37,1))</f>
        <v>85</v>
      </c>
      <c r="BQ7" s="102">
        <f>IF(COUNTIFS('22'!$AG$35:$AG$40,$AK7,'22'!$AF$35:$AF$40,1)=0,"",SUMIFS('22'!$AC$35:$AC$40,'22'!$AG$35:$AG$40,$AK7,'22'!$AF$35:$AF$40,1)/COUNTIFS('22'!$AG$35:$AG$40,$AK7,'22'!$AF$35:$AF$40,1))</f>
        <v>80</v>
      </c>
      <c r="BR7" s="102">
        <f>IF(COUNTIFS('23'!$AG$30:$AG$35,$AK7,'23'!$AF$30:$AF$35,1)=0,"",SUMIFS('23'!$AC$30:$AC$35,'23'!$AG$30:$AG$35,$AK7,'23'!$AF$30:$AF$35,1)/COUNTIFS('23'!$AG$30:$AG$35,$AK7,'23'!$AF$30:$AF$35,1))</f>
        <v>100</v>
      </c>
      <c r="BS7" s="102" t="str">
        <f>IF(COUNTIFS('24'!$AG$25:$AG$30,$AK7,'24'!$AF$25:$AF$30,1)=0,"",SUMIFS('24'!$AC$25:$AC$30,'24'!$AG$25:$AG$30,$AK7,'24'!$AF$25:$AF$30,1)/COUNTIFS('24'!$AG$25:$AG$30,$AK7,'24'!$AF$25:$AF$30,1))</f>
        <v/>
      </c>
      <c r="BT7" s="102">
        <f>IF(COUNTIFS('25'!$AG$27:$AG$32,$AK7,'25'!$AF$27:$AF$32,1)=0,"",SUMIFS('25'!$AC$27:$AC$32,'25'!$AG$27:$AG$32,$AK7,'25'!$AF$27:$AF$32,1)/COUNTIFS('25'!$AG$27:$AG$32,$AK7,'25'!$AF$27:$AF$32,1))</f>
        <v>92</v>
      </c>
      <c r="BU7" s="102" t="str">
        <f>IF(COUNTIFS('26'!$AG$25:$AG$30,$AK7,'26'!$AF$25:$AF$30,1)=0,"",SUMIFS('26'!$AC$25:$AC$30,'26'!$AG$25:$AG$30,$AK7,'26'!$AF$25:$AF$30,1)/COUNTIFS('26'!$AG$25:$AG$30,$AK7,'26'!$AF$25:$AF$30,1))</f>
        <v/>
      </c>
      <c r="BV7" s="102" t="str">
        <f>IF(COUNTIFS('27'!$AG$25:$AG$30,$AK7,'27'!$AF$25:$AF$30,1)=0,"",SUMIFS('27'!$AC$25:$AC$30,'27'!$AG$25:$AG$30,$AK7,'27'!$AF$25:$AF$30,1)/COUNTIFS('27'!$AG$25:$AG$30,$AK7,'27'!$AF$25:$AF$30,1))</f>
        <v/>
      </c>
      <c r="BW7" s="102" t="str">
        <f>IF(COUNTIFS('28'!$AG$25:$AG$30,$AK7,'28'!$AF$25:$AF$30,1)=0,"",SUMIFS('28'!$AC$25:$AC$30,'28'!$AG$25:$AG$30,$AK7,'28'!$AF$25:$AF$30,1)/COUNTIFS('28'!$AG$25:$AG$30,$AK7,'28'!$AF$25:$AF$30,1))</f>
        <v/>
      </c>
      <c r="BX7" s="102" t="str">
        <f>IF(COUNTIFS('29'!$AG$25:$AG$30,$AK7,'29'!$AF$25:$AF$30,1)=0,"",SUMIFS('29'!$AC$25:$AC$30,'29'!$AG$25:$AG$30,$AK7,'29'!$AF$25:$AF$30,1)/COUNTIFS('29'!$AG$25:$AG$30,$AK7,'29'!$AF$25:$AF$30,1))</f>
        <v/>
      </c>
      <c r="BY7" s="102" t="str">
        <f>IF(COUNTIFS('30'!$AG$25:$AG$30,$AK7,'30'!$AF$25:$AF$30,1)=0,"",SUMIFS('30'!$AC$25:$AC$30,'30'!$AG$25:$AG$30,$AK7,'30'!$AF$25:$AF$30,1)/COUNTIFS('30'!$AG$25:$AG$30,$AK7,'30'!$AF$25:$AF$30,1))</f>
        <v/>
      </c>
      <c r="BZ7" s="102" t="str">
        <f>IF(COUNTIFS('31'!$AG$28:$AG$33,$AK7,'31'!$AF$28:$AF$33,1)=0,"",SUMIFS('31'!$AC$28:$AC$33,'31'!$AG$28:$AG$33,$AK7,'31'!$AF$28:$AF$33,1)/COUNTIFS('31'!$AG$28:$AG$33,$AK7,'31'!$AF$28:$AF$33,1))</f>
        <v/>
      </c>
      <c r="CA7" s="102" t="s">
        <v>545</v>
      </c>
      <c r="CB7" s="102">
        <f t="shared" si="6"/>
        <v>0</v>
      </c>
    </row>
    <row r="8">
      <c r="A8" s="210">
        <f>IF(LARGE($Y$5:$Y$17,3)=0,"",3)</f>
        <v>3</v>
      </c>
      <c r="B8" s="210" t="str">
        <f t="shared" si="7"/>
        <v>Photofox</v>
      </c>
      <c r="C8" s="210">
        <f t="shared" si="8"/>
        <v>28</v>
      </c>
      <c r="D8" s="211">
        <f t="shared" si="9"/>
        <v>0.08</v>
      </c>
      <c r="E8" s="211">
        <f t="shared" si="10"/>
        <v>0.7657142857</v>
      </c>
      <c r="X8" s="102" t="s">
        <v>75</v>
      </c>
      <c r="Y8" s="102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$24,X8)+COUNTIF('11'!$D$4:$D$20,X8)+COUNTIF('12'!$D$4:$D$17,X8)+COUNTIF('13'!$D$4:$D$16,X8)+COUNTIF('14'!$D$4:$D$16,X8)+COUNTIF('15'!$D$4:$D$20,X8)+COUNTIF('16'!$D$4:$D$19,X8)+COUNTIF('17'!$D$14:$D$35,X8)+COUNTIF('18'!$D$4:$D$19,X8)+COUNTIF('19'!$D$4:$D$24,X8)+COUNTIF('20'!$D$4:$D$19,X8)+COUNTIF('21'!$D$4:$D$23,X8)+COUNTIF('22'!$D$4:$D$26,X8)+COUNTIF('23'!$D$4:$D$21,X8)+COUNTIF('24'!$D$4:$D$16,X8)+COUNTIF('25'!$D$4:$D$18,X8)+COUNTIF('26'!$D$4:$D$16,X8)+COUNTIF('27'!$D$4:$D$16,X8)+COUNTIF('28'!$D$4:$D$16,X8)+COUNTIF('29'!$D$4:$D$16,X8)+COUNTIF('30'!$D$4:$D$16,X8)+COUNTIF('31'!$D$4:$D$17,X8)</f>
        <v>19</v>
      </c>
      <c r="Z8" s="102">
        <f t="shared" si="1"/>
        <v>19.0001</v>
      </c>
      <c r="AA8" s="102" t="s">
        <v>541</v>
      </c>
      <c r="AB8" s="102" t="s">
        <v>532</v>
      </c>
      <c r="AC8" s="102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$26:$O$29,AA8)+COUNTIF('11'!$O$22:$O$25,AA8)+COUNTIF('12'!$O$19:$O$22,AA8)+COUNTIF('13'!$O$18:$O$21,AA8)+COUNTIF('14'!$O$18:$O$21,AA8)+COUNTIF('15'!$O$22:$O$25,AA8)+COUNTIF('16'!$O$21:$O$24,AA8)+COUNTIF('17'!$O$37:$O$40,AA8)+COUNTIF('18'!$O$21:$O$24,AA8)+COUNTIF('19'!$O$26:$O$29,AA8)+COUNTIF('20'!$O$21:$O$24,AA8)+COUNTIF('21'!$O$25:$O$28,AA8)+COUNTIF('22'!$O$28:$O$31,AA8)+COUNTIF('23'!$O$23:$O$26,AA8)+COUNTIF('24'!$O$18:$O$21,AA8)+COUNTIF('25'!$O$20:$O$23,AA8)+COUNTIF('26'!$O$18:$O$21,AA8)+COUNTIF('27'!$O$18:$O$21,AA8)+COUNTIF('28'!$O$18:$O$21,AA8)+COUNTIF('29'!$O$18:$O$21,AA8)+COUNTIF('30'!$O$18:$O$21,AA8)+COUNTIF('31'!$O$19:$O$22,AA8)</f>
        <v>0</v>
      </c>
      <c r="AD8" s="102">
        <f t="shared" si="2"/>
        <v>0.00008</v>
      </c>
      <c r="AE8" s="102" t="s">
        <v>541</v>
      </c>
      <c r="AF8" s="102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$24,AE8)+COUNTIF('11'!$L$4:$L$20,AE8)+COUNTIF('12'!$L$4:$L$17,AE8)+COUNTIF('13'!$L$4:$L$16,AE8)+COUNTIF('14'!$L$4:$L$16,AE8)+COUNTIF('15'!$L$4:$L$20,AE8)+COUNTIF('16'!$L$4:$L$19,AE8)+COUNTIF('17'!$L$14:$L$35,AE8)+COUNTIF('18'!$L$4:$L$19,AE8)+COUNTIF('19'!$L$4:$L$24,AE8)+COUNTIF('20'!$L$4:$L$19,AE8)+COUNTIF('21'!$L$4:$L$23,AE8)+COUNTIF('22'!$L$4:$L$26,AE8)+COUNTIF('23'!$L$4:$L$21,AE8)+COUNTIF('24'!$L$4:$L$16,AE8)+COUNTIF('25'!$L$4:$L$18,AE8)+COUNTIF('26'!$L$4:$L$16,AE8)+COUNTIF('27'!$L$4:$L$16,AE8)+COUNTIF('28'!$L$4:$L$16,AE8)+COUNTIF('29'!$L$4:$L$16,AE8)+COUNTIF('30'!$L$4:$L$16,AE8)+COUNTIF('31'!$L$4:$L$17,AE8)</f>
        <v>0</v>
      </c>
      <c r="AG8" s="102">
        <f t="shared" si="3"/>
        <v>0.00002</v>
      </c>
      <c r="AH8" s="102" t="s">
        <v>93</v>
      </c>
      <c r="AI8" s="102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$24,AH8)+COUNTIF('11'!$M$4:$M$20,AH8)+COUNTIF('12'!$M$4:$M$17,AH8)+COUNTIF('13'!$M$4:$M$16,AH8)+COUNTIF('14'!$M$4:$M$16,AH8)+COUNTIF('15'!$M$4:$M$20,AH8)+COUNTIF('16'!$M$4:$M$19,AH8)+COUNTIF('17'!$M$14:$M$35,AH8)+COUNTIF('18'!$M$4:$M$19,AH8)+COUNTIF('19'!$M$4:$M$24,AH8)+COUNTIF('20'!$M$4:$M$19,AH8)+COUNTIF('21'!$M$4:$M$23,AH8)+COUNTIF('22'!$M$4:$M$26,AH8)+COUNTIF('23'!$M$4:$M$21,AH8)+COUNTIF('24'!$M$4:$M$16,AH8)+COUNTIF('25'!$M$4:$M$18,AH8)+COUNTIF('26'!$M$4:$M$16,AH8)+COUNTIF('27'!$M$4:$M$16,AH8)+COUNTIF('28'!$M$4:$M$16,AH8)+COUNTIF('29'!$M$4:$M$16,AH8)+COUNTIF('30'!$M$4:$M$16,AH8)+COUNTIF('31'!$M$4:$M$17,AH8)</f>
        <v>11</v>
      </c>
      <c r="AJ8" s="102">
        <f t="shared" si="4"/>
        <v>11.00003</v>
      </c>
      <c r="AK8" s="102" t="s">
        <v>541</v>
      </c>
      <c r="AL8" s="102" t="s">
        <v>532</v>
      </c>
      <c r="AM8" s="102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$33:$AG$38,AK8,'10'!$AF$33:$AF$38,1)+COUNTIFS('11'!$AG$29:$AG$34,AK8,'11'!$AF$29:$AF$34,1)+COUNTIFS('12'!$AG$26:$AG$31,AK8,'12'!$AF$26:$AF$31,1)+COUNTIFS('13'!$AG$25:$AG$30,AK8,'13'!$AF$25:$AF$30,1)+COUNTIFS('14'!$AG$25:$AG$30,AK8,'14'!$AF$25:$AF$30,1)+COUNTIFS('15'!$AG$29:$AG$34,AK8,'15'!$AF$29:$AF$34,1)+COUNTIFS('16'!$AG$28:$AG$33,AK8,'16'!$AF$28:$AF$33,1)+COUNTIFS('17'!$AG$44:$AG$49,AK8,'17'!$AF$44:$AF$49,1)+COUNTIFS('18'!$AG$28:$AG$33,AK8,'18'!$AF$28:$AF$33,1)+COUNTIFS('19'!$AG$33:$AG$38,AK8,'19'!$AF$33:$AF$38,1)+COUNTIFS('20'!$AG$28:$AG$33,AK8,'20'!$AF$28:$AF$33,1)+COUNTIFS('21'!$AG$32:$AG$37,AK8,'21'!$AF$32:$AF$37,1)+COUNTIFS('22'!$AG$35:$AG$40,AK8,'22'!$AF$35:$AF$40,1)+COUNTIFS('23'!$AG$30:$AG$35,AK8,'23'!$AF$30:$AF$35,1)+COUNTIFS('24'!$AG$25:$AG$30,AK8,'24'!$AF$25:$AF$30,1)+COUNTIFS('25'!$AG$27:$AG$32,AK8,'25'!$AF$27:$AF$32,1)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102" t="str">
        <f t="shared" si="5"/>
        <v/>
      </c>
      <c r="AO8" s="102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$33:$L$38,'10'!$AG$33:$AG$38,AK8,'10'!$AF$33:$AF$38,1)+SUMIFS('11'!$L$29:$L$34,'11'!$AG$29:$AG$34,AK8,'11'!$AF$29:$AF$34,1)+SUMIFS('12'!$L$26:$L$31,'12'!$AG$26:$AG$31,AK8,'12'!$AF$26:$AF$31,1)+SUMIFS('13'!$L$25:$L$30,'13'!$AG$25:$AG$30,AK8,'13'!$AF$25:$AF$30,1)+SUMIFS('14'!$L$25:$L$30,'14'!$AG$25:$AG$30,AK8,'14'!$AF$25:$AF$30,1)+SUMIFS('15'!$L$29:$L$34,'15'!$AG$29:$AG$34,AK8,'15'!$AF$29:$AF$34,1)+SUMIFS('16'!$L$28:$L$33,'16'!$AG$28:$AG$33,AK8,'16'!$AF$28:$AF$33,1)+SUMIFS('17'!$L$44:$L$49,'17'!$AG$44:$AG$49,AK8,'17'!$AF$44:$AF$49,1)+SUMIFS('18'!$L$28:$L$33,'18'!$AG$28:$AG$33,AK8,'18'!$AF$28:$AF$33,1)+SUMIFS('19'!$L$33:$L$38,'19'!$AG$33:$AG$38,AK8,'19'!$AF$33:$AF$38,1)+SUMIFS('20'!$L$28:$L$33,'20'!$AG$28:$AG$33,AK8,'20'!$AF$28:$AF$33,1)+SUMIFS('21'!$L$32:$L$37,'21'!$AG$32:$AG$37,AK8,'21'!$AF$32:$AF$37,1)+SUMIFS('22'!$L$35:$L$40,'22'!$AG$35:$AG$40,AK8,'22'!$AF$35:$AF$40,1)+SUMIFS('23'!$L$30:$L$35,'23'!$AG$30:$AG$35,AK8,'23'!$AF$30:$AF$35,1)+SUMIFS('24'!$L$25:$L$30,'24'!$AG$25:$AG$30,AK8,'24'!$AF$25:$AF$30,1)+SUMIFS('25'!$L$27:$L$32,'25'!$AG$27:$AG$32,AK8,'25'!$AF$27:$AF$32,1)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102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$33:$M$38,'10'!$AG$33:$AG$38,AK8,'10'!$AF$33:$AF$38,1)+SUMIFS('11'!$M$29:$M$34,'11'!$AG$29:$AG$34,AK8,'11'!$AF$29:$AF$34,1)+SUMIFS('12'!$M$26:$M$31,'12'!$AG$26:$AG$31,AK8,'12'!$AF$26:$AF$31,1)+SUMIFS('13'!$M$25:$M$30,'13'!$AG$25:$AG$30,AK8,'13'!$AF$25:$AF$30,1)+SUMIFS('14'!$M$25:$M$30,'14'!$AG$25:$AG$30,AK8,'14'!$AF$25:$AF$30,1)+SUMIFS('15'!$M$29:$M$34,'15'!$AG$29:$AG$34,AK8,'15'!$AF$29:$AF$34,1)+SUMIFS('16'!$M$28:$M$33,'16'!$AG$28:$AG$33,AK8,'16'!$AF$28:$AF$33,1)+SUMIFS('17'!$M$44:$M$49,'17'!$AG$44:$AG$49,AK8,'17'!$AF$44:$AF$49,1)+SUMIFS('18'!$M$28:$M$33,'18'!$AG$28:$AG$33,AK8,'18'!$AF$28:$AF$33,1)+SUMIFS('19'!$M$33:$M$38,'19'!$AG$33:$AG$38,AK8,'19'!$AF$33:$AF$38,1)+SUMIFS('20'!$M$28:$M$33,'20'!$AG$28:$AG$33,AK8,'20'!$AF$28:$AF$33,1)+SUMIFS('21'!$M$32:$M$37,'21'!$AG$32:$AG$37,AK8,'21'!$AF$32:$AF$37,1)+SUMIFS('22'!$M$35:$M$40,'22'!$AG$35:$AG$40,AK8,'22'!$AF$35:$AF$40,1)+SUMIFS('23'!$M$30:$M$35,'23'!$AG$30:$AG$35,AK8,'23'!$AF$30:$AF$35,1)+SUMIFS('24'!$M$25:$M$30,'24'!$AG$25:$AG$30,AK8,'24'!$AF$25:$AF$30,1)+SUMIFS('25'!$M$27:$M$32,'25'!$AG$27:$AG$32,AK8,'25'!$AF$27:$AF$32,1)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102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$33:$N$38,'10'!$AG$33:$AG$38,AK8,'10'!$AF$33:$AF$38,1)+SUMIFS('11'!$N$29:$N$34,'11'!$AG$29:$AG$34,AK8,'11'!$AF$29:$AF$34,1)+SUMIFS('12'!$N$26:$N$31,'12'!$AG$26:$AG$31,AK8,'12'!$AF$26:$AF$31,1)+SUMIFS('13'!$N$25:$N$30,'13'!$AG$25:$AG$30,AK8,'13'!$AF$25:$AF$30,1)+SUMIFS('14'!$N$25:$N$30,'14'!$AG$25:$AG$30,AK8,'14'!$AF$25:$AF$30,1)+SUMIFS('15'!$N$29:$N$34,'15'!$AG$29:$AG$34,AK8,'15'!$AF$29:$AF$34,1)+SUMIFS('16'!$N$28:$N$33,'16'!$AG$28:$AG$33,AK8,'16'!$AF$28:$AF$33,1)+SUMIFS('17'!$N$44:$N$49,'17'!$AG$44:$AG$49,AK8,'17'!$AF$44:$AF$49,1)+SUMIFS('18'!$N$28:$N$33,'18'!$AG$28:$AG$33,AK8,'18'!$AF$28:$AF$33,1)+SUMIFS('19'!$N$33:$N$38,'19'!$AG$33:$AG$38,AK8,'19'!$AF$33:$AF$38,1)+SUMIFS('20'!$N$28:$N$33,'20'!$AG$28:$AG$33,AK8,'20'!$AF$28:$AF$33,1)+SUMIFS('21'!$N$32:$N$37,'21'!$AG$32:$AG$37,AK8,'21'!$AF$32:$AF$37,1)+SUMIFS('22'!$N$35:$N$40,'22'!$AG$35:$AG$40,AK8,'22'!$AF$35:$AF$40,1)+SUMIFS('23'!$N$30:$N$35,'23'!$AG$30:$AG$35,AK8,'23'!$AF$30:$AF$35,1)+SUMIFS('24'!$N$25:$N$30,'24'!$AG$25:$AG$30,AK8,'24'!$AF$25:$AF$30,1)+SUMIFS('25'!$N$27:$N$32,'25'!$AG$27:$AG$32,AK8,'25'!$AF$27:$AF$32,1)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102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$33:$O$38,'10'!$AG$33:$AG$38,AK8,'10'!$AF$33:$AF$38,1)+SUMIFS('11'!$O$29:$O$34,'11'!$AG$29:$AG$34,AK8,'11'!$AF$29:$AF$34,1)+SUMIFS('12'!$O$26:$O$31,'12'!$AG$26:$AG$31,AK8,'12'!$AF$26:$AF$31,1)+SUMIFS('13'!$O$25:$O$30,'13'!$AG$25:$AG$30,AK8,'13'!$AF$25:$AF$30,1)+SUMIFS('14'!$O$25:$O$30,'14'!$AG$25:$AG$30,AK8,'14'!$AF$25:$AF$30,1)+SUMIFS('15'!$O$29:$O$34,'15'!$AG$29:$AG$34,AK8,'15'!$AF$29:$AF$34,1)+SUMIFS('16'!$O$28:$O$33,'16'!$AG$28:$AG$33,AK8,'16'!$AF$28:$AF$33,1)+SUMIFS('17'!$O$44:$O$49,'17'!$AG$44:$AG$49,AK8,'17'!$AF$44:$AF$49,1)+SUMIFS('18'!$O$28:$O$33,'18'!$AG$28:$AG$33,AK8,'18'!$AF$28:$AF$33,1)+SUMIFS('19'!$O$33:$O$38,'19'!$AG$33:$AG$38,AK8,'19'!$AF$33:$AF$38,1)+SUMIFS('20'!$O$28:$O$33,'20'!$AG$28:$AG$33,AK8,'20'!$AF$28:$AF$33,1)+SUMIFS('21'!$O$32:$O$37,'21'!$AG$32:$AG$37,AK8,'21'!$AF$32:$AF$37,1)+SUMIFS('22'!$O$35:$O$40,'22'!$AG$35:$AG$40,AK8,'22'!$AF$35:$AF$40,1)+SUMIFS('23'!$O$30:$O$35,'23'!$AG$30:$AG$35,AK8,'23'!$AF$30:$AF$35,1)+SUMIFS('24'!$O$25:$O$30,'24'!$AG$25:$AG$30,AK8,'24'!$AF$25:$AF$30,1)+SUMIFS('25'!$O$27:$O$32,'25'!$AG$27:$AG$32,AK8,'25'!$AF$27:$AF$32,1)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102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$33:$P$38,'10'!$AG$33:$AG$38,AK8,'10'!$AF$33:$AF$38,1)+SUMIFS('11'!$P$29:$P$34,'11'!$AG$29:$AG$34,AK8,'11'!$AF$29:$AF$34,1)+SUMIFS('12'!$P$26:$P$31,'12'!$AG$26:$AG$31,AK8,'12'!$AF$26:$AF$31,1)+SUMIFS('13'!$P$25:$P$30,'13'!$AG$25:$AG$30,AK8,'13'!$AF$25:$AF$30,1)+SUMIFS('14'!$P$25:$P$30,'14'!$AG$25:$AG$30,AK8,'14'!$AF$25:$AF$30,1)+SUMIFS('15'!$P$29:$P$34,'15'!$AG$29:$AG$34,AK8,'15'!$AF$29:$AF$34,1)+SUMIFS('16'!$P$28:$P$33,'16'!$AG$28:$AG$33,AK8,'16'!$AF$28:$AF$33,1)+SUMIFS('17'!$P$44:$P$49,'17'!$AG$44:$AG$49,AK8,'17'!$AF$44:$AF$49,1)+SUMIFS('18'!$P$28:$P$33,'18'!$AG$28:$AG$33,AK8,'18'!$AF$28:$AF$33,1)+SUMIFS('19'!$P$33:$P$38,'19'!$AG$33:$AG$38,AK8,'19'!$AF$33:$AF$38,1)+SUMIFS('20'!$P$28:$P$33,'20'!$AG$28:$AG$33,AK8,'20'!$AF$28:$AF$33,1)+SUMIFS('21'!$P$32:$P$37,'21'!$AG$32:$AG$37,AK8,'21'!$AF$32:$AF$37,1)+SUMIFS('22'!$P$35:$P$40,'22'!$AG$35:$AG$40,AK8,'22'!$AF$35:$AF$40,1)+SUMIFS('23'!$P$30:$P$35,'23'!$AG$30:$AG$35,AK8,'23'!$AF$30:$AF$35,1)+SUMIFS('24'!$P$25:$P$30,'24'!$AG$25:$AG$30,AK8,'24'!$AF$25:$AF$30,1)+SUMIFS('25'!$P$27:$P$32,'25'!$AG$27:$AG$32,AK8,'25'!$AF$27:$AF$32,1)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102" t="str">
        <f>IF(COUNTIFS('1'!$AG$29:$AG$34,$AK8,'1'!$AF$29:$AF$34,1)=0,"",SUMIFS('1'!$AC$29:$AC$34,'1'!$AG$29:$AG$34,$AK8,'1'!$AF$29:$AF$34,1)/COUNTIFS('1'!$AG$29:$AG$34,$AK8,'1'!$AF$29:$AF$34,1))</f>
        <v/>
      </c>
      <c r="AW8" s="102" t="str">
        <f>IF(COUNTIFS('2'!$AG$27:$AG$32,$AK8,'2'!$AF$27:$AF$32,1)=0,"",SUMIFS('2'!$AC$27:$AC$32,'2'!$AG$27:$AG$32,$AK8,'2'!$AF$27:$AF$32,1)/COUNTIFS('2'!$AG$27:$AG$32,$AK8,'2'!$AF$27:$AF$32,1))</f>
        <v/>
      </c>
      <c r="AX8" s="102" t="str">
        <f>IF(COUNTIFS('3'!$AG$74:$AG$79,$AK8,'3'!$AF$74:$AF$79,1)=0,"",SUMIFS('3'!$AC$74:$AC$79,'3'!$AG$74:$AG$79,$AK8,'3'!$AF$74:$AF$79,1)/COUNTIFS('3'!$AG$74:$AG$79,$AK8,'3'!$AF$74:$AF$79,1))</f>
        <v/>
      </c>
      <c r="AY8" s="102" t="str">
        <f>IF(COUNTIFS('4'!$AG$86:$AG$91,$AK8,'4'!$AF$86:$AF$91,1)=0,"",SUMIFS('4'!$AC$86:$AC$91,'4'!$AG$86:$AG$91,$AK8,'4'!$AF$86:$AF$91,1)/COUNTIFS('4'!$AG$86:$AG$91,$AK8,'4'!$AF$86:$AF$91,1))</f>
        <v/>
      </c>
      <c r="AZ8" s="102" t="str">
        <f>IF(COUNTIFS('5'!$AG$27:$AG$32,$AK8,'5'!$AF$27:$AF$32,1)=0,"",SUMIFS('5'!$AC$27:$AC$32,'5'!$AG$27:$AG$32,$AK8,'5'!$AF$27:$AF$32,1)/COUNTIFS('5'!$AG$27:$AG$32,$AK8,'5'!$AF$27:$AF$32,1))</f>
        <v/>
      </c>
      <c r="BA8" s="102" t="str">
        <f>IF(COUNTIFS('6'!$AG$31:$AG$36,$AK8,'6'!$AF$31:$AF$36,1)=0,"",SUMIFS('6'!$AC$31:$AC$36,'6'!$AG$31:$AG$36,$AK8,'6'!$AF$31:$AF$36,1)/COUNTIFS('6'!$AG$31:$AG$36,$AK8,'6'!$AF$31:$AF$36,1))</f>
        <v/>
      </c>
      <c r="BB8" s="102" t="str">
        <f>IF(COUNTIFS('7'!$AG$30:$AG$35,$AK8,'7'!$AF$30:$AF$35,1)=0,"",SUMIFS('7'!$AC$30:$AC$35,'7'!$AG$30:$AG$35,$AK8,'7'!$AF$30:$AF$35,1)/COUNTIFS('7'!$AG$30:$AG$35,$AK8,'7'!$AF$30:$AF$35,1))</f>
        <v/>
      </c>
      <c r="BC8" s="102" t="str">
        <f>IF(COUNTIFS('8'!$AG$31:$AG$36,$AK8,'8'!$AF$31:$AF$36,1)=0,"",SUMIFS('8'!$AC$31:$AC$36,'8'!$AG$31:$AG$36,$AK8,'8'!$AF$31:$AF$36,1)/COUNTIFS('8'!$AG$31:$AG$36,$AK8,'8'!$AF$31:$AF$36,1))</f>
        <v/>
      </c>
      <c r="BD8" s="102" t="str">
        <f>IF(COUNTIFS('9'!$AG$33:$AG$38,$AK8,'9'!$AF$33:$AF$38,1)=0,"",SUMIFS('9'!$AC$33:$AC$38,'9'!$AG$33:$AG$38,$AK8,'9'!$AF$33:$AF$38,1)/COUNTIFS('9'!$AG$33:$AG$38,$AK8,'9'!$AF$33:$AF$38,1))</f>
        <v/>
      </c>
      <c r="BE8" s="102" t="str">
        <f>IF(COUNTIFS('10'!$AG$33:$AG$38,$AK8,'10'!$AF$33:$AF$38,1)=0,"",SUMIFS('10'!$AC$33:$AC$38,'10'!$AG$33:$AG$38,$AK8,'10'!$AF$33:$AF$38,1)/COUNTIFS('10'!$AG$33:$AG$38,$AK8,'10'!$AF$33:$AF$38,1))</f>
        <v/>
      </c>
      <c r="BF8" s="102" t="str">
        <f>IF(COUNTIFS('11'!$AG$29:$AG$34,$AK8,'11'!$AF$29:$AF$34,1)=0,"",SUMIFS('11'!$AC$29:$AC$34,'11'!$AG$29:$AG$34,$AK8,'11'!$AF$29:$AF$34,1)/COUNTIFS('11'!$AG$29:$AG$34,$AK8,'11'!$AF$29:$AF$34,1))</f>
        <v/>
      </c>
      <c r="BG8" s="102" t="str">
        <f>IF(COUNTIFS('12'!$AG$26:$AG$31,$AK8,'12'!$AF$26:$AF$31,1)=0,"",SUMIFS('12'!$AC$26:$AC$31,'12'!$AG$26:$AG$31,$AK8,'12'!$AF$26:$AF$31,1)/COUNTIFS('12'!$AG$26:$AG$31,$AK8,'12'!$AF$26:$AF$31,1))</f>
        <v/>
      </c>
      <c r="BH8" s="102" t="str">
        <f>IF(COUNTIFS('13'!$AG$25:$AG$30,$AK8,'13'!$AF$25:$AF$30,1)=0,"",SUMIFS('13'!$AC$25:$AC$30,'13'!$AG$25:$AG$30,$AK8,'13'!$AF$25:$AF$30,1)/COUNTIFS('13'!$AG$25:$AG$30,$AK8,'13'!$AF$25:$AF$30,1))</f>
        <v/>
      </c>
      <c r="BI8" s="102" t="str">
        <f>IF(COUNTIFS('14'!$AG$25:$AG$30,$AK8,'14'!$AF$25:$AF$30,1)=0,"",SUMIFS('14'!$AC$25:$AC$30,'14'!$AG$25:$AG$30,$AK8,'14'!$AF$25:$AF$30,1)/COUNTIFS('14'!$AG$25:$AG$30,$AK8,'14'!$AF$25:$AF$30,1))</f>
        <v/>
      </c>
      <c r="BJ8" s="102" t="str">
        <f>IF(COUNTIFS('15'!$AG$29:$AG$34,$AK8,'15'!$AF$29:$AF$34,1)=0,"",SUMIFS('15'!$AC$29:$AC$34,'15'!$AG$29:$AG$34,$AK8,'15'!$AF$29:$AF$34,1)/COUNTIFS('15'!$AG$29:$AG$34,$AK8,'15'!$AF$29:$AF$34,1))</f>
        <v/>
      </c>
      <c r="BK8" s="102" t="str">
        <f>IF(COUNTIFS('16'!$AG$28:$AG$33,$AK8,'16'!$AF$28:$AF$33,1)=0,"",SUMIFS('16'!$AC$28:$AC$33,'16'!$AG$28:$AG$33,$AK8,'16'!$AF$28:$AF$33,1)/COUNTIFS('16'!$AG$28:$AG$33,$AK8,'16'!$AF$28:$AF$33,1))</f>
        <v/>
      </c>
      <c r="BL8" s="102" t="str">
        <f>IF(COUNTIFS('17'!$AG$44:$AG$49,$AK8,'17'!$AF$44:$AF$49,1)=0,"",SUMIFS('17'!$AC$44:$AC$49,'17'!$AG$44:$AG$49,$AK8,'17'!$AF$44:$AF$49,1)/COUNTIFS('17'!$AG$44:$AG$49,$AK8,'17'!$AF$44:$AF$49,1))</f>
        <v/>
      </c>
      <c r="BM8" s="102" t="str">
        <f>IF(COUNTIFS('18'!$AG$28:$AG$33,$AK8,'18'!$AF$28:$AF$33,1)=0,"",SUMIFS('18'!$AC$28:$AC$33,'18'!$AG$28:$AG$33,$AK8,'18'!$AF$28:$AF$33,1)/COUNTIFS('18'!$AG$28:$AG$33,$AK8,'18'!$AF$28:$AF$33,1))</f>
        <v/>
      </c>
      <c r="BN8" s="102" t="str">
        <f>IF(COUNTIFS('19'!$AG$33:$AG$38,$AK8,'19'!$AF$33:$AF$38,1)=0,"",SUMIFS('19'!$AC$33:$AC$38,'19'!$AG$33:$AG$38,$AK8,'19'!$AF$33:$AF$38,1)/COUNTIFS('19'!$AG$33:$AG$38,$AK8,'19'!$AF$33:$AF$38,1))</f>
        <v/>
      </c>
      <c r="BO8" s="102" t="str">
        <f>IF(COUNTIFS('20'!$AG$28:$AG$33,$AK8,'20'!$AF$28:$AF$33,1)=0,"",SUMIFS('20'!$AC$28:$AC$33,'20'!$AG$28:$AG$33,$AK8,'20'!$AF$28:$AF$33,1)/COUNTIFS('20'!$AG$28:$AG$33,$AK8,'20'!$AF$28:$AF$33,1))</f>
        <v/>
      </c>
      <c r="BP8" s="102" t="str">
        <f>IF(COUNTIFS('21'!$AG$32:$AG$37,$AK8,'21'!$AF$32:$AF$37,1)=0,"",SUMIFS('21'!$AC$32:$AC$37,'21'!$AG$32:$AG$37,$AK8,'21'!$AF$32:$AF$37,1)/COUNTIFS('21'!$AG$32:$AG$37,$AK8,'21'!$AF$32:$AF$37,1))</f>
        <v/>
      </c>
      <c r="BQ8" s="102" t="str">
        <f>IF(COUNTIFS('22'!$AG$35:$AG$40,$AK8,'22'!$AF$35:$AF$40,1)=0,"",SUMIFS('22'!$AC$35:$AC$40,'22'!$AG$35:$AG$40,$AK8,'22'!$AF$35:$AF$40,1)/COUNTIFS('22'!$AG$35:$AG$40,$AK8,'22'!$AF$35:$AF$40,1))</f>
        <v/>
      </c>
      <c r="BR8" s="102" t="str">
        <f>IF(COUNTIFS('23'!$AG$30:$AG$35,$AK8,'23'!$AF$30:$AF$35,1)=0,"",SUMIFS('23'!$AC$30:$AC$35,'23'!$AG$30:$AG$35,$AK8,'23'!$AF$30:$AF$35,1)/COUNTIFS('23'!$AG$30:$AG$35,$AK8,'23'!$AF$30:$AF$35,1))</f>
        <v/>
      </c>
      <c r="BS8" s="102" t="str">
        <f>IF(COUNTIFS('24'!$AG$25:$AG$30,$AK8,'24'!$AF$25:$AF$30,1)=0,"",SUMIFS('24'!$AC$25:$AC$30,'24'!$AG$25:$AG$30,$AK8,'24'!$AF$25:$AF$30,1)/COUNTIFS('24'!$AG$25:$AG$30,$AK8,'24'!$AF$25:$AF$30,1))</f>
        <v/>
      </c>
      <c r="BT8" s="102" t="str">
        <f>IF(COUNTIFS('25'!$AG$27:$AG$32,$AK8,'25'!$AF$27:$AF$32,1)=0,"",SUMIFS('25'!$AC$27:$AC$32,'25'!$AG$27:$AG$32,$AK8,'25'!$AF$27:$AF$32,1)/COUNTIFS('25'!$AG$27:$AG$32,$AK8,'25'!$AF$27:$AF$32,1))</f>
        <v/>
      </c>
      <c r="BU8" s="102" t="str">
        <f>IF(COUNTIFS('26'!$AG$25:$AG$30,$AK8,'26'!$AF$25:$AF$30,1)=0,"",SUMIFS('26'!$AC$25:$AC$30,'26'!$AG$25:$AG$30,$AK8,'26'!$AF$25:$AF$30,1)/COUNTIFS('26'!$AG$25:$AG$30,$AK8,'26'!$AF$25:$AF$30,1))</f>
        <v/>
      </c>
      <c r="BV8" s="102" t="str">
        <f>IF(COUNTIFS('27'!$AG$25:$AG$30,$AK8,'27'!$AF$25:$AF$30,1)=0,"",SUMIFS('27'!$AC$25:$AC$30,'27'!$AG$25:$AG$30,$AK8,'27'!$AF$25:$AF$30,1)/COUNTIFS('27'!$AG$25:$AG$30,$AK8,'27'!$AF$25:$AF$30,1))</f>
        <v/>
      </c>
      <c r="BW8" s="102" t="str">
        <f>IF(COUNTIFS('28'!$AG$25:$AG$30,$AK8,'28'!$AF$25:$AF$30,1)=0,"",SUMIFS('28'!$AC$25:$AC$30,'28'!$AG$25:$AG$30,$AK8,'28'!$AF$25:$AF$30,1)/COUNTIFS('28'!$AG$25:$AG$30,$AK8,'28'!$AF$25:$AF$30,1))</f>
        <v/>
      </c>
      <c r="BX8" s="102" t="str">
        <f>IF(COUNTIFS('29'!$AG$25:$AG$30,$AK8,'29'!$AF$25:$AF$30,1)=0,"",SUMIFS('29'!$AC$25:$AC$30,'29'!$AG$25:$AG$30,$AK8,'29'!$AF$25:$AF$30,1)/COUNTIFS('29'!$AG$25:$AG$30,$AK8,'29'!$AF$25:$AF$30,1))</f>
        <v/>
      </c>
      <c r="BY8" s="102" t="str">
        <f>IF(COUNTIFS('30'!$AG$25:$AG$30,$AK8,'30'!$AF$25:$AF$30,1)=0,"",SUMIFS('30'!$AC$25:$AC$30,'30'!$AG$25:$AG$30,$AK8,'30'!$AF$25:$AF$30,1)/COUNTIFS('30'!$AG$25:$AG$30,$AK8,'30'!$AF$25:$AF$30,1))</f>
        <v/>
      </c>
      <c r="BZ8" s="102" t="str">
        <f>IF(COUNTIFS('31'!$AG$28:$AG$33,$AK8,'31'!$AF$28:$AF$33,1)=0,"",SUMIFS('31'!$AC$28:$AC$33,'31'!$AG$28:$AG$33,$AK8,'31'!$AF$28:$AF$33,1)/COUNTIFS('31'!$AG$28:$AG$33,$AK8,'31'!$AF$28:$AF$33,1))</f>
        <v/>
      </c>
      <c r="CA8" s="102" t="s">
        <v>546</v>
      </c>
      <c r="CB8" s="102">
        <f t="shared" si="6"/>
        <v>0</v>
      </c>
    </row>
    <row r="9">
      <c r="A9" s="210">
        <f>IF(LARGE($Y$5:$Y$17,4)=0,"",4)</f>
        <v>4</v>
      </c>
      <c r="B9" s="210" t="str">
        <f t="shared" si="7"/>
        <v>Single</v>
      </c>
      <c r="C9" s="210">
        <f t="shared" si="8"/>
        <v>20</v>
      </c>
      <c r="D9" s="211">
        <f t="shared" si="9"/>
        <v>0.05714285714</v>
      </c>
      <c r="E9" s="211">
        <f t="shared" si="10"/>
        <v>0.8228571429</v>
      </c>
      <c r="X9" s="102" t="s">
        <v>278</v>
      </c>
      <c r="Y9" s="102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$24,X9)+COUNTIF('11'!$D$4:$D$20,X9)+COUNTIF('12'!$D$4:$D$17,X9)+COUNTIF('13'!$D$4:$D$16,X9)+COUNTIF('14'!$D$4:$D$16,X9)+COUNTIF('15'!$D$4:$D$20,X9)+COUNTIF('16'!$D$4:$D$19,X9)+COUNTIF('17'!$D$14:$D$35,X9)+COUNTIF('18'!$D$4:$D$19,X9)+COUNTIF('19'!$D$4:$D$24,X9)+COUNTIF('20'!$D$4:$D$19,X9)+COUNTIF('21'!$D$4:$D$23,X9)+COUNTIF('22'!$D$4:$D$26,X9)+COUNTIF('23'!$D$4:$D$21,X9)+COUNTIF('24'!$D$4:$D$16,X9)+COUNTIF('25'!$D$4:$D$18,X9)+COUNTIF('26'!$D$4:$D$16,X9)+COUNTIF('27'!$D$4:$D$16,X9)+COUNTIF('28'!$D$4:$D$16,X9)+COUNTIF('29'!$D$4:$D$16,X9)+COUNTIF('30'!$D$4:$D$16,X9)+COUNTIF('31'!$D$4:$D$17,X9)</f>
        <v>9</v>
      </c>
      <c r="Z9" s="102">
        <f t="shared" si="1"/>
        <v>9.00009</v>
      </c>
      <c r="AA9" s="102" t="s">
        <v>542</v>
      </c>
      <c r="AB9" s="102" t="s">
        <v>532</v>
      </c>
      <c r="AC9" s="102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$26:$O$29,AA9)+COUNTIF('11'!$O$22:$O$25,AA9)+COUNTIF('12'!$O$19:$O$22,AA9)+COUNTIF('13'!$O$18:$O$21,AA9)+COUNTIF('14'!$O$18:$O$21,AA9)+COUNTIF('15'!$O$22:$O$25,AA9)+COUNTIF('16'!$O$21:$O$24,AA9)+COUNTIF('17'!$O$37:$O$40,AA9)+COUNTIF('18'!$O$21:$O$24,AA9)+COUNTIF('19'!$O$26:$O$29,AA9)+COUNTIF('20'!$O$21:$O$24,AA9)+COUNTIF('21'!$O$25:$O$28,AA9)+COUNTIF('22'!$O$28:$O$31,AA9)+COUNTIF('23'!$O$23:$O$26,AA9)+COUNTIF('24'!$O$18:$O$21,AA9)+COUNTIF('25'!$O$20:$O$23,AA9)+COUNTIF('26'!$O$18:$O$21,AA9)+COUNTIF('27'!$O$18:$O$21,AA9)+COUNTIF('28'!$O$18:$O$21,AA9)+COUNTIF('29'!$O$18:$O$21,AA9)+COUNTIF('30'!$O$18:$O$21,AA9)+COUNTIF('31'!$O$19:$O$22,AA9)</f>
        <v>0</v>
      </c>
      <c r="AD9" s="102">
        <f t="shared" si="2"/>
        <v>0.00007</v>
      </c>
      <c r="AE9" s="102" t="s">
        <v>542</v>
      </c>
      <c r="AF9" s="102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$24,AE9)+COUNTIF('11'!$L$4:$L$20,AE9)+COUNTIF('12'!$L$4:$L$17,AE9)+COUNTIF('13'!$L$4:$L$16,AE9)+COUNTIF('14'!$L$4:$L$16,AE9)+COUNTIF('15'!$L$4:$L$20,AE9)+COUNTIF('16'!$L$4:$L$19,AE9)+COUNTIF('17'!$L$14:$L$35,AE9)+COUNTIF('18'!$L$4:$L$19,AE9)+COUNTIF('19'!$L$4:$L$24,AE9)+COUNTIF('20'!$L$4:$L$19,AE9)+COUNTIF('21'!$L$4:$L$23,AE9)+COUNTIF('22'!$L$4:$L$26,AE9)+COUNTIF('23'!$L$4:$L$21,AE9)+COUNTIF('24'!$L$4:$L$16,AE9)+COUNTIF('25'!$L$4:$L$18,AE9)+COUNTIF('26'!$L$4:$L$16,AE9)+COUNTIF('27'!$L$4:$L$16,AE9)+COUNTIF('28'!$L$4:$L$16,AE9)+COUNTIF('29'!$L$4:$L$16,AE9)+COUNTIF('30'!$L$4:$L$16,AE9)+COUNTIF('31'!$L$4:$L$17,AE9)</f>
        <v>0</v>
      </c>
      <c r="AG9" s="102">
        <f t="shared" si="3"/>
        <v>0.00001</v>
      </c>
      <c r="AH9" s="102" t="s">
        <v>544</v>
      </c>
      <c r="AI9" s="102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$24,AH9)+COUNTIF('11'!$M$4:$M$20,AH9)+COUNTIF('12'!$M$4:$M$17,AH9)+COUNTIF('13'!$M$4:$M$16,AH9)+COUNTIF('14'!$M$4:$M$16,AH9)+COUNTIF('15'!$M$4:$M$20,AH9)+COUNTIF('16'!$M$4:$M$19,AH9)+COUNTIF('17'!$M$14:$M$35,AH9)+COUNTIF('18'!$M$4:$M$19,AH9)+COUNTIF('19'!$M$4:$M$24,AH9)+COUNTIF('20'!$M$4:$M$19,AH9)+COUNTIF('21'!$M$4:$M$23,AH9)+COUNTIF('22'!$M$4:$M$26,AH9)+COUNTIF('23'!$M$4:$M$21,AH9)+COUNTIF('24'!$M$4:$M$16,AH9)+COUNTIF('25'!$M$4:$M$18,AH9)+COUNTIF('26'!$M$4:$M$16,AH9)+COUNTIF('27'!$M$4:$M$16,AH9)+COUNTIF('28'!$M$4:$M$16,AH9)+COUNTIF('29'!$M$4:$M$16,AH9)+COUNTIF('30'!$M$4:$M$16,AH9)+COUNTIF('31'!$M$4:$M$17,AH9)</f>
        <v>0</v>
      </c>
      <c r="AJ9" s="102">
        <f t="shared" si="4"/>
        <v>0.00002</v>
      </c>
      <c r="AK9" s="102" t="s">
        <v>542</v>
      </c>
      <c r="AL9" s="102" t="s">
        <v>532</v>
      </c>
      <c r="AM9" s="102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$33:$AG$38,AK9,'10'!$AF$33:$AF$38,1)+COUNTIFS('11'!$AG$29:$AG$34,AK9,'11'!$AF$29:$AF$34,1)+COUNTIFS('12'!$AG$26:$AG$31,AK9,'12'!$AF$26:$AF$31,1)+COUNTIFS('13'!$AG$25:$AG$30,AK9,'13'!$AF$25:$AF$30,1)+COUNTIFS('14'!$AG$25:$AG$30,AK9,'14'!$AF$25:$AF$30,1)+COUNTIFS('15'!$AG$29:$AG$34,AK9,'15'!$AF$29:$AF$34,1)+COUNTIFS('16'!$AG$28:$AG$33,AK9,'16'!$AF$28:$AF$33,1)+COUNTIFS('17'!$AG$44:$AG$49,AK9,'17'!$AF$44:$AF$49,1)+COUNTIFS('18'!$AG$28:$AG$33,AK9,'18'!$AF$28:$AF$33,1)+COUNTIFS('19'!$AG$33:$AG$38,AK9,'19'!$AF$33:$AF$38,1)+COUNTIFS('20'!$AG$28:$AG$33,AK9,'20'!$AF$28:$AF$33,1)+COUNTIFS('21'!$AG$32:$AG$37,AK9,'21'!$AF$32:$AF$37,1)+COUNTIFS('22'!$AG$35:$AG$40,AK9,'22'!$AF$35:$AF$40,1)+COUNTIFS('23'!$AG$30:$AG$35,AK9,'23'!$AF$30:$AF$35,1)+COUNTIFS('24'!$AG$25:$AG$30,AK9,'24'!$AF$25:$AF$30,1)+COUNTIFS('25'!$AG$27:$AG$32,AK9,'25'!$AF$27:$AF$32,1)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102" t="str">
        <f t="shared" si="5"/>
        <v/>
      </c>
      <c r="AO9" s="102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$33:$L$38,'10'!$AG$33:$AG$38,AK9,'10'!$AF$33:$AF$38,1)+SUMIFS('11'!$L$29:$L$34,'11'!$AG$29:$AG$34,AK9,'11'!$AF$29:$AF$34,1)+SUMIFS('12'!$L$26:$L$31,'12'!$AG$26:$AG$31,AK9,'12'!$AF$26:$AF$31,1)+SUMIFS('13'!$L$25:$L$30,'13'!$AG$25:$AG$30,AK9,'13'!$AF$25:$AF$30,1)+SUMIFS('14'!$L$25:$L$30,'14'!$AG$25:$AG$30,AK9,'14'!$AF$25:$AF$30,1)+SUMIFS('15'!$L$29:$L$34,'15'!$AG$29:$AG$34,AK9,'15'!$AF$29:$AF$34,1)+SUMIFS('16'!$L$28:$L$33,'16'!$AG$28:$AG$33,AK9,'16'!$AF$28:$AF$33,1)+SUMIFS('17'!$L$44:$L$49,'17'!$AG$44:$AG$49,AK9,'17'!$AF$44:$AF$49,1)+SUMIFS('18'!$L$28:$L$33,'18'!$AG$28:$AG$33,AK9,'18'!$AF$28:$AF$33,1)+SUMIFS('19'!$L$33:$L$38,'19'!$AG$33:$AG$38,AK9,'19'!$AF$33:$AF$38,1)+SUMIFS('20'!$L$28:$L$33,'20'!$AG$28:$AG$33,AK9,'20'!$AF$28:$AF$33,1)+SUMIFS('21'!$L$32:$L$37,'21'!$AG$32:$AG$37,AK9,'21'!$AF$32:$AF$37,1)+SUMIFS('22'!$L$35:$L$40,'22'!$AG$35:$AG$40,AK9,'22'!$AF$35:$AF$40,1)+SUMIFS('23'!$L$30:$L$35,'23'!$AG$30:$AG$35,AK9,'23'!$AF$30:$AF$35,1)+SUMIFS('24'!$L$25:$L$30,'24'!$AG$25:$AG$30,AK9,'24'!$AF$25:$AF$30,1)+SUMIFS('25'!$L$27:$L$32,'25'!$AG$27:$AG$32,AK9,'25'!$AF$27:$AF$32,1)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102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$33:$M$38,'10'!$AG$33:$AG$38,AK9,'10'!$AF$33:$AF$38,1)+SUMIFS('11'!$M$29:$M$34,'11'!$AG$29:$AG$34,AK9,'11'!$AF$29:$AF$34,1)+SUMIFS('12'!$M$26:$M$31,'12'!$AG$26:$AG$31,AK9,'12'!$AF$26:$AF$31,1)+SUMIFS('13'!$M$25:$M$30,'13'!$AG$25:$AG$30,AK9,'13'!$AF$25:$AF$30,1)+SUMIFS('14'!$M$25:$M$30,'14'!$AG$25:$AG$30,AK9,'14'!$AF$25:$AF$30,1)+SUMIFS('15'!$M$29:$M$34,'15'!$AG$29:$AG$34,AK9,'15'!$AF$29:$AF$34,1)+SUMIFS('16'!$M$28:$M$33,'16'!$AG$28:$AG$33,AK9,'16'!$AF$28:$AF$33,1)+SUMIFS('17'!$M$44:$M$49,'17'!$AG$44:$AG$49,AK9,'17'!$AF$44:$AF$49,1)+SUMIFS('18'!$M$28:$M$33,'18'!$AG$28:$AG$33,AK9,'18'!$AF$28:$AF$33,1)+SUMIFS('19'!$M$33:$M$38,'19'!$AG$33:$AG$38,AK9,'19'!$AF$33:$AF$38,1)+SUMIFS('20'!$M$28:$M$33,'20'!$AG$28:$AG$33,AK9,'20'!$AF$28:$AF$33,1)+SUMIFS('21'!$M$32:$M$37,'21'!$AG$32:$AG$37,AK9,'21'!$AF$32:$AF$37,1)+SUMIFS('22'!$M$35:$M$40,'22'!$AG$35:$AG$40,AK9,'22'!$AF$35:$AF$40,1)+SUMIFS('23'!$M$30:$M$35,'23'!$AG$30:$AG$35,AK9,'23'!$AF$30:$AF$35,1)+SUMIFS('24'!$M$25:$M$30,'24'!$AG$25:$AG$30,AK9,'24'!$AF$25:$AF$30,1)+SUMIFS('25'!$M$27:$M$32,'25'!$AG$27:$AG$32,AK9,'25'!$AF$27:$AF$32,1)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102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$33:$N$38,'10'!$AG$33:$AG$38,AK9,'10'!$AF$33:$AF$38,1)+SUMIFS('11'!$N$29:$N$34,'11'!$AG$29:$AG$34,AK9,'11'!$AF$29:$AF$34,1)+SUMIFS('12'!$N$26:$N$31,'12'!$AG$26:$AG$31,AK9,'12'!$AF$26:$AF$31,1)+SUMIFS('13'!$N$25:$N$30,'13'!$AG$25:$AG$30,AK9,'13'!$AF$25:$AF$30,1)+SUMIFS('14'!$N$25:$N$30,'14'!$AG$25:$AG$30,AK9,'14'!$AF$25:$AF$30,1)+SUMIFS('15'!$N$29:$N$34,'15'!$AG$29:$AG$34,AK9,'15'!$AF$29:$AF$34,1)+SUMIFS('16'!$N$28:$N$33,'16'!$AG$28:$AG$33,AK9,'16'!$AF$28:$AF$33,1)+SUMIFS('17'!$N$44:$N$49,'17'!$AG$44:$AG$49,AK9,'17'!$AF$44:$AF$49,1)+SUMIFS('18'!$N$28:$N$33,'18'!$AG$28:$AG$33,AK9,'18'!$AF$28:$AF$33,1)+SUMIFS('19'!$N$33:$N$38,'19'!$AG$33:$AG$38,AK9,'19'!$AF$33:$AF$38,1)+SUMIFS('20'!$N$28:$N$33,'20'!$AG$28:$AG$33,AK9,'20'!$AF$28:$AF$33,1)+SUMIFS('21'!$N$32:$N$37,'21'!$AG$32:$AG$37,AK9,'21'!$AF$32:$AF$37,1)+SUMIFS('22'!$N$35:$N$40,'22'!$AG$35:$AG$40,AK9,'22'!$AF$35:$AF$40,1)+SUMIFS('23'!$N$30:$N$35,'23'!$AG$30:$AG$35,AK9,'23'!$AF$30:$AF$35,1)+SUMIFS('24'!$N$25:$N$30,'24'!$AG$25:$AG$30,AK9,'24'!$AF$25:$AF$30,1)+SUMIFS('25'!$N$27:$N$32,'25'!$AG$27:$AG$32,AK9,'25'!$AF$27:$AF$32,1)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102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$33:$O$38,'10'!$AG$33:$AG$38,AK9,'10'!$AF$33:$AF$38,1)+SUMIFS('11'!$O$29:$O$34,'11'!$AG$29:$AG$34,AK9,'11'!$AF$29:$AF$34,1)+SUMIFS('12'!$O$26:$O$31,'12'!$AG$26:$AG$31,AK9,'12'!$AF$26:$AF$31,1)+SUMIFS('13'!$O$25:$O$30,'13'!$AG$25:$AG$30,AK9,'13'!$AF$25:$AF$30,1)+SUMIFS('14'!$O$25:$O$30,'14'!$AG$25:$AG$30,AK9,'14'!$AF$25:$AF$30,1)+SUMIFS('15'!$O$29:$O$34,'15'!$AG$29:$AG$34,AK9,'15'!$AF$29:$AF$34,1)+SUMIFS('16'!$O$28:$O$33,'16'!$AG$28:$AG$33,AK9,'16'!$AF$28:$AF$33,1)+SUMIFS('17'!$O$44:$O$49,'17'!$AG$44:$AG$49,AK9,'17'!$AF$44:$AF$49,1)+SUMIFS('18'!$O$28:$O$33,'18'!$AG$28:$AG$33,AK9,'18'!$AF$28:$AF$33,1)+SUMIFS('19'!$O$33:$O$38,'19'!$AG$33:$AG$38,AK9,'19'!$AF$33:$AF$38,1)+SUMIFS('20'!$O$28:$O$33,'20'!$AG$28:$AG$33,AK9,'20'!$AF$28:$AF$33,1)+SUMIFS('21'!$O$32:$O$37,'21'!$AG$32:$AG$37,AK9,'21'!$AF$32:$AF$37,1)+SUMIFS('22'!$O$35:$O$40,'22'!$AG$35:$AG$40,AK9,'22'!$AF$35:$AF$40,1)+SUMIFS('23'!$O$30:$O$35,'23'!$AG$30:$AG$35,AK9,'23'!$AF$30:$AF$35,1)+SUMIFS('24'!$O$25:$O$30,'24'!$AG$25:$AG$30,AK9,'24'!$AF$25:$AF$30,1)+SUMIFS('25'!$O$27:$O$32,'25'!$AG$27:$AG$32,AK9,'25'!$AF$27:$AF$32,1)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102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$33:$P$38,'10'!$AG$33:$AG$38,AK9,'10'!$AF$33:$AF$38,1)+SUMIFS('11'!$P$29:$P$34,'11'!$AG$29:$AG$34,AK9,'11'!$AF$29:$AF$34,1)+SUMIFS('12'!$P$26:$P$31,'12'!$AG$26:$AG$31,AK9,'12'!$AF$26:$AF$31,1)+SUMIFS('13'!$P$25:$P$30,'13'!$AG$25:$AG$30,AK9,'13'!$AF$25:$AF$30,1)+SUMIFS('14'!$P$25:$P$30,'14'!$AG$25:$AG$30,AK9,'14'!$AF$25:$AF$30,1)+SUMIFS('15'!$P$29:$P$34,'15'!$AG$29:$AG$34,AK9,'15'!$AF$29:$AF$34,1)+SUMIFS('16'!$P$28:$P$33,'16'!$AG$28:$AG$33,AK9,'16'!$AF$28:$AF$33,1)+SUMIFS('17'!$P$44:$P$49,'17'!$AG$44:$AG$49,AK9,'17'!$AF$44:$AF$49,1)+SUMIFS('18'!$P$28:$P$33,'18'!$AG$28:$AG$33,AK9,'18'!$AF$28:$AF$33,1)+SUMIFS('19'!$P$33:$P$38,'19'!$AG$33:$AG$38,AK9,'19'!$AF$33:$AF$38,1)+SUMIFS('20'!$P$28:$P$33,'20'!$AG$28:$AG$33,AK9,'20'!$AF$28:$AF$33,1)+SUMIFS('21'!$P$32:$P$37,'21'!$AG$32:$AG$37,AK9,'21'!$AF$32:$AF$37,1)+SUMIFS('22'!$P$35:$P$40,'22'!$AG$35:$AG$40,AK9,'22'!$AF$35:$AF$40,1)+SUMIFS('23'!$P$30:$P$35,'23'!$AG$30:$AG$35,AK9,'23'!$AF$30:$AF$35,1)+SUMIFS('24'!$P$25:$P$30,'24'!$AG$25:$AG$30,AK9,'24'!$AF$25:$AF$30,1)+SUMIFS('25'!$P$27:$P$32,'25'!$AG$27:$AG$32,AK9,'25'!$AF$27:$AF$32,1)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102" t="str">
        <f>IF(COUNTIFS('1'!$AG$29:$AG$34,$AK9,'1'!$AF$29:$AF$34,1)=0,"",SUMIFS('1'!$AC$29:$AC$34,'1'!$AG$29:$AG$34,$AK9,'1'!$AF$29:$AF$34,1)/COUNTIFS('1'!$AG$29:$AG$34,$AK9,'1'!$AF$29:$AF$34,1))</f>
        <v/>
      </c>
      <c r="AW9" s="102" t="str">
        <f>IF(COUNTIFS('2'!$AG$27:$AG$32,$AK9,'2'!$AF$27:$AF$32,1)=0,"",SUMIFS('2'!$AC$27:$AC$32,'2'!$AG$27:$AG$32,$AK9,'2'!$AF$27:$AF$32,1)/COUNTIFS('2'!$AG$27:$AG$32,$AK9,'2'!$AF$27:$AF$32,1))</f>
        <v/>
      </c>
      <c r="AX9" s="102" t="str">
        <f>IF(COUNTIFS('3'!$AG$74:$AG$79,$AK9,'3'!$AF$74:$AF$79,1)=0,"",SUMIFS('3'!$AC$74:$AC$79,'3'!$AG$74:$AG$79,$AK9,'3'!$AF$74:$AF$79,1)/COUNTIFS('3'!$AG$74:$AG$79,$AK9,'3'!$AF$74:$AF$79,1))</f>
        <v/>
      </c>
      <c r="AY9" s="102" t="str">
        <f>IF(COUNTIFS('4'!$AG$86:$AG$91,$AK9,'4'!$AF$86:$AF$91,1)=0,"",SUMIFS('4'!$AC$86:$AC$91,'4'!$AG$86:$AG$91,$AK9,'4'!$AF$86:$AF$91,1)/COUNTIFS('4'!$AG$86:$AG$91,$AK9,'4'!$AF$86:$AF$91,1))</f>
        <v/>
      </c>
      <c r="AZ9" s="102" t="str">
        <f>IF(COUNTIFS('5'!$AG$27:$AG$32,$AK9,'5'!$AF$27:$AF$32,1)=0,"",SUMIFS('5'!$AC$27:$AC$32,'5'!$AG$27:$AG$32,$AK9,'5'!$AF$27:$AF$32,1)/COUNTIFS('5'!$AG$27:$AG$32,$AK9,'5'!$AF$27:$AF$32,1))</f>
        <v/>
      </c>
      <c r="BA9" s="102" t="str">
        <f>IF(COUNTIFS('6'!$AG$31:$AG$36,$AK9,'6'!$AF$31:$AF$36,1)=0,"",SUMIFS('6'!$AC$31:$AC$36,'6'!$AG$31:$AG$36,$AK9,'6'!$AF$31:$AF$36,1)/COUNTIFS('6'!$AG$31:$AG$36,$AK9,'6'!$AF$31:$AF$36,1))</f>
        <v/>
      </c>
      <c r="BB9" s="102" t="str">
        <f>IF(COUNTIFS('7'!$AG$30:$AG$35,$AK9,'7'!$AF$30:$AF$35,1)=0,"",SUMIFS('7'!$AC$30:$AC$35,'7'!$AG$30:$AG$35,$AK9,'7'!$AF$30:$AF$35,1)/COUNTIFS('7'!$AG$30:$AG$35,$AK9,'7'!$AF$30:$AF$35,1))</f>
        <v/>
      </c>
      <c r="BC9" s="102" t="str">
        <f>IF(COUNTIFS('8'!$AG$31:$AG$36,$AK9,'8'!$AF$31:$AF$36,1)=0,"",SUMIFS('8'!$AC$31:$AC$36,'8'!$AG$31:$AG$36,$AK9,'8'!$AF$31:$AF$36,1)/COUNTIFS('8'!$AG$31:$AG$36,$AK9,'8'!$AF$31:$AF$36,1))</f>
        <v/>
      </c>
      <c r="BD9" s="102" t="str">
        <f>IF(COUNTIFS('9'!$AG$33:$AG$38,$AK9,'9'!$AF$33:$AF$38,1)=0,"",SUMIFS('9'!$AC$33:$AC$38,'9'!$AG$33:$AG$38,$AK9,'9'!$AF$33:$AF$38,1)/COUNTIFS('9'!$AG$33:$AG$38,$AK9,'9'!$AF$33:$AF$38,1))</f>
        <v/>
      </c>
      <c r="BE9" s="102" t="str">
        <f>IF(COUNTIFS('10'!$AG$33:$AG$38,$AK9,'10'!$AF$33:$AF$38,1)=0,"",SUMIFS('10'!$AC$33:$AC$38,'10'!$AG$33:$AG$38,$AK9,'10'!$AF$33:$AF$38,1)/COUNTIFS('10'!$AG$33:$AG$38,$AK9,'10'!$AF$33:$AF$38,1))</f>
        <v/>
      </c>
      <c r="BF9" s="102" t="str">
        <f>IF(COUNTIFS('11'!$AG$29:$AG$34,$AK9,'11'!$AF$29:$AF$34,1)=0,"",SUMIFS('11'!$AC$29:$AC$34,'11'!$AG$29:$AG$34,$AK9,'11'!$AF$29:$AF$34,1)/COUNTIFS('11'!$AG$29:$AG$34,$AK9,'11'!$AF$29:$AF$34,1))</f>
        <v/>
      </c>
      <c r="BG9" s="102" t="str">
        <f>IF(COUNTIFS('12'!$AG$26:$AG$31,$AK9,'12'!$AF$26:$AF$31,1)=0,"",SUMIFS('12'!$AC$26:$AC$31,'12'!$AG$26:$AG$31,$AK9,'12'!$AF$26:$AF$31,1)/COUNTIFS('12'!$AG$26:$AG$31,$AK9,'12'!$AF$26:$AF$31,1))</f>
        <v/>
      </c>
      <c r="BH9" s="102" t="str">
        <f>IF(COUNTIFS('13'!$AG$25:$AG$30,$AK9,'13'!$AF$25:$AF$30,1)=0,"",SUMIFS('13'!$AC$25:$AC$30,'13'!$AG$25:$AG$30,$AK9,'13'!$AF$25:$AF$30,1)/COUNTIFS('13'!$AG$25:$AG$30,$AK9,'13'!$AF$25:$AF$30,1))</f>
        <v/>
      </c>
      <c r="BI9" s="102" t="str">
        <f>IF(COUNTIFS('14'!$AG$25:$AG$30,$AK9,'14'!$AF$25:$AF$30,1)=0,"",SUMIFS('14'!$AC$25:$AC$30,'14'!$AG$25:$AG$30,$AK9,'14'!$AF$25:$AF$30,1)/COUNTIFS('14'!$AG$25:$AG$30,$AK9,'14'!$AF$25:$AF$30,1))</f>
        <v/>
      </c>
      <c r="BJ9" s="102" t="str">
        <f>IF(COUNTIFS('15'!$AG$29:$AG$34,$AK9,'15'!$AF$29:$AF$34,1)=0,"",SUMIFS('15'!$AC$29:$AC$34,'15'!$AG$29:$AG$34,$AK9,'15'!$AF$29:$AF$34,1)/COUNTIFS('15'!$AG$29:$AG$34,$AK9,'15'!$AF$29:$AF$34,1))</f>
        <v/>
      </c>
      <c r="BK9" s="102" t="str">
        <f>IF(COUNTIFS('16'!$AG$28:$AG$33,$AK9,'16'!$AF$28:$AF$33,1)=0,"",SUMIFS('16'!$AC$28:$AC$33,'16'!$AG$28:$AG$33,$AK9,'16'!$AF$28:$AF$33,1)/COUNTIFS('16'!$AG$28:$AG$33,$AK9,'16'!$AF$28:$AF$33,1))</f>
        <v/>
      </c>
      <c r="BL9" s="102" t="str">
        <f>IF(COUNTIFS('17'!$AG$44:$AG$49,$AK9,'17'!$AF$44:$AF$49,1)=0,"",SUMIFS('17'!$AC$44:$AC$49,'17'!$AG$44:$AG$49,$AK9,'17'!$AF$44:$AF$49,1)/COUNTIFS('17'!$AG$44:$AG$49,$AK9,'17'!$AF$44:$AF$49,1))</f>
        <v/>
      </c>
      <c r="BM9" s="102" t="str">
        <f>IF(COUNTIFS('18'!$AG$28:$AG$33,$AK9,'18'!$AF$28:$AF$33,1)=0,"",SUMIFS('18'!$AC$28:$AC$33,'18'!$AG$28:$AG$33,$AK9,'18'!$AF$28:$AF$33,1)/COUNTIFS('18'!$AG$28:$AG$33,$AK9,'18'!$AF$28:$AF$33,1))</f>
        <v/>
      </c>
      <c r="BN9" s="102" t="str">
        <f>IF(COUNTIFS('19'!$AG$33:$AG$38,$AK9,'19'!$AF$33:$AF$38,1)=0,"",SUMIFS('19'!$AC$33:$AC$38,'19'!$AG$33:$AG$38,$AK9,'19'!$AF$33:$AF$38,1)/COUNTIFS('19'!$AG$33:$AG$38,$AK9,'19'!$AF$33:$AF$38,1))</f>
        <v/>
      </c>
      <c r="BO9" s="102" t="str">
        <f>IF(COUNTIFS('20'!$AG$28:$AG$33,$AK9,'20'!$AF$28:$AF$33,1)=0,"",SUMIFS('20'!$AC$28:$AC$33,'20'!$AG$28:$AG$33,$AK9,'20'!$AF$28:$AF$33,1)/COUNTIFS('20'!$AG$28:$AG$33,$AK9,'20'!$AF$28:$AF$33,1))</f>
        <v/>
      </c>
      <c r="BP9" s="102" t="str">
        <f>IF(COUNTIFS('21'!$AG$32:$AG$37,$AK9,'21'!$AF$32:$AF$37,1)=0,"",SUMIFS('21'!$AC$32:$AC$37,'21'!$AG$32:$AG$37,$AK9,'21'!$AF$32:$AF$37,1)/COUNTIFS('21'!$AG$32:$AG$37,$AK9,'21'!$AF$32:$AF$37,1))</f>
        <v/>
      </c>
      <c r="BQ9" s="102" t="str">
        <f>IF(COUNTIFS('22'!$AG$35:$AG$40,$AK9,'22'!$AF$35:$AF$40,1)=0,"",SUMIFS('22'!$AC$35:$AC$40,'22'!$AG$35:$AG$40,$AK9,'22'!$AF$35:$AF$40,1)/COUNTIFS('22'!$AG$35:$AG$40,$AK9,'22'!$AF$35:$AF$40,1))</f>
        <v/>
      </c>
      <c r="BR9" s="102" t="str">
        <f>IF(COUNTIFS('23'!$AG$30:$AG$35,$AK9,'23'!$AF$30:$AF$35,1)=0,"",SUMIFS('23'!$AC$30:$AC$35,'23'!$AG$30:$AG$35,$AK9,'23'!$AF$30:$AF$35,1)/COUNTIFS('23'!$AG$30:$AG$35,$AK9,'23'!$AF$30:$AF$35,1))</f>
        <v/>
      </c>
      <c r="BS9" s="102" t="str">
        <f>IF(COUNTIFS('24'!$AG$25:$AG$30,$AK9,'24'!$AF$25:$AF$30,1)=0,"",SUMIFS('24'!$AC$25:$AC$30,'24'!$AG$25:$AG$30,$AK9,'24'!$AF$25:$AF$30,1)/COUNTIFS('24'!$AG$25:$AG$30,$AK9,'24'!$AF$25:$AF$30,1))</f>
        <v/>
      </c>
      <c r="BT9" s="102" t="str">
        <f>IF(COUNTIFS('25'!$AG$27:$AG$32,$AK9,'25'!$AF$27:$AF$32,1)=0,"",SUMIFS('25'!$AC$27:$AC$32,'25'!$AG$27:$AG$32,$AK9,'25'!$AF$27:$AF$32,1)/COUNTIFS('25'!$AG$27:$AG$32,$AK9,'25'!$AF$27:$AF$32,1))</f>
        <v/>
      </c>
      <c r="BU9" s="102" t="str">
        <f>IF(COUNTIFS('26'!$AG$25:$AG$30,$AK9,'26'!$AF$25:$AF$30,1)=0,"",SUMIFS('26'!$AC$25:$AC$30,'26'!$AG$25:$AG$30,$AK9,'26'!$AF$25:$AF$30,1)/COUNTIFS('26'!$AG$25:$AG$30,$AK9,'26'!$AF$25:$AF$30,1))</f>
        <v/>
      </c>
      <c r="BV9" s="102" t="str">
        <f>IF(COUNTIFS('27'!$AG$25:$AG$30,$AK9,'27'!$AF$25:$AF$30,1)=0,"",SUMIFS('27'!$AC$25:$AC$30,'27'!$AG$25:$AG$30,$AK9,'27'!$AF$25:$AF$30,1)/COUNTIFS('27'!$AG$25:$AG$30,$AK9,'27'!$AF$25:$AF$30,1))</f>
        <v/>
      </c>
      <c r="BW9" s="102" t="str">
        <f>IF(COUNTIFS('28'!$AG$25:$AG$30,$AK9,'28'!$AF$25:$AF$30,1)=0,"",SUMIFS('28'!$AC$25:$AC$30,'28'!$AG$25:$AG$30,$AK9,'28'!$AF$25:$AF$30,1)/COUNTIFS('28'!$AG$25:$AG$30,$AK9,'28'!$AF$25:$AF$30,1))</f>
        <v/>
      </c>
      <c r="BX9" s="102" t="str">
        <f>IF(COUNTIFS('29'!$AG$25:$AG$30,$AK9,'29'!$AF$25:$AF$30,1)=0,"",SUMIFS('29'!$AC$25:$AC$30,'29'!$AG$25:$AG$30,$AK9,'29'!$AF$25:$AF$30,1)/COUNTIFS('29'!$AG$25:$AG$30,$AK9,'29'!$AF$25:$AF$30,1))</f>
        <v/>
      </c>
      <c r="BY9" s="102" t="str">
        <f>IF(COUNTIFS('30'!$AG$25:$AG$30,$AK9,'30'!$AF$25:$AF$30,1)=0,"",SUMIFS('30'!$AC$25:$AC$30,'30'!$AG$25:$AG$30,$AK9,'30'!$AF$25:$AF$30,1)/COUNTIFS('30'!$AG$25:$AG$30,$AK9,'30'!$AF$25:$AF$30,1))</f>
        <v/>
      </c>
      <c r="BZ9" s="102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210">
        <f>IF(LARGE($Y$5:$Y$17,5)=0,"",5)</f>
        <v>5</v>
      </c>
      <c r="B10" s="210" t="str">
        <f t="shared" si="7"/>
        <v>Couple A</v>
      </c>
      <c r="C10" s="210">
        <f t="shared" si="8"/>
        <v>19</v>
      </c>
      <c r="D10" s="211">
        <f t="shared" si="9"/>
        <v>0.05428571429</v>
      </c>
      <c r="E10" s="211">
        <f t="shared" si="10"/>
        <v>0.8771428571</v>
      </c>
      <c r="X10" s="102" t="s">
        <v>34</v>
      </c>
      <c r="Y10" s="102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$24,X10)+COUNTIF('11'!$D$4:$D$20,X10)+COUNTIF('12'!$D$4:$D$17,X10)+COUNTIF('13'!$D$4:$D$16,X10)+COUNTIF('14'!$D$4:$D$16,X10)+COUNTIF('15'!$D$4:$D$20,X10)+COUNTIF('16'!$D$4:$D$19,X10)+COUNTIF('17'!$D$14:$D$35,X10)+COUNTIF('18'!$D$4:$D$19,X10)+COUNTIF('19'!$D$4:$D$24,X10)+COUNTIF('20'!$D$4:$D$19,X10)+COUNTIF('21'!$D$4:$D$23,X10)+COUNTIF('22'!$D$4:$D$26,X10)+COUNTIF('23'!$D$4:$D$21,X10)+COUNTIF('24'!$D$4:$D$16,X10)+COUNTIF('25'!$D$4:$D$18,X10)+COUNTIF('26'!$D$4:$D$16,X10)+COUNTIF('27'!$D$4:$D$16,X10)+COUNTIF('28'!$D$4:$D$16,X10)+COUNTIF('29'!$D$4:$D$16,X10)+COUNTIF('30'!$D$4:$D$16,X10)+COUNTIF('31'!$D$4:$D$17,X10)</f>
        <v>28</v>
      </c>
      <c r="Z10" s="102">
        <f t="shared" si="1"/>
        <v>28.00008</v>
      </c>
      <c r="AA10" s="102" t="s">
        <v>533</v>
      </c>
      <c r="AB10" s="102" t="s">
        <v>543</v>
      </c>
      <c r="AC10" s="102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$26:$O$29,AA10)+COUNTIF('11'!$O$22:$O$25,AA10)+COUNTIF('12'!$O$19:$O$22,AA10)+COUNTIF('13'!$O$18:$O$21,AA10)+COUNTIF('14'!$O$18:$O$21,AA10)+COUNTIF('15'!$O$22:$O$25,AA10)+COUNTIF('16'!$O$21:$O$24,AA10)+COUNTIF('17'!$O$37:$O$40,AA10)+COUNTIF('18'!$O$21:$O$24,AA10)+COUNTIF('19'!$O$26:$O$29,AA10)+COUNTIF('20'!$O$21:$O$24,AA10)+COUNTIF('21'!$O$25:$O$28,AA10)+COUNTIF('22'!$O$28:$O$31,AA10)+COUNTIF('23'!$O$23:$O$26,AA10)+COUNTIF('24'!$O$18:$O$21,AA10)+COUNTIF('25'!$O$20:$O$23,AA10)+COUNTIF('26'!$O$18:$O$21,AA10)+COUNTIF('27'!$O$18:$O$21,AA10)+COUNTIF('28'!$O$18:$O$21,AA10)+COUNTIF('29'!$O$18:$O$21,AA10)+COUNTIF('30'!$O$18:$O$21,AA10)+COUNTIF('31'!$O$19:$O$22,AA10)</f>
        <v>0</v>
      </c>
      <c r="AD10" s="102">
        <f t="shared" si="2"/>
        <v>0.00006</v>
      </c>
      <c r="AH10" s="102" t="s">
        <v>59</v>
      </c>
      <c r="AI10" s="102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$24,AH10)+COUNTIF('11'!$M$4:$M$20,AH10)+COUNTIF('12'!$M$4:$M$17,AH10)+COUNTIF('13'!$M$4:$M$16,AH10)+COUNTIF('14'!$M$4:$M$16,AH10)+COUNTIF('15'!$M$4:$M$20,AH10)+COUNTIF('16'!$M$4:$M$19,AH10)+COUNTIF('17'!$M$14:$M$35,AH10)+COUNTIF('18'!$M$4:$M$19,AH10)+COUNTIF('19'!$M$4:$M$24,AH10)+COUNTIF('20'!$M$4:$M$19,AH10)+COUNTIF('21'!$M$4:$M$23,AH10)+COUNTIF('22'!$M$4:$M$26,AH10)+COUNTIF('23'!$M$4:$M$21,AH10)+COUNTIF('24'!$M$4:$M$16,AH10)+COUNTIF('25'!$M$4:$M$18,AH10)+COUNTIF('26'!$M$4:$M$16,AH10)+COUNTIF('27'!$M$4:$M$16,AH10)+COUNTIF('28'!$M$4:$M$16,AH10)+COUNTIF('29'!$M$4:$M$16,AH10)+COUNTIF('30'!$M$4:$M$16,AH10)+COUNTIF('31'!$M$4:$M$17,AH10)</f>
        <v>95</v>
      </c>
      <c r="AJ10" s="102">
        <f t="shared" si="4"/>
        <v>95.00001</v>
      </c>
      <c r="AK10" s="102" t="s">
        <v>533</v>
      </c>
      <c r="AL10" s="102" t="s">
        <v>543</v>
      </c>
      <c r="AM10" s="102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$33:$AG$38,AK10,'10'!$AF$33:$AF$38,1)+COUNTIFS('11'!$AG$29:$AG$34,AK10,'11'!$AF$29:$AF$34,1)+COUNTIFS('12'!$AG$26:$AG$31,AK10,'12'!$AF$26:$AF$31,1)+COUNTIFS('13'!$AG$25:$AG$30,AK10,'13'!$AF$25:$AF$30,1)+COUNTIFS('14'!$AG$25:$AG$30,AK10,'14'!$AF$25:$AF$30,1)+COUNTIFS('15'!$AG$29:$AG$34,AK10,'15'!$AF$29:$AF$34,1)+COUNTIFS('16'!$AG$28:$AG$33,AK10,'16'!$AF$28:$AF$33,1)+COUNTIFS('17'!$AG$44:$AG$49,AK10,'17'!$AF$44:$AF$49,1)+COUNTIFS('18'!$AG$28:$AG$33,AK10,'18'!$AF$28:$AF$33,1)+COUNTIFS('19'!$AG$33:$AG$38,AK10,'19'!$AF$33:$AF$38,1)+COUNTIFS('20'!$AG$28:$AG$33,AK10,'20'!$AF$28:$AF$33,1)+COUNTIFS('21'!$AG$32:$AG$37,AK10,'21'!$AF$32:$AF$37,1)+COUNTIFS('22'!$AG$35:$AG$40,AK10,'22'!$AF$35:$AF$40,1)+COUNTIFS('23'!$AG$30:$AG$35,AK10,'23'!$AF$30:$AF$35,1)+COUNTIFS('24'!$AG$25:$AG$30,AK10,'24'!$AF$25:$AF$30,1)+COUNTIFS('25'!$AG$27:$AG$32,AK10,'25'!$AF$27:$AF$32,1)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102" t="str">
        <f t="shared" si="5"/>
        <v/>
      </c>
      <c r="AO10" s="102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$33:$L$38,'10'!$AG$33:$AG$38,AK10,'10'!$AF$33:$AF$38,1)+SUMIFS('11'!$L$29:$L$34,'11'!$AG$29:$AG$34,AK10,'11'!$AF$29:$AF$34,1)+SUMIFS('12'!$L$26:$L$31,'12'!$AG$26:$AG$31,AK10,'12'!$AF$26:$AF$31,1)+SUMIFS('13'!$L$25:$L$30,'13'!$AG$25:$AG$30,AK10,'13'!$AF$25:$AF$30,1)+SUMIFS('14'!$L$25:$L$30,'14'!$AG$25:$AG$30,AK10,'14'!$AF$25:$AF$30,1)+SUMIFS('15'!$L$29:$L$34,'15'!$AG$29:$AG$34,AK10,'15'!$AF$29:$AF$34,1)+SUMIFS('16'!$L$28:$L$33,'16'!$AG$28:$AG$33,AK10,'16'!$AF$28:$AF$33,1)+SUMIFS('17'!$L$44:$L$49,'17'!$AG$44:$AG$49,AK10,'17'!$AF$44:$AF$49,1)+SUMIFS('18'!$L$28:$L$33,'18'!$AG$28:$AG$33,AK10,'18'!$AF$28:$AF$33,1)+SUMIFS('19'!$L$33:$L$38,'19'!$AG$33:$AG$38,AK10,'19'!$AF$33:$AF$38,1)+SUMIFS('20'!$L$28:$L$33,'20'!$AG$28:$AG$33,AK10,'20'!$AF$28:$AF$33,1)+SUMIFS('21'!$L$32:$L$37,'21'!$AG$32:$AG$37,AK10,'21'!$AF$32:$AF$37,1)+SUMIFS('22'!$L$35:$L$40,'22'!$AG$35:$AG$40,AK10,'22'!$AF$35:$AF$40,1)+SUMIFS('23'!$L$30:$L$35,'23'!$AG$30:$AG$35,AK10,'23'!$AF$30:$AF$35,1)+SUMIFS('24'!$L$25:$L$30,'24'!$AG$25:$AG$30,AK10,'24'!$AF$25:$AF$30,1)+SUMIFS('25'!$L$27:$L$32,'25'!$AG$27:$AG$32,AK10,'25'!$AF$27:$AF$32,1)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102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$33:$M$38,'10'!$AG$33:$AG$38,AK10,'10'!$AF$33:$AF$38,1)+SUMIFS('11'!$M$29:$M$34,'11'!$AG$29:$AG$34,AK10,'11'!$AF$29:$AF$34,1)+SUMIFS('12'!$M$26:$M$31,'12'!$AG$26:$AG$31,AK10,'12'!$AF$26:$AF$31,1)+SUMIFS('13'!$M$25:$M$30,'13'!$AG$25:$AG$30,AK10,'13'!$AF$25:$AF$30,1)+SUMIFS('14'!$M$25:$M$30,'14'!$AG$25:$AG$30,AK10,'14'!$AF$25:$AF$30,1)+SUMIFS('15'!$M$29:$M$34,'15'!$AG$29:$AG$34,AK10,'15'!$AF$29:$AF$34,1)+SUMIFS('16'!$M$28:$M$33,'16'!$AG$28:$AG$33,AK10,'16'!$AF$28:$AF$33,1)+SUMIFS('17'!$M$44:$M$49,'17'!$AG$44:$AG$49,AK10,'17'!$AF$44:$AF$49,1)+SUMIFS('18'!$M$28:$M$33,'18'!$AG$28:$AG$33,AK10,'18'!$AF$28:$AF$33,1)+SUMIFS('19'!$M$33:$M$38,'19'!$AG$33:$AG$38,AK10,'19'!$AF$33:$AF$38,1)+SUMIFS('20'!$M$28:$M$33,'20'!$AG$28:$AG$33,AK10,'20'!$AF$28:$AF$33,1)+SUMIFS('21'!$M$32:$M$37,'21'!$AG$32:$AG$37,AK10,'21'!$AF$32:$AF$37,1)+SUMIFS('22'!$M$35:$M$40,'22'!$AG$35:$AG$40,AK10,'22'!$AF$35:$AF$40,1)+SUMIFS('23'!$M$30:$M$35,'23'!$AG$30:$AG$35,AK10,'23'!$AF$30:$AF$35,1)+SUMIFS('24'!$M$25:$M$30,'24'!$AG$25:$AG$30,AK10,'24'!$AF$25:$AF$30,1)+SUMIFS('25'!$M$27:$M$32,'25'!$AG$27:$AG$32,AK10,'25'!$AF$27:$AF$32,1)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102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$33:$N$38,'10'!$AG$33:$AG$38,AK10,'10'!$AF$33:$AF$38,1)+SUMIFS('11'!$N$29:$N$34,'11'!$AG$29:$AG$34,AK10,'11'!$AF$29:$AF$34,1)+SUMIFS('12'!$N$26:$N$31,'12'!$AG$26:$AG$31,AK10,'12'!$AF$26:$AF$31,1)+SUMIFS('13'!$N$25:$N$30,'13'!$AG$25:$AG$30,AK10,'13'!$AF$25:$AF$30,1)+SUMIFS('14'!$N$25:$N$30,'14'!$AG$25:$AG$30,AK10,'14'!$AF$25:$AF$30,1)+SUMIFS('15'!$N$29:$N$34,'15'!$AG$29:$AG$34,AK10,'15'!$AF$29:$AF$34,1)+SUMIFS('16'!$N$28:$N$33,'16'!$AG$28:$AG$33,AK10,'16'!$AF$28:$AF$33,1)+SUMIFS('17'!$N$44:$N$49,'17'!$AG$44:$AG$49,AK10,'17'!$AF$44:$AF$49,1)+SUMIFS('18'!$N$28:$N$33,'18'!$AG$28:$AG$33,AK10,'18'!$AF$28:$AF$33,1)+SUMIFS('19'!$N$33:$N$38,'19'!$AG$33:$AG$38,AK10,'19'!$AF$33:$AF$38,1)+SUMIFS('20'!$N$28:$N$33,'20'!$AG$28:$AG$33,AK10,'20'!$AF$28:$AF$33,1)+SUMIFS('21'!$N$32:$N$37,'21'!$AG$32:$AG$37,AK10,'21'!$AF$32:$AF$37,1)+SUMIFS('22'!$N$35:$N$40,'22'!$AG$35:$AG$40,AK10,'22'!$AF$35:$AF$40,1)+SUMIFS('23'!$N$30:$N$35,'23'!$AG$30:$AG$35,AK10,'23'!$AF$30:$AF$35,1)+SUMIFS('24'!$N$25:$N$30,'24'!$AG$25:$AG$30,AK10,'24'!$AF$25:$AF$30,1)+SUMIFS('25'!$N$27:$N$32,'25'!$AG$27:$AG$32,AK10,'25'!$AF$27:$AF$32,1)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102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$33:$O$38,'10'!$AG$33:$AG$38,AK10,'10'!$AF$33:$AF$38,1)+SUMIFS('11'!$O$29:$O$34,'11'!$AG$29:$AG$34,AK10,'11'!$AF$29:$AF$34,1)+SUMIFS('12'!$O$26:$O$31,'12'!$AG$26:$AG$31,AK10,'12'!$AF$26:$AF$31,1)+SUMIFS('13'!$O$25:$O$30,'13'!$AG$25:$AG$30,AK10,'13'!$AF$25:$AF$30,1)+SUMIFS('14'!$O$25:$O$30,'14'!$AG$25:$AG$30,AK10,'14'!$AF$25:$AF$30,1)+SUMIFS('15'!$O$29:$O$34,'15'!$AG$29:$AG$34,AK10,'15'!$AF$29:$AF$34,1)+SUMIFS('16'!$O$28:$O$33,'16'!$AG$28:$AG$33,AK10,'16'!$AF$28:$AF$33,1)+SUMIFS('17'!$O$44:$O$49,'17'!$AG$44:$AG$49,AK10,'17'!$AF$44:$AF$49,1)+SUMIFS('18'!$O$28:$O$33,'18'!$AG$28:$AG$33,AK10,'18'!$AF$28:$AF$33,1)+SUMIFS('19'!$O$33:$O$38,'19'!$AG$33:$AG$38,AK10,'19'!$AF$33:$AF$38,1)+SUMIFS('20'!$O$28:$O$33,'20'!$AG$28:$AG$33,AK10,'20'!$AF$28:$AF$33,1)+SUMIFS('21'!$O$32:$O$37,'21'!$AG$32:$AG$37,AK10,'21'!$AF$32:$AF$37,1)+SUMIFS('22'!$O$35:$O$40,'22'!$AG$35:$AG$40,AK10,'22'!$AF$35:$AF$40,1)+SUMIFS('23'!$O$30:$O$35,'23'!$AG$30:$AG$35,AK10,'23'!$AF$30:$AF$35,1)+SUMIFS('24'!$O$25:$O$30,'24'!$AG$25:$AG$30,AK10,'24'!$AF$25:$AF$30,1)+SUMIFS('25'!$O$27:$O$32,'25'!$AG$27:$AG$32,AK10,'25'!$AF$27:$AF$32,1)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102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$33:$P$38,'10'!$AG$33:$AG$38,AK10,'10'!$AF$33:$AF$38,1)+SUMIFS('11'!$P$29:$P$34,'11'!$AG$29:$AG$34,AK10,'11'!$AF$29:$AF$34,1)+SUMIFS('12'!$P$26:$P$31,'12'!$AG$26:$AG$31,AK10,'12'!$AF$26:$AF$31,1)+SUMIFS('13'!$P$25:$P$30,'13'!$AG$25:$AG$30,AK10,'13'!$AF$25:$AF$30,1)+SUMIFS('14'!$P$25:$P$30,'14'!$AG$25:$AG$30,AK10,'14'!$AF$25:$AF$30,1)+SUMIFS('15'!$P$29:$P$34,'15'!$AG$29:$AG$34,AK10,'15'!$AF$29:$AF$34,1)+SUMIFS('16'!$P$28:$P$33,'16'!$AG$28:$AG$33,AK10,'16'!$AF$28:$AF$33,1)+SUMIFS('17'!$P$44:$P$49,'17'!$AG$44:$AG$49,AK10,'17'!$AF$44:$AF$49,1)+SUMIFS('18'!$P$28:$P$33,'18'!$AG$28:$AG$33,AK10,'18'!$AF$28:$AF$33,1)+SUMIFS('19'!$P$33:$P$38,'19'!$AG$33:$AG$38,AK10,'19'!$AF$33:$AF$38,1)+SUMIFS('20'!$P$28:$P$33,'20'!$AG$28:$AG$33,AK10,'20'!$AF$28:$AF$33,1)+SUMIFS('21'!$P$32:$P$37,'21'!$AG$32:$AG$37,AK10,'21'!$AF$32:$AF$37,1)+SUMIFS('22'!$P$35:$P$40,'22'!$AG$35:$AG$40,AK10,'22'!$AF$35:$AF$40,1)+SUMIFS('23'!$P$30:$P$35,'23'!$AG$30:$AG$35,AK10,'23'!$AF$30:$AF$35,1)+SUMIFS('24'!$P$25:$P$30,'24'!$AG$25:$AG$30,AK10,'24'!$AF$25:$AF$30,1)+SUMIFS('25'!$P$27:$P$32,'25'!$AG$27:$AG$32,AK10,'25'!$AF$27:$AF$32,1)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102" t="str">
        <f>IF(COUNTIFS('1'!$AG$29:$AG$34,$AK10,'1'!$AF$29:$AF$34,1)=0,"",SUMIFS('1'!$AC$29:$AC$34,'1'!$AG$29:$AG$34,$AK10,'1'!$AF$29:$AF$34,1)/COUNTIFS('1'!$AG$29:$AG$34,$AK10,'1'!$AF$29:$AF$34,1))</f>
        <v/>
      </c>
      <c r="AW10" s="102" t="str">
        <f>IF(COUNTIFS('2'!$AG$27:$AG$32,$AK10,'2'!$AF$27:$AF$32,1)=0,"",SUMIFS('2'!$AC$27:$AC$32,'2'!$AG$27:$AG$32,$AK10,'2'!$AF$27:$AF$32,1)/COUNTIFS('2'!$AG$27:$AG$32,$AK10,'2'!$AF$27:$AF$32,1))</f>
        <v/>
      </c>
      <c r="AX10" s="102" t="str">
        <f>IF(COUNTIFS('3'!$AG$74:$AG$79,$AK10,'3'!$AF$74:$AF$79,1)=0,"",SUMIFS('3'!$AC$74:$AC$79,'3'!$AG$74:$AG$79,$AK10,'3'!$AF$74:$AF$79,1)/COUNTIFS('3'!$AG$74:$AG$79,$AK10,'3'!$AF$74:$AF$79,1))</f>
        <v/>
      </c>
      <c r="AY10" s="102" t="str">
        <f>IF(COUNTIFS('4'!$AG$86:$AG$91,$AK10,'4'!$AF$86:$AF$91,1)=0,"",SUMIFS('4'!$AC$86:$AC$91,'4'!$AG$86:$AG$91,$AK10,'4'!$AF$86:$AF$91,1)/COUNTIFS('4'!$AG$86:$AG$91,$AK10,'4'!$AF$86:$AF$91,1))</f>
        <v/>
      </c>
      <c r="AZ10" s="102" t="str">
        <f>IF(COUNTIFS('5'!$AG$27:$AG$32,$AK10,'5'!$AF$27:$AF$32,1)=0,"",SUMIFS('5'!$AC$27:$AC$32,'5'!$AG$27:$AG$32,$AK10,'5'!$AF$27:$AF$32,1)/COUNTIFS('5'!$AG$27:$AG$32,$AK10,'5'!$AF$27:$AF$32,1))</f>
        <v/>
      </c>
      <c r="BA10" s="102" t="str">
        <f>IF(COUNTIFS('6'!$AG$31:$AG$36,$AK10,'6'!$AF$31:$AF$36,1)=0,"",SUMIFS('6'!$AC$31:$AC$36,'6'!$AG$31:$AG$36,$AK10,'6'!$AF$31:$AF$36,1)/COUNTIFS('6'!$AG$31:$AG$36,$AK10,'6'!$AF$31:$AF$36,1))</f>
        <v/>
      </c>
      <c r="BB10" s="102" t="str">
        <f>IF(COUNTIFS('7'!$AG$30:$AG$35,$AK10,'7'!$AF$30:$AF$35,1)=0,"",SUMIFS('7'!$AC$30:$AC$35,'7'!$AG$30:$AG$35,$AK10,'7'!$AF$30:$AF$35,1)/COUNTIFS('7'!$AG$30:$AG$35,$AK10,'7'!$AF$30:$AF$35,1))</f>
        <v/>
      </c>
      <c r="BC10" s="102" t="str">
        <f>IF(COUNTIFS('8'!$AG$31:$AG$36,$AK10,'8'!$AF$31:$AF$36,1)=0,"",SUMIFS('8'!$AC$31:$AC$36,'8'!$AG$31:$AG$36,$AK10,'8'!$AF$31:$AF$36,1)/COUNTIFS('8'!$AG$31:$AG$36,$AK10,'8'!$AF$31:$AF$36,1))</f>
        <v/>
      </c>
      <c r="BD10" s="102" t="str">
        <f>IF(COUNTIFS('9'!$AG$33:$AG$38,$AK10,'9'!$AF$33:$AF$38,1)=0,"",SUMIFS('9'!$AC$33:$AC$38,'9'!$AG$33:$AG$38,$AK10,'9'!$AF$33:$AF$38,1)/COUNTIFS('9'!$AG$33:$AG$38,$AK10,'9'!$AF$33:$AF$38,1))</f>
        <v/>
      </c>
      <c r="BE10" s="102" t="str">
        <f>IF(COUNTIFS('10'!$AG$33:$AG$38,$AK10,'10'!$AF$33:$AF$38,1)=0,"",SUMIFS('10'!$AC$33:$AC$38,'10'!$AG$33:$AG$38,$AK10,'10'!$AF$33:$AF$38,1)/COUNTIFS('10'!$AG$33:$AG$38,$AK10,'10'!$AF$33:$AF$38,1))</f>
        <v/>
      </c>
      <c r="BF10" s="102" t="str">
        <f>IF(COUNTIFS('11'!$AG$29:$AG$34,$AK10,'11'!$AF$29:$AF$34,1)=0,"",SUMIFS('11'!$AC$29:$AC$34,'11'!$AG$29:$AG$34,$AK10,'11'!$AF$29:$AF$34,1)/COUNTIFS('11'!$AG$29:$AG$34,$AK10,'11'!$AF$29:$AF$34,1))</f>
        <v/>
      </c>
      <c r="BG10" s="102" t="str">
        <f>IF(COUNTIFS('12'!$AG$26:$AG$31,$AK10,'12'!$AF$26:$AF$31,1)=0,"",SUMIFS('12'!$AC$26:$AC$31,'12'!$AG$26:$AG$31,$AK10,'12'!$AF$26:$AF$31,1)/COUNTIFS('12'!$AG$26:$AG$31,$AK10,'12'!$AF$26:$AF$31,1))</f>
        <v/>
      </c>
      <c r="BH10" s="102" t="str">
        <f>IF(COUNTIFS('13'!$AG$25:$AG$30,$AK10,'13'!$AF$25:$AF$30,1)=0,"",SUMIFS('13'!$AC$25:$AC$30,'13'!$AG$25:$AG$30,$AK10,'13'!$AF$25:$AF$30,1)/COUNTIFS('13'!$AG$25:$AG$30,$AK10,'13'!$AF$25:$AF$30,1))</f>
        <v/>
      </c>
      <c r="BI10" s="102" t="str">
        <f>IF(COUNTIFS('14'!$AG$25:$AG$30,$AK10,'14'!$AF$25:$AF$30,1)=0,"",SUMIFS('14'!$AC$25:$AC$30,'14'!$AG$25:$AG$30,$AK10,'14'!$AF$25:$AF$30,1)/COUNTIFS('14'!$AG$25:$AG$30,$AK10,'14'!$AF$25:$AF$30,1))</f>
        <v/>
      </c>
      <c r="BJ10" s="102" t="str">
        <f>IF(COUNTIFS('15'!$AG$29:$AG$34,$AK10,'15'!$AF$29:$AF$34,1)=0,"",SUMIFS('15'!$AC$29:$AC$34,'15'!$AG$29:$AG$34,$AK10,'15'!$AF$29:$AF$34,1)/COUNTIFS('15'!$AG$29:$AG$34,$AK10,'15'!$AF$29:$AF$34,1))</f>
        <v/>
      </c>
      <c r="BK10" s="102" t="str">
        <f>IF(COUNTIFS('16'!$AG$28:$AG$33,$AK10,'16'!$AF$28:$AF$33,1)=0,"",SUMIFS('16'!$AC$28:$AC$33,'16'!$AG$28:$AG$33,$AK10,'16'!$AF$28:$AF$33,1)/COUNTIFS('16'!$AG$28:$AG$33,$AK10,'16'!$AF$28:$AF$33,1))</f>
        <v/>
      </c>
      <c r="BL10" s="102" t="str">
        <f>IF(COUNTIFS('17'!$AG$44:$AG$49,$AK10,'17'!$AF$44:$AF$49,1)=0,"",SUMIFS('17'!$AC$44:$AC$49,'17'!$AG$44:$AG$49,$AK10,'17'!$AF$44:$AF$49,1)/COUNTIFS('17'!$AG$44:$AG$49,$AK10,'17'!$AF$44:$AF$49,1))</f>
        <v/>
      </c>
      <c r="BM10" s="102" t="str">
        <f>IF(COUNTIFS('18'!$AG$28:$AG$33,$AK10,'18'!$AF$28:$AF$33,1)=0,"",SUMIFS('18'!$AC$28:$AC$33,'18'!$AG$28:$AG$33,$AK10,'18'!$AF$28:$AF$33,1)/COUNTIFS('18'!$AG$28:$AG$33,$AK10,'18'!$AF$28:$AF$33,1))</f>
        <v/>
      </c>
      <c r="BN10" s="102" t="str">
        <f>IF(COUNTIFS('19'!$AG$33:$AG$38,$AK10,'19'!$AF$33:$AF$38,1)=0,"",SUMIFS('19'!$AC$33:$AC$38,'19'!$AG$33:$AG$38,$AK10,'19'!$AF$33:$AF$38,1)/COUNTIFS('19'!$AG$33:$AG$38,$AK10,'19'!$AF$33:$AF$38,1))</f>
        <v/>
      </c>
      <c r="BO10" s="102" t="str">
        <f>IF(COUNTIFS('20'!$AG$28:$AG$33,$AK10,'20'!$AF$28:$AF$33,1)=0,"",SUMIFS('20'!$AC$28:$AC$33,'20'!$AG$28:$AG$33,$AK10,'20'!$AF$28:$AF$33,1)/COUNTIFS('20'!$AG$28:$AG$33,$AK10,'20'!$AF$28:$AF$33,1))</f>
        <v/>
      </c>
      <c r="BP10" s="102" t="str">
        <f>IF(COUNTIFS('21'!$AG$32:$AG$37,$AK10,'21'!$AF$32:$AF$37,1)=0,"",SUMIFS('21'!$AC$32:$AC$37,'21'!$AG$32:$AG$37,$AK10,'21'!$AF$32:$AF$37,1)/COUNTIFS('21'!$AG$32:$AG$37,$AK10,'21'!$AF$32:$AF$37,1))</f>
        <v/>
      </c>
      <c r="BQ10" s="102" t="str">
        <f>IF(COUNTIFS('22'!$AG$35:$AG$40,$AK10,'22'!$AF$35:$AF$40,1)=0,"",SUMIFS('22'!$AC$35:$AC$40,'22'!$AG$35:$AG$40,$AK10,'22'!$AF$35:$AF$40,1)/COUNTIFS('22'!$AG$35:$AG$40,$AK10,'22'!$AF$35:$AF$40,1))</f>
        <v/>
      </c>
      <c r="BR10" s="102" t="str">
        <f>IF(COUNTIFS('23'!$AG$30:$AG$35,$AK10,'23'!$AF$30:$AF$35,1)=0,"",SUMIFS('23'!$AC$30:$AC$35,'23'!$AG$30:$AG$35,$AK10,'23'!$AF$30:$AF$35,1)/COUNTIFS('23'!$AG$30:$AG$35,$AK10,'23'!$AF$30:$AF$35,1))</f>
        <v/>
      </c>
      <c r="BS10" s="102" t="str">
        <f>IF(COUNTIFS('24'!$AG$25:$AG$30,$AK10,'24'!$AF$25:$AF$30,1)=0,"",SUMIFS('24'!$AC$25:$AC$30,'24'!$AG$25:$AG$30,$AK10,'24'!$AF$25:$AF$30,1)/COUNTIFS('24'!$AG$25:$AG$30,$AK10,'24'!$AF$25:$AF$30,1))</f>
        <v/>
      </c>
      <c r="BT10" s="102" t="str">
        <f>IF(COUNTIFS('25'!$AG$27:$AG$32,$AK10,'25'!$AF$27:$AF$32,1)=0,"",SUMIFS('25'!$AC$27:$AC$32,'25'!$AG$27:$AG$32,$AK10,'25'!$AF$27:$AF$32,1)/COUNTIFS('25'!$AG$27:$AG$32,$AK10,'25'!$AF$27:$AF$32,1))</f>
        <v/>
      </c>
      <c r="BU10" s="102" t="str">
        <f>IF(COUNTIFS('26'!$AG$25:$AG$30,$AK10,'26'!$AF$25:$AF$30,1)=0,"",SUMIFS('26'!$AC$25:$AC$30,'26'!$AG$25:$AG$30,$AK10,'26'!$AF$25:$AF$30,1)/COUNTIFS('26'!$AG$25:$AG$30,$AK10,'26'!$AF$25:$AF$30,1))</f>
        <v/>
      </c>
      <c r="BV10" s="102" t="str">
        <f>IF(COUNTIFS('27'!$AG$25:$AG$30,$AK10,'27'!$AF$25:$AF$30,1)=0,"",SUMIFS('27'!$AC$25:$AC$30,'27'!$AG$25:$AG$30,$AK10,'27'!$AF$25:$AF$30,1)/COUNTIFS('27'!$AG$25:$AG$30,$AK10,'27'!$AF$25:$AF$30,1))</f>
        <v/>
      </c>
      <c r="BW10" s="102" t="str">
        <f>IF(COUNTIFS('28'!$AG$25:$AG$30,$AK10,'28'!$AF$25:$AF$30,1)=0,"",SUMIFS('28'!$AC$25:$AC$30,'28'!$AG$25:$AG$30,$AK10,'28'!$AF$25:$AF$30,1)/COUNTIFS('28'!$AG$25:$AG$30,$AK10,'28'!$AF$25:$AF$30,1))</f>
        <v/>
      </c>
      <c r="BX10" s="102" t="str">
        <f>IF(COUNTIFS('29'!$AG$25:$AG$30,$AK10,'29'!$AF$25:$AF$30,1)=0,"",SUMIFS('29'!$AC$25:$AC$30,'29'!$AG$25:$AG$30,$AK10,'29'!$AF$25:$AF$30,1)/COUNTIFS('29'!$AG$25:$AG$30,$AK10,'29'!$AF$25:$AF$30,1))</f>
        <v/>
      </c>
      <c r="BY10" s="102" t="str">
        <f>IF(COUNTIFS('30'!$AG$25:$AG$30,$AK10,'30'!$AF$25:$AF$30,1)=0,"",SUMIFS('30'!$AC$25:$AC$30,'30'!$AG$25:$AG$30,$AK10,'30'!$AF$25:$AF$30,1)/COUNTIFS('30'!$AG$25:$AG$30,$AK10,'30'!$AF$25:$AF$30,1))</f>
        <v/>
      </c>
      <c r="BZ10" s="102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210">
        <f>IF(LARGE($Y$5:$Y$17,6)=0,"",6)</f>
        <v>6</v>
      </c>
      <c r="B11" s="210" t="str">
        <f t="shared" si="7"/>
        <v>Studio Rent</v>
      </c>
      <c r="C11" s="210">
        <f t="shared" si="8"/>
        <v>12</v>
      </c>
      <c r="D11" s="211">
        <f t="shared" si="9"/>
        <v>0.03428571429</v>
      </c>
      <c r="E11" s="211">
        <f t="shared" si="10"/>
        <v>0.9114285714</v>
      </c>
      <c r="X11" s="102" t="s">
        <v>241</v>
      </c>
      <c r="Y11" s="102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$24,X11)+COUNTIF('11'!$D$4:$D$20,X11)+COUNTIF('12'!$D$4:$D$17,X11)+COUNTIF('13'!$D$4:$D$16,X11)+COUNTIF('14'!$D$4:$D$16,X11)+COUNTIF('15'!$D$4:$D$20,X11)+COUNTIF('16'!$D$4:$D$19,X11)+COUNTIF('17'!$D$14:$D$35,X11)+COUNTIF('18'!$D$4:$D$19,X11)+COUNTIF('19'!$D$4:$D$24,X11)+COUNTIF('20'!$D$4:$D$19,X11)+COUNTIF('21'!$D$4:$D$23,X11)+COUNTIF('22'!$D$4:$D$26,X11)+COUNTIF('23'!$D$4:$D$21,X11)+COUNTIF('24'!$D$4:$D$16,X11)+COUNTIF('25'!$D$4:$D$18,X11)+COUNTIF('26'!$D$4:$D$16,X11)+COUNTIF('27'!$D$4:$D$16,X11)+COUNTIF('28'!$D$4:$D$16,X11)+COUNTIF('29'!$D$4:$D$16,X11)+COUNTIF('30'!$D$4:$D$16,X11)+COUNTIF('31'!$D$4:$D$17,X11)</f>
        <v>6</v>
      </c>
      <c r="Z11" s="102">
        <f t="shared" si="1"/>
        <v>6.00007</v>
      </c>
      <c r="AA11" s="102" t="s">
        <v>81</v>
      </c>
      <c r="AB11" s="102" t="s">
        <v>543</v>
      </c>
      <c r="AC11" s="102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$26:$O$29,AA11)+COUNTIF('11'!$O$22:$O$25,AA11)+COUNTIF('12'!$O$19:$O$22,AA11)+COUNTIF('13'!$O$18:$O$21,AA11)+COUNTIF('14'!$O$18:$O$21,AA11)+COUNTIF('15'!$O$22:$O$25,AA11)+COUNTIF('16'!$O$21:$O$24,AA11)+COUNTIF('17'!$O$37:$O$40,AA11)+COUNTIF('18'!$O$21:$O$24,AA11)+COUNTIF('19'!$O$26:$O$29,AA11)+COUNTIF('20'!$O$21:$O$24,AA11)+COUNTIF('21'!$O$25:$O$28,AA11)+COUNTIF('22'!$O$28:$O$31,AA11)+COUNTIF('23'!$O$23:$O$26,AA11)+COUNTIF('24'!$O$18:$O$21,AA11)+COUNTIF('25'!$O$20:$O$23,AA11)+COUNTIF('26'!$O$18:$O$21,AA11)+COUNTIF('27'!$O$18:$O$21,AA11)+COUNTIF('28'!$O$18:$O$21,AA11)+COUNTIF('29'!$O$18:$O$21,AA11)+COUNTIF('30'!$O$18:$O$21,AA11)+COUNTIF('31'!$O$19:$O$22,AA11)</f>
        <v>0</v>
      </c>
      <c r="AD11" s="102">
        <f t="shared" si="2"/>
        <v>0.00005</v>
      </c>
      <c r="AK11" s="102" t="s">
        <v>81</v>
      </c>
      <c r="AL11" s="102" t="s">
        <v>543</v>
      </c>
      <c r="AM11" s="102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$33:$AG$38,AK11,'10'!$AF$33:$AF$38,1)+COUNTIFS('11'!$AG$29:$AG$34,AK11,'11'!$AF$29:$AF$34,1)+COUNTIFS('12'!$AG$26:$AG$31,AK11,'12'!$AF$26:$AF$31,1)+COUNTIFS('13'!$AG$25:$AG$30,AK11,'13'!$AF$25:$AF$30,1)+COUNTIFS('14'!$AG$25:$AG$30,AK11,'14'!$AF$25:$AF$30,1)+COUNTIFS('15'!$AG$29:$AG$34,AK11,'15'!$AF$29:$AF$34,1)+COUNTIFS('16'!$AG$28:$AG$33,AK11,'16'!$AF$28:$AF$33,1)+COUNTIFS('17'!$AG$44:$AG$49,AK11,'17'!$AF$44:$AF$49,1)+COUNTIFS('18'!$AG$28:$AG$33,AK11,'18'!$AF$28:$AF$33,1)+COUNTIFS('19'!$AG$33:$AG$38,AK11,'19'!$AF$33:$AF$38,1)+COUNTIFS('20'!$AG$28:$AG$33,AK11,'20'!$AF$28:$AF$33,1)+COUNTIFS('21'!$AG$32:$AG$37,AK11,'21'!$AF$32:$AF$37,1)+COUNTIFS('22'!$AG$35:$AG$40,AK11,'22'!$AF$35:$AF$40,1)+COUNTIFS('23'!$AG$30:$AG$35,AK11,'23'!$AF$30:$AF$35,1)+COUNTIFS('24'!$AG$25:$AG$30,AK11,'24'!$AF$25:$AF$30,1)+COUNTIFS('25'!$AG$27:$AG$32,AK11,'25'!$AF$27:$AF$32,1)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102" t="str">
        <f t="shared" si="5"/>
        <v/>
      </c>
      <c r="AO11" s="102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$33:$L$38,'10'!$AG$33:$AG$38,AK11,'10'!$AF$33:$AF$38,1)+SUMIFS('11'!$L$29:$L$34,'11'!$AG$29:$AG$34,AK11,'11'!$AF$29:$AF$34,1)+SUMIFS('12'!$L$26:$L$31,'12'!$AG$26:$AG$31,AK11,'12'!$AF$26:$AF$31,1)+SUMIFS('13'!$L$25:$L$30,'13'!$AG$25:$AG$30,AK11,'13'!$AF$25:$AF$30,1)+SUMIFS('14'!$L$25:$L$30,'14'!$AG$25:$AG$30,AK11,'14'!$AF$25:$AF$30,1)+SUMIFS('15'!$L$29:$L$34,'15'!$AG$29:$AG$34,AK11,'15'!$AF$29:$AF$34,1)+SUMIFS('16'!$L$28:$L$33,'16'!$AG$28:$AG$33,AK11,'16'!$AF$28:$AF$33,1)+SUMIFS('17'!$L$44:$L$49,'17'!$AG$44:$AG$49,AK11,'17'!$AF$44:$AF$49,1)+SUMIFS('18'!$L$28:$L$33,'18'!$AG$28:$AG$33,AK11,'18'!$AF$28:$AF$33,1)+SUMIFS('19'!$L$33:$L$38,'19'!$AG$33:$AG$38,AK11,'19'!$AF$33:$AF$38,1)+SUMIFS('20'!$L$28:$L$33,'20'!$AG$28:$AG$33,AK11,'20'!$AF$28:$AF$33,1)+SUMIFS('21'!$L$32:$L$37,'21'!$AG$32:$AG$37,AK11,'21'!$AF$32:$AF$37,1)+SUMIFS('22'!$L$35:$L$40,'22'!$AG$35:$AG$40,AK11,'22'!$AF$35:$AF$40,1)+SUMIFS('23'!$L$30:$L$35,'23'!$AG$30:$AG$35,AK11,'23'!$AF$30:$AF$35,1)+SUMIFS('24'!$L$25:$L$30,'24'!$AG$25:$AG$30,AK11,'24'!$AF$25:$AF$30,1)+SUMIFS('25'!$L$27:$L$32,'25'!$AG$27:$AG$32,AK11,'25'!$AF$27:$AF$32,1)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102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$33:$M$38,'10'!$AG$33:$AG$38,AK11,'10'!$AF$33:$AF$38,1)+SUMIFS('11'!$M$29:$M$34,'11'!$AG$29:$AG$34,AK11,'11'!$AF$29:$AF$34,1)+SUMIFS('12'!$M$26:$M$31,'12'!$AG$26:$AG$31,AK11,'12'!$AF$26:$AF$31,1)+SUMIFS('13'!$M$25:$M$30,'13'!$AG$25:$AG$30,AK11,'13'!$AF$25:$AF$30,1)+SUMIFS('14'!$M$25:$M$30,'14'!$AG$25:$AG$30,AK11,'14'!$AF$25:$AF$30,1)+SUMIFS('15'!$M$29:$M$34,'15'!$AG$29:$AG$34,AK11,'15'!$AF$29:$AF$34,1)+SUMIFS('16'!$M$28:$M$33,'16'!$AG$28:$AG$33,AK11,'16'!$AF$28:$AF$33,1)+SUMIFS('17'!$M$44:$M$49,'17'!$AG$44:$AG$49,AK11,'17'!$AF$44:$AF$49,1)+SUMIFS('18'!$M$28:$M$33,'18'!$AG$28:$AG$33,AK11,'18'!$AF$28:$AF$33,1)+SUMIFS('19'!$M$33:$M$38,'19'!$AG$33:$AG$38,AK11,'19'!$AF$33:$AF$38,1)+SUMIFS('20'!$M$28:$M$33,'20'!$AG$28:$AG$33,AK11,'20'!$AF$28:$AF$33,1)+SUMIFS('21'!$M$32:$M$37,'21'!$AG$32:$AG$37,AK11,'21'!$AF$32:$AF$37,1)+SUMIFS('22'!$M$35:$M$40,'22'!$AG$35:$AG$40,AK11,'22'!$AF$35:$AF$40,1)+SUMIFS('23'!$M$30:$M$35,'23'!$AG$30:$AG$35,AK11,'23'!$AF$30:$AF$35,1)+SUMIFS('24'!$M$25:$M$30,'24'!$AG$25:$AG$30,AK11,'24'!$AF$25:$AF$30,1)+SUMIFS('25'!$M$27:$M$32,'25'!$AG$27:$AG$32,AK11,'25'!$AF$27:$AF$32,1)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102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$33:$N$38,'10'!$AG$33:$AG$38,AK11,'10'!$AF$33:$AF$38,1)+SUMIFS('11'!$N$29:$N$34,'11'!$AG$29:$AG$34,AK11,'11'!$AF$29:$AF$34,1)+SUMIFS('12'!$N$26:$N$31,'12'!$AG$26:$AG$31,AK11,'12'!$AF$26:$AF$31,1)+SUMIFS('13'!$N$25:$N$30,'13'!$AG$25:$AG$30,AK11,'13'!$AF$25:$AF$30,1)+SUMIFS('14'!$N$25:$N$30,'14'!$AG$25:$AG$30,AK11,'14'!$AF$25:$AF$30,1)+SUMIFS('15'!$N$29:$N$34,'15'!$AG$29:$AG$34,AK11,'15'!$AF$29:$AF$34,1)+SUMIFS('16'!$N$28:$N$33,'16'!$AG$28:$AG$33,AK11,'16'!$AF$28:$AF$33,1)+SUMIFS('17'!$N$44:$N$49,'17'!$AG$44:$AG$49,AK11,'17'!$AF$44:$AF$49,1)+SUMIFS('18'!$N$28:$N$33,'18'!$AG$28:$AG$33,AK11,'18'!$AF$28:$AF$33,1)+SUMIFS('19'!$N$33:$N$38,'19'!$AG$33:$AG$38,AK11,'19'!$AF$33:$AF$38,1)+SUMIFS('20'!$N$28:$N$33,'20'!$AG$28:$AG$33,AK11,'20'!$AF$28:$AF$33,1)+SUMIFS('21'!$N$32:$N$37,'21'!$AG$32:$AG$37,AK11,'21'!$AF$32:$AF$37,1)+SUMIFS('22'!$N$35:$N$40,'22'!$AG$35:$AG$40,AK11,'22'!$AF$35:$AF$40,1)+SUMIFS('23'!$N$30:$N$35,'23'!$AG$30:$AG$35,AK11,'23'!$AF$30:$AF$35,1)+SUMIFS('24'!$N$25:$N$30,'24'!$AG$25:$AG$30,AK11,'24'!$AF$25:$AF$30,1)+SUMIFS('25'!$N$27:$N$32,'25'!$AG$27:$AG$32,AK11,'25'!$AF$27:$AF$32,1)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102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$33:$O$38,'10'!$AG$33:$AG$38,AK11,'10'!$AF$33:$AF$38,1)+SUMIFS('11'!$O$29:$O$34,'11'!$AG$29:$AG$34,AK11,'11'!$AF$29:$AF$34,1)+SUMIFS('12'!$O$26:$O$31,'12'!$AG$26:$AG$31,AK11,'12'!$AF$26:$AF$31,1)+SUMIFS('13'!$O$25:$O$30,'13'!$AG$25:$AG$30,AK11,'13'!$AF$25:$AF$30,1)+SUMIFS('14'!$O$25:$O$30,'14'!$AG$25:$AG$30,AK11,'14'!$AF$25:$AF$30,1)+SUMIFS('15'!$O$29:$O$34,'15'!$AG$29:$AG$34,AK11,'15'!$AF$29:$AF$34,1)+SUMIFS('16'!$O$28:$O$33,'16'!$AG$28:$AG$33,AK11,'16'!$AF$28:$AF$33,1)+SUMIFS('17'!$O$44:$O$49,'17'!$AG$44:$AG$49,AK11,'17'!$AF$44:$AF$49,1)+SUMIFS('18'!$O$28:$O$33,'18'!$AG$28:$AG$33,AK11,'18'!$AF$28:$AF$33,1)+SUMIFS('19'!$O$33:$O$38,'19'!$AG$33:$AG$38,AK11,'19'!$AF$33:$AF$38,1)+SUMIFS('20'!$O$28:$O$33,'20'!$AG$28:$AG$33,AK11,'20'!$AF$28:$AF$33,1)+SUMIFS('21'!$O$32:$O$37,'21'!$AG$32:$AG$37,AK11,'21'!$AF$32:$AF$37,1)+SUMIFS('22'!$O$35:$O$40,'22'!$AG$35:$AG$40,AK11,'22'!$AF$35:$AF$40,1)+SUMIFS('23'!$O$30:$O$35,'23'!$AG$30:$AG$35,AK11,'23'!$AF$30:$AF$35,1)+SUMIFS('24'!$O$25:$O$30,'24'!$AG$25:$AG$30,AK11,'24'!$AF$25:$AF$30,1)+SUMIFS('25'!$O$27:$O$32,'25'!$AG$27:$AG$32,AK11,'25'!$AF$27:$AF$32,1)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102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$33:$P$38,'10'!$AG$33:$AG$38,AK11,'10'!$AF$33:$AF$38,1)+SUMIFS('11'!$P$29:$P$34,'11'!$AG$29:$AG$34,AK11,'11'!$AF$29:$AF$34,1)+SUMIFS('12'!$P$26:$P$31,'12'!$AG$26:$AG$31,AK11,'12'!$AF$26:$AF$31,1)+SUMIFS('13'!$P$25:$P$30,'13'!$AG$25:$AG$30,AK11,'13'!$AF$25:$AF$30,1)+SUMIFS('14'!$P$25:$P$30,'14'!$AG$25:$AG$30,AK11,'14'!$AF$25:$AF$30,1)+SUMIFS('15'!$P$29:$P$34,'15'!$AG$29:$AG$34,AK11,'15'!$AF$29:$AF$34,1)+SUMIFS('16'!$P$28:$P$33,'16'!$AG$28:$AG$33,AK11,'16'!$AF$28:$AF$33,1)+SUMIFS('17'!$P$44:$P$49,'17'!$AG$44:$AG$49,AK11,'17'!$AF$44:$AF$49,1)+SUMIFS('18'!$P$28:$P$33,'18'!$AG$28:$AG$33,AK11,'18'!$AF$28:$AF$33,1)+SUMIFS('19'!$P$33:$P$38,'19'!$AG$33:$AG$38,AK11,'19'!$AF$33:$AF$38,1)+SUMIFS('20'!$P$28:$P$33,'20'!$AG$28:$AG$33,AK11,'20'!$AF$28:$AF$33,1)+SUMIFS('21'!$P$32:$P$37,'21'!$AG$32:$AG$37,AK11,'21'!$AF$32:$AF$37,1)+SUMIFS('22'!$P$35:$P$40,'22'!$AG$35:$AG$40,AK11,'22'!$AF$35:$AF$40,1)+SUMIFS('23'!$P$30:$P$35,'23'!$AG$30:$AG$35,AK11,'23'!$AF$30:$AF$35,1)+SUMIFS('24'!$P$25:$P$30,'24'!$AG$25:$AG$30,AK11,'24'!$AF$25:$AF$30,1)+SUMIFS('25'!$P$27:$P$32,'25'!$AG$27:$AG$32,AK11,'25'!$AF$27:$AF$32,1)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102" t="str">
        <f>IF(COUNTIFS('1'!$AG$29:$AG$34,$AK11,'1'!$AF$29:$AF$34,1)=0,"",SUMIFS('1'!$AC$29:$AC$34,'1'!$AG$29:$AG$34,$AK11,'1'!$AF$29:$AF$34,1)/COUNTIFS('1'!$AG$29:$AG$34,$AK11,'1'!$AF$29:$AF$34,1))</f>
        <v/>
      </c>
      <c r="AW11" s="102" t="str">
        <f>IF(COUNTIFS('2'!$AG$27:$AG$32,$AK11,'2'!$AF$27:$AF$32,1)=0,"",SUMIFS('2'!$AC$27:$AC$32,'2'!$AG$27:$AG$32,$AK11,'2'!$AF$27:$AF$32,1)/COUNTIFS('2'!$AG$27:$AG$32,$AK11,'2'!$AF$27:$AF$32,1))</f>
        <v/>
      </c>
      <c r="AX11" s="102" t="str">
        <f>IF(COUNTIFS('3'!$AG$74:$AG$79,$AK11,'3'!$AF$74:$AF$79,1)=0,"",SUMIFS('3'!$AC$74:$AC$79,'3'!$AG$74:$AG$79,$AK11,'3'!$AF$74:$AF$79,1)/COUNTIFS('3'!$AG$74:$AG$79,$AK11,'3'!$AF$74:$AF$79,1))</f>
        <v/>
      </c>
      <c r="AY11" s="102" t="str">
        <f>IF(COUNTIFS('4'!$AG$86:$AG$91,$AK11,'4'!$AF$86:$AF$91,1)=0,"",SUMIFS('4'!$AC$86:$AC$91,'4'!$AG$86:$AG$91,$AK11,'4'!$AF$86:$AF$91,1)/COUNTIFS('4'!$AG$86:$AG$91,$AK11,'4'!$AF$86:$AF$91,1))</f>
        <v/>
      </c>
      <c r="AZ11" s="102" t="str">
        <f>IF(COUNTIFS('5'!$AG$27:$AG$32,$AK11,'5'!$AF$27:$AF$32,1)=0,"",SUMIFS('5'!$AC$27:$AC$32,'5'!$AG$27:$AG$32,$AK11,'5'!$AF$27:$AF$32,1)/COUNTIFS('5'!$AG$27:$AG$32,$AK11,'5'!$AF$27:$AF$32,1))</f>
        <v/>
      </c>
      <c r="BA11" s="102" t="str">
        <f>IF(COUNTIFS('6'!$AG$31:$AG$36,$AK11,'6'!$AF$31:$AF$36,1)=0,"",SUMIFS('6'!$AC$31:$AC$36,'6'!$AG$31:$AG$36,$AK11,'6'!$AF$31:$AF$36,1)/COUNTIFS('6'!$AG$31:$AG$36,$AK11,'6'!$AF$31:$AF$36,1))</f>
        <v/>
      </c>
      <c r="BB11" s="102" t="str">
        <f>IF(COUNTIFS('7'!$AG$30:$AG$35,$AK11,'7'!$AF$30:$AF$35,1)=0,"",SUMIFS('7'!$AC$30:$AC$35,'7'!$AG$30:$AG$35,$AK11,'7'!$AF$30:$AF$35,1)/COUNTIFS('7'!$AG$30:$AG$35,$AK11,'7'!$AF$30:$AF$35,1))</f>
        <v/>
      </c>
      <c r="BC11" s="102" t="str">
        <f>IF(COUNTIFS('8'!$AG$31:$AG$36,$AK11,'8'!$AF$31:$AF$36,1)=0,"",SUMIFS('8'!$AC$31:$AC$36,'8'!$AG$31:$AG$36,$AK11,'8'!$AF$31:$AF$36,1)/COUNTIFS('8'!$AG$31:$AG$36,$AK11,'8'!$AF$31:$AF$36,1))</f>
        <v/>
      </c>
      <c r="BD11" s="102" t="str">
        <f>IF(COUNTIFS('9'!$AG$33:$AG$38,$AK11,'9'!$AF$33:$AF$38,1)=0,"",SUMIFS('9'!$AC$33:$AC$38,'9'!$AG$33:$AG$38,$AK11,'9'!$AF$33:$AF$38,1)/COUNTIFS('9'!$AG$33:$AG$38,$AK11,'9'!$AF$33:$AF$38,1))</f>
        <v/>
      </c>
      <c r="BE11" s="102" t="str">
        <f>IF(COUNTIFS('10'!$AG$33:$AG$38,$AK11,'10'!$AF$33:$AF$38,1)=0,"",SUMIFS('10'!$AC$33:$AC$38,'10'!$AG$33:$AG$38,$AK11,'10'!$AF$33:$AF$38,1)/COUNTIFS('10'!$AG$33:$AG$38,$AK11,'10'!$AF$33:$AF$38,1))</f>
        <v/>
      </c>
      <c r="BF11" s="102" t="str">
        <f>IF(COUNTIFS('11'!$AG$29:$AG$34,$AK11,'11'!$AF$29:$AF$34,1)=0,"",SUMIFS('11'!$AC$29:$AC$34,'11'!$AG$29:$AG$34,$AK11,'11'!$AF$29:$AF$34,1)/COUNTIFS('11'!$AG$29:$AG$34,$AK11,'11'!$AF$29:$AF$34,1))</f>
        <v/>
      </c>
      <c r="BG11" s="102" t="str">
        <f>IF(COUNTIFS('12'!$AG$26:$AG$31,$AK11,'12'!$AF$26:$AF$31,1)=0,"",SUMIFS('12'!$AC$26:$AC$31,'12'!$AG$26:$AG$31,$AK11,'12'!$AF$26:$AF$31,1)/COUNTIFS('12'!$AG$26:$AG$31,$AK11,'12'!$AF$26:$AF$31,1))</f>
        <v/>
      </c>
      <c r="BH11" s="102" t="str">
        <f>IF(COUNTIFS('13'!$AG$25:$AG$30,$AK11,'13'!$AF$25:$AF$30,1)=0,"",SUMIFS('13'!$AC$25:$AC$30,'13'!$AG$25:$AG$30,$AK11,'13'!$AF$25:$AF$30,1)/COUNTIFS('13'!$AG$25:$AG$30,$AK11,'13'!$AF$25:$AF$30,1))</f>
        <v/>
      </c>
      <c r="BI11" s="102" t="str">
        <f>IF(COUNTIFS('14'!$AG$25:$AG$30,$AK11,'14'!$AF$25:$AF$30,1)=0,"",SUMIFS('14'!$AC$25:$AC$30,'14'!$AG$25:$AG$30,$AK11,'14'!$AF$25:$AF$30,1)/COUNTIFS('14'!$AG$25:$AG$30,$AK11,'14'!$AF$25:$AF$30,1))</f>
        <v/>
      </c>
      <c r="BJ11" s="102" t="str">
        <f>IF(COUNTIFS('15'!$AG$29:$AG$34,$AK11,'15'!$AF$29:$AF$34,1)=0,"",SUMIFS('15'!$AC$29:$AC$34,'15'!$AG$29:$AG$34,$AK11,'15'!$AF$29:$AF$34,1)/COUNTIFS('15'!$AG$29:$AG$34,$AK11,'15'!$AF$29:$AF$34,1))</f>
        <v/>
      </c>
      <c r="BK11" s="102" t="str">
        <f>IF(COUNTIFS('16'!$AG$28:$AG$33,$AK11,'16'!$AF$28:$AF$33,1)=0,"",SUMIFS('16'!$AC$28:$AC$33,'16'!$AG$28:$AG$33,$AK11,'16'!$AF$28:$AF$33,1)/COUNTIFS('16'!$AG$28:$AG$33,$AK11,'16'!$AF$28:$AF$33,1))</f>
        <v/>
      </c>
      <c r="BL11" s="102" t="str">
        <f>IF(COUNTIFS('17'!$AG$44:$AG$49,$AK11,'17'!$AF$44:$AF$49,1)=0,"",SUMIFS('17'!$AC$44:$AC$49,'17'!$AG$44:$AG$49,$AK11,'17'!$AF$44:$AF$49,1)/COUNTIFS('17'!$AG$44:$AG$49,$AK11,'17'!$AF$44:$AF$49,1))</f>
        <v/>
      </c>
      <c r="BM11" s="102" t="str">
        <f>IF(COUNTIFS('18'!$AG$28:$AG$33,$AK11,'18'!$AF$28:$AF$33,1)=0,"",SUMIFS('18'!$AC$28:$AC$33,'18'!$AG$28:$AG$33,$AK11,'18'!$AF$28:$AF$33,1)/COUNTIFS('18'!$AG$28:$AG$33,$AK11,'18'!$AF$28:$AF$33,1))</f>
        <v/>
      </c>
      <c r="BN11" s="102" t="str">
        <f>IF(COUNTIFS('19'!$AG$33:$AG$38,$AK11,'19'!$AF$33:$AF$38,1)=0,"",SUMIFS('19'!$AC$33:$AC$38,'19'!$AG$33:$AG$38,$AK11,'19'!$AF$33:$AF$38,1)/COUNTIFS('19'!$AG$33:$AG$38,$AK11,'19'!$AF$33:$AF$38,1))</f>
        <v/>
      </c>
      <c r="BO11" s="102" t="str">
        <f>IF(COUNTIFS('20'!$AG$28:$AG$33,$AK11,'20'!$AF$28:$AF$33,1)=0,"",SUMIFS('20'!$AC$28:$AC$33,'20'!$AG$28:$AG$33,$AK11,'20'!$AF$28:$AF$33,1)/COUNTIFS('20'!$AG$28:$AG$33,$AK11,'20'!$AF$28:$AF$33,1))</f>
        <v/>
      </c>
      <c r="BP11" s="102" t="str">
        <f>IF(COUNTIFS('21'!$AG$32:$AG$37,$AK11,'21'!$AF$32:$AF$37,1)=0,"",SUMIFS('21'!$AC$32:$AC$37,'21'!$AG$32:$AG$37,$AK11,'21'!$AF$32:$AF$37,1)/COUNTIFS('21'!$AG$32:$AG$37,$AK11,'21'!$AF$32:$AF$37,1))</f>
        <v/>
      </c>
      <c r="BQ11" s="102" t="str">
        <f>IF(COUNTIFS('22'!$AG$35:$AG$40,$AK11,'22'!$AF$35:$AF$40,1)=0,"",SUMIFS('22'!$AC$35:$AC$40,'22'!$AG$35:$AG$40,$AK11,'22'!$AF$35:$AF$40,1)/COUNTIFS('22'!$AG$35:$AG$40,$AK11,'22'!$AF$35:$AF$40,1))</f>
        <v/>
      </c>
      <c r="BR11" s="102" t="str">
        <f>IF(COUNTIFS('23'!$AG$30:$AG$35,$AK11,'23'!$AF$30:$AF$35,1)=0,"",SUMIFS('23'!$AC$30:$AC$35,'23'!$AG$30:$AG$35,$AK11,'23'!$AF$30:$AF$35,1)/COUNTIFS('23'!$AG$30:$AG$35,$AK11,'23'!$AF$30:$AF$35,1))</f>
        <v/>
      </c>
      <c r="BS11" s="102" t="str">
        <f>IF(COUNTIFS('24'!$AG$25:$AG$30,$AK11,'24'!$AF$25:$AF$30,1)=0,"",SUMIFS('24'!$AC$25:$AC$30,'24'!$AG$25:$AG$30,$AK11,'24'!$AF$25:$AF$30,1)/COUNTIFS('24'!$AG$25:$AG$30,$AK11,'24'!$AF$25:$AF$30,1))</f>
        <v/>
      </c>
      <c r="BT11" s="102" t="str">
        <f>IF(COUNTIFS('25'!$AG$27:$AG$32,$AK11,'25'!$AF$27:$AF$32,1)=0,"",SUMIFS('25'!$AC$27:$AC$32,'25'!$AG$27:$AG$32,$AK11,'25'!$AF$27:$AF$32,1)/COUNTIFS('25'!$AG$27:$AG$32,$AK11,'25'!$AF$27:$AF$32,1))</f>
        <v/>
      </c>
      <c r="BU11" s="102" t="str">
        <f>IF(COUNTIFS('26'!$AG$25:$AG$30,$AK11,'26'!$AF$25:$AF$30,1)=0,"",SUMIFS('26'!$AC$25:$AC$30,'26'!$AG$25:$AG$30,$AK11,'26'!$AF$25:$AF$30,1)/COUNTIFS('26'!$AG$25:$AG$30,$AK11,'26'!$AF$25:$AF$30,1))</f>
        <v/>
      </c>
      <c r="BV11" s="102" t="str">
        <f>IF(COUNTIFS('27'!$AG$25:$AG$30,$AK11,'27'!$AF$25:$AF$30,1)=0,"",SUMIFS('27'!$AC$25:$AC$30,'27'!$AG$25:$AG$30,$AK11,'27'!$AF$25:$AF$30,1)/COUNTIFS('27'!$AG$25:$AG$30,$AK11,'27'!$AF$25:$AF$30,1))</f>
        <v/>
      </c>
      <c r="BW11" s="102" t="str">
        <f>IF(COUNTIFS('28'!$AG$25:$AG$30,$AK11,'28'!$AF$25:$AF$30,1)=0,"",SUMIFS('28'!$AC$25:$AC$30,'28'!$AG$25:$AG$30,$AK11,'28'!$AF$25:$AF$30,1)/COUNTIFS('28'!$AG$25:$AG$30,$AK11,'28'!$AF$25:$AF$30,1))</f>
        <v/>
      </c>
      <c r="BX11" s="102" t="str">
        <f>IF(COUNTIFS('29'!$AG$25:$AG$30,$AK11,'29'!$AF$25:$AF$30,1)=0,"",SUMIFS('29'!$AC$25:$AC$30,'29'!$AG$25:$AG$30,$AK11,'29'!$AF$25:$AF$30,1)/COUNTIFS('29'!$AG$25:$AG$30,$AK11,'29'!$AF$25:$AF$30,1))</f>
        <v/>
      </c>
      <c r="BY11" s="102" t="str">
        <f>IF(COUNTIFS('30'!$AG$25:$AG$30,$AK11,'30'!$AF$25:$AF$30,1)=0,"",SUMIFS('30'!$AC$25:$AC$30,'30'!$AG$25:$AG$30,$AK11,'30'!$AF$25:$AF$30,1)/COUNTIFS('30'!$AG$25:$AG$30,$AK11,'30'!$AF$25:$AF$30,1))</f>
        <v/>
      </c>
      <c r="BZ11" s="102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210">
        <f>IF(LARGE($Y$5:$Y$17,7)=0,"",7)</f>
        <v>7</v>
      </c>
      <c r="B12" s="210" t="str">
        <f t="shared" si="7"/>
        <v>Graduation Premium</v>
      </c>
      <c r="C12" s="210">
        <f t="shared" si="8"/>
        <v>10</v>
      </c>
      <c r="D12" s="211">
        <f t="shared" si="9"/>
        <v>0.02857142857</v>
      </c>
      <c r="E12" s="211">
        <f t="shared" si="10"/>
        <v>0.94</v>
      </c>
      <c r="X12" s="102" t="s">
        <v>57</v>
      </c>
      <c r="Y12" s="102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$24,X12)+COUNTIF('11'!$D$4:$D$20,X12)+COUNTIF('12'!$D$4:$D$17,X12)+COUNTIF('13'!$D$4:$D$16,X12)+COUNTIF('14'!$D$4:$D$16,X12)+COUNTIF('15'!$D$4:$D$20,X12)+COUNTIF('16'!$D$4:$D$19,X12)+COUNTIF('17'!$D$14:$D$35,X12)+COUNTIF('18'!$D$4:$D$19,X12)+COUNTIF('19'!$D$4:$D$24,X12)+COUNTIF('20'!$D$4:$D$19,X12)+COUNTIF('21'!$D$4:$D$23,X12)+COUNTIF('22'!$D$4:$D$26,X12)+COUNTIF('23'!$D$4:$D$21,X12)+COUNTIF('24'!$D$4:$D$16,X12)+COUNTIF('25'!$D$4:$D$18,X12)+COUNTIF('26'!$D$4:$D$16,X12)+COUNTIF('27'!$D$4:$D$16,X12)+COUNTIF('28'!$D$4:$D$16,X12)+COUNTIF('29'!$D$4:$D$16,X12)+COUNTIF('30'!$D$4:$D$16,X12)+COUNTIF('31'!$D$4:$D$17,X12)</f>
        <v>1</v>
      </c>
      <c r="Z12" s="102">
        <f t="shared" si="1"/>
        <v>1.00006</v>
      </c>
      <c r="AA12" s="102" t="s">
        <v>42</v>
      </c>
      <c r="AB12" s="102" t="s">
        <v>543</v>
      </c>
      <c r="AC12" s="102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$26:$O$29,AA12)+COUNTIF('11'!$O$22:$O$25,AA12)+COUNTIF('12'!$O$19:$O$22,AA12)+COUNTIF('13'!$O$18:$O$21,AA12)+COUNTIF('14'!$O$18:$O$21,AA12)+COUNTIF('15'!$O$22:$O$25,AA12)+COUNTIF('16'!$O$21:$O$24,AA12)+COUNTIF('17'!$O$37:$O$40,AA12)+COUNTIF('18'!$O$21:$O$24,AA12)+COUNTIF('19'!$O$26:$O$29,AA12)+COUNTIF('20'!$O$21:$O$24,AA12)+COUNTIF('21'!$O$25:$O$28,AA12)+COUNTIF('22'!$O$28:$O$31,AA12)+COUNTIF('23'!$O$23:$O$26,AA12)+COUNTIF('24'!$O$18:$O$21,AA12)+COUNTIF('25'!$O$20:$O$23,AA12)+COUNTIF('26'!$O$18:$O$21,AA12)+COUNTIF('27'!$O$18:$O$21,AA12)+COUNTIF('28'!$O$18:$O$21,AA12)+COUNTIF('29'!$O$18:$O$21,AA12)+COUNTIF('30'!$O$18:$O$21,AA12)+COUNTIF('31'!$O$19:$O$22,AA12)</f>
        <v>27</v>
      </c>
      <c r="AD12" s="102">
        <f t="shared" si="2"/>
        <v>27.00004</v>
      </c>
      <c r="AK12" s="102" t="s">
        <v>42</v>
      </c>
      <c r="AL12" s="102" t="s">
        <v>543</v>
      </c>
      <c r="AM12" s="102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$33:$AG$38,AK12,'10'!$AF$33:$AF$38,1)+COUNTIFS('11'!$AG$29:$AG$34,AK12,'11'!$AF$29:$AF$34,1)+COUNTIFS('12'!$AG$26:$AG$31,AK12,'12'!$AF$26:$AF$31,1)+COUNTIFS('13'!$AG$25:$AG$30,AK12,'13'!$AF$25:$AF$30,1)+COUNTIFS('14'!$AG$25:$AG$30,AK12,'14'!$AF$25:$AF$30,1)+COUNTIFS('15'!$AG$29:$AG$34,AK12,'15'!$AF$29:$AF$34,1)+COUNTIFS('16'!$AG$28:$AG$33,AK12,'16'!$AF$28:$AF$33,1)+COUNTIFS('17'!$AG$44:$AG$49,AK12,'17'!$AF$44:$AF$49,1)+COUNTIFS('18'!$AG$28:$AG$33,AK12,'18'!$AF$28:$AF$33,1)+COUNTIFS('19'!$AG$33:$AG$38,AK12,'19'!$AF$33:$AF$38,1)+COUNTIFS('20'!$AG$28:$AG$33,AK12,'20'!$AF$28:$AF$33,1)+COUNTIFS('21'!$AG$32:$AG$37,AK12,'21'!$AF$32:$AF$37,1)+COUNTIFS('22'!$AG$35:$AG$40,AK12,'22'!$AF$35:$AF$40,1)+COUNTIFS('23'!$AG$30:$AG$35,AK12,'23'!$AF$30:$AF$35,1)+COUNTIFS('24'!$AG$25:$AG$30,AK12,'24'!$AF$25:$AF$30,1)+COUNTIFS('25'!$AG$27:$AG$32,AK12,'25'!$AF$27:$AF$32,1)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26</v>
      </c>
      <c r="AN12" s="102">
        <f t="shared" si="5"/>
        <v>99.42307692</v>
      </c>
      <c r="AO12" s="102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$33:$L$38,'10'!$AG$33:$AG$38,AK12,'10'!$AF$33:$AF$38,1)+SUMIFS('11'!$L$29:$L$34,'11'!$AG$29:$AG$34,AK12,'11'!$AF$29:$AF$34,1)+SUMIFS('12'!$L$26:$L$31,'12'!$AG$26:$AG$31,AK12,'12'!$AF$26:$AF$31,1)+SUMIFS('13'!$L$25:$L$30,'13'!$AG$25:$AG$30,AK12,'13'!$AF$25:$AF$30,1)+SUMIFS('14'!$L$25:$L$30,'14'!$AG$25:$AG$30,AK12,'14'!$AF$25:$AF$30,1)+SUMIFS('15'!$L$29:$L$34,'15'!$AG$29:$AG$34,AK12,'15'!$AF$29:$AF$34,1)+SUMIFS('16'!$L$28:$L$33,'16'!$AG$28:$AG$33,AK12,'16'!$AF$28:$AF$33,1)+SUMIFS('17'!$L$44:$L$49,'17'!$AG$44:$AG$49,AK12,'17'!$AF$44:$AF$49,1)+SUMIFS('18'!$L$28:$L$33,'18'!$AG$28:$AG$33,AK12,'18'!$AF$28:$AF$33,1)+SUMIFS('19'!$L$33:$L$38,'19'!$AG$33:$AG$38,AK12,'19'!$AF$33:$AF$38,1)+SUMIFS('20'!$L$28:$L$33,'20'!$AG$28:$AG$33,AK12,'20'!$AF$28:$AF$33,1)+SUMIFS('21'!$L$32:$L$37,'21'!$AG$32:$AG$37,AK12,'21'!$AF$32:$AF$37,1)+SUMIFS('22'!$L$35:$L$40,'22'!$AG$35:$AG$40,AK12,'22'!$AF$35:$AF$40,1)+SUMIFS('23'!$L$30:$L$35,'23'!$AG$30:$AG$35,AK12,'23'!$AF$30:$AF$35,1)+SUMIFS('24'!$L$25:$L$30,'24'!$AG$25:$AG$30,AK12,'24'!$AF$25:$AF$30,1)+SUMIFS('25'!$L$27:$L$32,'25'!$AG$27:$AG$32,AK12,'25'!$AF$27:$AF$32,1)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4.884615385</v>
      </c>
      <c r="AP12" s="102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$33:$M$38,'10'!$AG$33:$AG$38,AK12,'10'!$AF$33:$AF$38,1)+SUMIFS('11'!$M$29:$M$34,'11'!$AG$29:$AG$34,AK12,'11'!$AF$29:$AF$34,1)+SUMIFS('12'!$M$26:$M$31,'12'!$AG$26:$AG$31,AK12,'12'!$AF$26:$AF$31,1)+SUMIFS('13'!$M$25:$M$30,'13'!$AG$25:$AG$30,AK12,'13'!$AF$25:$AF$30,1)+SUMIFS('14'!$M$25:$M$30,'14'!$AG$25:$AG$30,AK12,'14'!$AF$25:$AF$30,1)+SUMIFS('15'!$M$29:$M$34,'15'!$AG$29:$AG$34,AK12,'15'!$AF$29:$AF$34,1)+SUMIFS('16'!$M$28:$M$33,'16'!$AG$28:$AG$33,AK12,'16'!$AF$28:$AF$33,1)+SUMIFS('17'!$M$44:$M$49,'17'!$AG$44:$AG$49,AK12,'17'!$AF$44:$AF$49,1)+SUMIFS('18'!$M$28:$M$33,'18'!$AG$28:$AG$33,AK12,'18'!$AF$28:$AF$33,1)+SUMIFS('19'!$M$33:$M$38,'19'!$AG$33:$AG$38,AK12,'19'!$AF$33:$AF$38,1)+SUMIFS('20'!$M$28:$M$33,'20'!$AG$28:$AG$33,AK12,'20'!$AF$28:$AF$33,1)+SUMIFS('21'!$M$32:$M$37,'21'!$AG$32:$AG$37,AK12,'21'!$AF$32:$AF$37,1)+SUMIFS('22'!$M$35:$M$40,'22'!$AG$35:$AG$40,AK12,'22'!$AF$35:$AF$40,1)+SUMIFS('23'!$M$30:$M$35,'23'!$AG$30:$AG$35,AK12,'23'!$AF$30:$AF$35,1)+SUMIFS('24'!$M$25:$M$30,'24'!$AG$25:$AG$30,AK12,'24'!$AF$25:$AF$30,1)+SUMIFS('25'!$M$27:$M$32,'25'!$AG$27:$AG$32,AK12,'25'!$AF$27:$AF$32,1)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102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$33:$N$38,'10'!$AG$33:$AG$38,AK12,'10'!$AF$33:$AF$38,1)+SUMIFS('11'!$N$29:$N$34,'11'!$AG$29:$AG$34,AK12,'11'!$AF$29:$AF$34,1)+SUMIFS('12'!$N$26:$N$31,'12'!$AG$26:$AG$31,AK12,'12'!$AF$26:$AF$31,1)+SUMIFS('13'!$N$25:$N$30,'13'!$AG$25:$AG$30,AK12,'13'!$AF$25:$AF$30,1)+SUMIFS('14'!$N$25:$N$30,'14'!$AG$25:$AG$30,AK12,'14'!$AF$25:$AF$30,1)+SUMIFS('15'!$N$29:$N$34,'15'!$AG$29:$AG$34,AK12,'15'!$AF$29:$AF$34,1)+SUMIFS('16'!$N$28:$N$33,'16'!$AG$28:$AG$33,AK12,'16'!$AF$28:$AF$33,1)+SUMIFS('17'!$N$44:$N$49,'17'!$AG$44:$AG$49,AK12,'17'!$AF$44:$AF$49,1)+SUMIFS('18'!$N$28:$N$33,'18'!$AG$28:$AG$33,AK12,'18'!$AF$28:$AF$33,1)+SUMIFS('19'!$N$33:$N$38,'19'!$AG$33:$AG$38,AK12,'19'!$AF$33:$AF$38,1)+SUMIFS('20'!$N$28:$N$33,'20'!$AG$28:$AG$33,AK12,'20'!$AF$28:$AF$33,1)+SUMIFS('21'!$N$32:$N$37,'21'!$AG$32:$AG$37,AK12,'21'!$AF$32:$AF$37,1)+SUMIFS('22'!$N$35:$N$40,'22'!$AG$35:$AG$40,AK12,'22'!$AF$35:$AF$40,1)+SUMIFS('23'!$N$30:$N$35,'23'!$AG$30:$AG$35,AK12,'23'!$AF$30:$AF$35,1)+SUMIFS('24'!$N$25:$N$30,'24'!$AG$25:$AG$30,AK12,'24'!$AF$25:$AF$30,1)+SUMIFS('25'!$N$27:$N$32,'25'!$AG$27:$AG$32,AK12,'25'!$AF$27:$AF$32,1)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102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$33:$O$38,'10'!$AG$33:$AG$38,AK12,'10'!$AF$33:$AF$38,1)+SUMIFS('11'!$O$29:$O$34,'11'!$AG$29:$AG$34,AK12,'11'!$AF$29:$AF$34,1)+SUMIFS('12'!$O$26:$O$31,'12'!$AG$26:$AG$31,AK12,'12'!$AF$26:$AF$31,1)+SUMIFS('13'!$O$25:$O$30,'13'!$AG$25:$AG$30,AK12,'13'!$AF$25:$AF$30,1)+SUMIFS('14'!$O$25:$O$30,'14'!$AG$25:$AG$30,AK12,'14'!$AF$25:$AF$30,1)+SUMIFS('15'!$O$29:$O$34,'15'!$AG$29:$AG$34,AK12,'15'!$AF$29:$AF$34,1)+SUMIFS('16'!$O$28:$O$33,'16'!$AG$28:$AG$33,AK12,'16'!$AF$28:$AF$33,1)+SUMIFS('17'!$O$44:$O$49,'17'!$AG$44:$AG$49,AK12,'17'!$AF$44:$AF$49,1)+SUMIFS('18'!$O$28:$O$33,'18'!$AG$28:$AG$33,AK12,'18'!$AF$28:$AF$33,1)+SUMIFS('19'!$O$33:$O$38,'19'!$AG$33:$AG$38,AK12,'19'!$AF$33:$AF$38,1)+SUMIFS('20'!$O$28:$O$33,'20'!$AG$28:$AG$33,AK12,'20'!$AF$28:$AF$33,1)+SUMIFS('21'!$O$32:$O$37,'21'!$AG$32:$AG$37,AK12,'21'!$AF$32:$AF$37,1)+SUMIFS('22'!$O$35:$O$40,'22'!$AG$35:$AG$40,AK12,'22'!$AF$35:$AF$40,1)+SUMIFS('23'!$O$30:$O$35,'23'!$AG$30:$AG$35,AK12,'23'!$AF$30:$AF$35,1)+SUMIFS('24'!$O$25:$O$30,'24'!$AG$25:$AG$30,AK12,'24'!$AF$25:$AF$30,1)+SUMIFS('25'!$O$27:$O$32,'25'!$AG$27:$AG$32,AK12,'25'!$AF$27:$AF$32,1)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102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$33:$P$38,'10'!$AG$33:$AG$38,AK12,'10'!$AF$33:$AF$38,1)+SUMIFS('11'!$P$29:$P$34,'11'!$AG$29:$AG$34,AK12,'11'!$AF$29:$AF$34,1)+SUMIFS('12'!$P$26:$P$31,'12'!$AG$26:$AG$31,AK12,'12'!$AF$26:$AF$31,1)+SUMIFS('13'!$P$25:$P$30,'13'!$AG$25:$AG$30,AK12,'13'!$AF$25:$AF$30,1)+SUMIFS('14'!$P$25:$P$30,'14'!$AG$25:$AG$30,AK12,'14'!$AF$25:$AF$30,1)+SUMIFS('15'!$P$29:$P$34,'15'!$AG$29:$AG$34,AK12,'15'!$AF$29:$AF$34,1)+SUMIFS('16'!$P$28:$P$33,'16'!$AG$28:$AG$33,AK12,'16'!$AF$28:$AF$33,1)+SUMIFS('17'!$P$44:$P$49,'17'!$AG$44:$AG$49,AK12,'17'!$AF$44:$AF$49,1)+SUMIFS('18'!$P$28:$P$33,'18'!$AG$28:$AG$33,AK12,'18'!$AF$28:$AF$33,1)+SUMIFS('19'!$P$33:$P$38,'19'!$AG$33:$AG$38,AK12,'19'!$AF$33:$AF$38,1)+SUMIFS('20'!$P$28:$P$33,'20'!$AG$28:$AG$33,AK12,'20'!$AF$28:$AF$33,1)+SUMIFS('21'!$P$32:$P$37,'21'!$AG$32:$AG$37,AK12,'21'!$AF$32:$AF$37,1)+SUMIFS('22'!$P$35:$P$40,'22'!$AG$35:$AG$40,AK12,'22'!$AF$35:$AF$40,1)+SUMIFS('23'!$P$30:$P$35,'23'!$AG$30:$AG$35,AK12,'23'!$AF$30:$AF$35,1)+SUMIFS('24'!$P$25:$P$30,'24'!$AG$25:$AG$30,AK12,'24'!$AF$25:$AF$30,1)+SUMIFS('25'!$P$27:$P$32,'25'!$AG$27:$AG$32,AK12,'25'!$AF$27:$AF$32,1)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4.961538462</v>
      </c>
      <c r="AV12" s="102">
        <f>IF(COUNTIFS('1'!$AG$29:$AG$34,$AK12,'1'!$AF$29:$AF$34,1)=0,"",SUMIFS('1'!$AC$29:$AC$34,'1'!$AG$29:$AG$34,$AK12,'1'!$AF$29:$AF$34,1)/COUNTIFS('1'!$AG$29:$AG$34,$AK12,'1'!$AF$29:$AF$34,1))</f>
        <v>96</v>
      </c>
      <c r="AW12" s="102">
        <f>IF(COUNTIFS('2'!$AG$27:$AG$32,$AK12,'2'!$AF$27:$AF$32,1)=0,"",SUMIFS('2'!$AC$27:$AC$32,'2'!$AG$27:$AG$32,$AK12,'2'!$AF$27:$AF$32,1)/COUNTIFS('2'!$AG$27:$AG$32,$AK12,'2'!$AF$27:$AF$32,1))</f>
        <v>100</v>
      </c>
      <c r="AX12" s="102">
        <f>IF(COUNTIFS('3'!$AG$74:$AG$79,$AK12,'3'!$AF$74:$AF$79,1)=0,"",SUMIFS('3'!$AC$74:$AC$79,'3'!$AG$74:$AG$79,$AK12,'3'!$AF$74:$AF$79,1)/COUNTIFS('3'!$AG$74:$AG$79,$AK12,'3'!$AF$74:$AF$79,1))</f>
        <v>100</v>
      </c>
      <c r="AY12" s="102">
        <f>IF(COUNTIFS('4'!$AG$86:$AG$91,$AK12,'4'!$AF$86:$AF$91,1)=0,"",SUMIFS('4'!$AC$86:$AC$91,'4'!$AG$86:$AG$91,$AK12,'4'!$AF$86:$AF$91,1)/COUNTIFS('4'!$AG$86:$AG$91,$AK12,'4'!$AF$86:$AF$91,1))</f>
        <v>100</v>
      </c>
      <c r="AZ12" s="102">
        <f>IF(COUNTIFS('5'!$AG$27:$AG$32,$AK12,'5'!$AF$27:$AF$32,1)=0,"",SUMIFS('5'!$AC$27:$AC$32,'5'!$AG$27:$AG$32,$AK12,'5'!$AF$27:$AF$32,1)/COUNTIFS('5'!$AG$27:$AG$32,$AK12,'5'!$AF$27:$AF$32,1))</f>
        <v>100</v>
      </c>
      <c r="BA12" s="102">
        <f>IF(COUNTIFS('6'!$AG$31:$AG$36,$AK12,'6'!$AF$31:$AF$36,1)=0,"",SUMIFS('6'!$AC$31:$AC$36,'6'!$AG$31:$AG$36,$AK12,'6'!$AF$31:$AF$36,1)/COUNTIFS('6'!$AG$31:$AG$36,$AK12,'6'!$AF$31:$AF$36,1))</f>
        <v>100</v>
      </c>
      <c r="BB12" s="102" t="str">
        <f>IF(COUNTIFS('7'!$AG$30:$AG$35,$AK12,'7'!$AF$30:$AF$35,1)=0,"",SUMIFS('7'!$AC$30:$AC$35,'7'!$AG$30:$AG$35,$AK12,'7'!$AF$30:$AF$35,1)/COUNTIFS('7'!$AG$30:$AG$35,$AK12,'7'!$AF$30:$AF$35,1))</f>
        <v/>
      </c>
      <c r="BC12" s="102">
        <f>IF(COUNTIFS('8'!$AG$31:$AG$36,$AK12,'8'!$AF$31:$AF$36,1)=0,"",SUMIFS('8'!$AC$31:$AC$36,'8'!$AG$31:$AG$36,$AK12,'8'!$AF$31:$AF$36,1)/COUNTIFS('8'!$AG$31:$AG$36,$AK12,'8'!$AF$31:$AF$36,1))</f>
        <v>100</v>
      </c>
      <c r="BD12" s="102">
        <f>IF(COUNTIFS('9'!$AG$33:$AG$38,$AK12,'9'!$AF$33:$AF$38,1)=0,"",SUMIFS('9'!$AC$33:$AC$38,'9'!$AG$33:$AG$38,$AK12,'9'!$AF$33:$AF$38,1)/COUNTIFS('9'!$AG$33:$AG$38,$AK12,'9'!$AF$33:$AF$38,1))</f>
        <v>100</v>
      </c>
      <c r="BE12" s="102">
        <f>IF(COUNTIFS('10'!$AG$33:$AG$38,$AK12,'10'!$AF$33:$AF$38,1)=0,"",SUMIFS('10'!$AC$33:$AC$38,'10'!$AG$33:$AG$38,$AK12,'10'!$AF$33:$AF$38,1)/COUNTIFS('10'!$AG$33:$AG$38,$AK12,'10'!$AF$33:$AF$38,1))</f>
        <v>100</v>
      </c>
      <c r="BF12" s="102">
        <f>IF(COUNTIFS('11'!$AG$29:$AG$34,$AK12,'11'!$AF$29:$AF$34,1)=0,"",SUMIFS('11'!$AC$29:$AC$34,'11'!$AG$29:$AG$34,$AK12,'11'!$AF$29:$AF$34,1)/COUNTIFS('11'!$AG$29:$AG$34,$AK12,'11'!$AF$29:$AF$34,1))</f>
        <v>100</v>
      </c>
      <c r="BG12" s="102">
        <f>IF(COUNTIFS('12'!$AG$26:$AG$31,$AK12,'12'!$AF$26:$AF$31,1)=0,"",SUMIFS('12'!$AC$26:$AC$31,'12'!$AG$26:$AG$31,$AK12,'12'!$AF$26:$AF$31,1)/COUNTIFS('12'!$AG$26:$AG$31,$AK12,'12'!$AF$26:$AF$31,1))</f>
        <v>100</v>
      </c>
      <c r="BH12" s="102">
        <f>IF(COUNTIFS('13'!$AG$25:$AG$30,$AK12,'13'!$AF$25:$AF$30,1)=0,"",SUMIFS('13'!$AC$25:$AC$30,'13'!$AG$25:$AG$30,$AK12,'13'!$AF$25:$AF$30,1)/COUNTIFS('13'!$AG$25:$AG$30,$AK12,'13'!$AF$25:$AF$30,1))</f>
        <v>100</v>
      </c>
      <c r="BI12" s="102">
        <f>IF(COUNTIFS('14'!$AG$25:$AG$30,$AK12,'14'!$AF$25:$AF$30,1)=0,"",SUMIFS('14'!$AC$25:$AC$30,'14'!$AG$25:$AG$30,$AK12,'14'!$AF$25:$AF$30,1)/COUNTIFS('14'!$AG$25:$AG$30,$AK12,'14'!$AF$25:$AF$30,1))</f>
        <v>93</v>
      </c>
      <c r="BJ12" s="102" t="str">
        <f>IF(COUNTIFS('15'!$AG$29:$AG$34,$AK12,'15'!$AF$29:$AF$34,1)=0,"",SUMIFS('15'!$AC$29:$AC$34,'15'!$AG$29:$AG$34,$AK12,'15'!$AF$29:$AF$34,1)/COUNTIFS('15'!$AG$29:$AG$34,$AK12,'15'!$AF$29:$AF$34,1))</f>
        <v/>
      </c>
      <c r="BK12" s="102">
        <f>IF(COUNTIFS('16'!$AG$28:$AG$33,$AK12,'16'!$AF$28:$AF$33,1)=0,"",SUMIFS('16'!$AC$28:$AC$33,'16'!$AG$28:$AG$33,$AK12,'16'!$AF$28:$AF$33,1)/COUNTIFS('16'!$AG$28:$AG$33,$AK12,'16'!$AF$28:$AF$33,1))</f>
        <v>100</v>
      </c>
      <c r="BL12" s="102">
        <f>IF(COUNTIFS('17'!$AG$44:$AG$49,$AK12,'17'!$AF$44:$AF$49,1)=0,"",SUMIFS('17'!$AC$44:$AC$49,'17'!$AG$44:$AG$49,$AK12,'17'!$AF$44:$AF$49,1)/COUNTIFS('17'!$AG$44:$AG$49,$AK12,'17'!$AF$44:$AF$49,1))</f>
        <v>100</v>
      </c>
      <c r="BM12" s="102">
        <f>IF(COUNTIFS('18'!$AG$28:$AG$33,$AK12,'18'!$AF$28:$AF$33,1)=0,"",SUMIFS('18'!$AC$28:$AC$33,'18'!$AG$28:$AG$33,$AK12,'18'!$AF$28:$AF$33,1)/COUNTIFS('18'!$AG$28:$AG$33,$AK12,'18'!$AF$28:$AF$33,1))</f>
        <v>100</v>
      </c>
      <c r="BN12" s="102">
        <f>IF(COUNTIFS('19'!$AG$33:$AG$38,$AK12,'19'!$AF$33:$AF$38,1)=0,"",SUMIFS('19'!$AC$33:$AC$38,'19'!$AG$33:$AG$38,$AK12,'19'!$AF$33:$AF$38,1)/COUNTIFS('19'!$AG$33:$AG$38,$AK12,'19'!$AF$33:$AF$38,1))</f>
        <v>100</v>
      </c>
      <c r="BO12" s="102">
        <f>IF(COUNTIFS('20'!$AG$28:$AG$33,$AK12,'20'!$AF$28:$AF$33,1)=0,"",SUMIFS('20'!$AC$28:$AC$33,'20'!$AG$28:$AG$33,$AK12,'20'!$AF$28:$AF$33,1)/COUNTIFS('20'!$AG$28:$AG$33,$AK12,'20'!$AF$28:$AF$33,1))</f>
        <v>100</v>
      </c>
      <c r="BP12" s="102">
        <f>IF(COUNTIFS('21'!$AG$32:$AG$37,$AK12,'21'!$AF$32:$AF$37,1)=0,"",SUMIFS('21'!$AC$32:$AC$37,'21'!$AG$32:$AG$37,$AK12,'21'!$AF$32:$AF$37,1)/COUNTIFS('21'!$AG$32:$AG$37,$AK12,'21'!$AF$32:$AF$37,1))</f>
        <v>100</v>
      </c>
      <c r="BQ12" s="102">
        <f>IF(COUNTIFS('22'!$AG$35:$AG$40,$AK12,'22'!$AF$35:$AF$40,1)=0,"",SUMIFS('22'!$AC$35:$AC$40,'22'!$AG$35:$AG$40,$AK12,'22'!$AF$35:$AF$40,1)/COUNTIFS('22'!$AG$35:$AG$40,$AK12,'22'!$AF$35:$AF$40,1))</f>
        <v>100</v>
      </c>
      <c r="BR12" s="102">
        <f>IF(COUNTIFS('23'!$AG$30:$AG$35,$AK12,'23'!$AF$30:$AF$35,1)=0,"",SUMIFS('23'!$AC$30:$AC$35,'23'!$AG$30:$AG$35,$AK12,'23'!$AF$30:$AF$35,1)/COUNTIFS('23'!$AG$30:$AG$35,$AK12,'23'!$AF$30:$AF$35,1))</f>
        <v>100</v>
      </c>
      <c r="BS12" s="102">
        <f>IF(COUNTIFS('24'!$AG$25:$AG$30,$AK12,'24'!$AF$25:$AF$30,1)=0,"",SUMIFS('24'!$AC$25:$AC$30,'24'!$AG$25:$AG$30,$AK12,'24'!$AF$25:$AF$30,1)/COUNTIFS('24'!$AG$25:$AG$30,$AK12,'24'!$AF$25:$AF$30,1))</f>
        <v>100</v>
      </c>
      <c r="BT12" s="102" t="str">
        <f>IF(COUNTIFS('25'!$AG$27:$AG$32,$AK12,'25'!$AF$27:$AF$32,1)=0,"",SUMIFS('25'!$AC$27:$AC$32,'25'!$AG$27:$AG$32,$AK12,'25'!$AF$27:$AF$32,1)/COUNTIFS('25'!$AG$27:$AG$32,$AK12,'25'!$AF$27:$AF$32,1))</f>
        <v/>
      </c>
      <c r="BU12" s="102" t="str">
        <f>IF(COUNTIFS('26'!$AG$25:$AG$30,$AK12,'26'!$AF$25:$AF$30,1)=0,"",SUMIFS('26'!$AC$25:$AC$30,'26'!$AG$25:$AG$30,$AK12,'26'!$AF$25:$AF$30,1)/COUNTIFS('26'!$AG$25:$AG$30,$AK12,'26'!$AF$25:$AF$30,1))</f>
        <v/>
      </c>
      <c r="BV12" s="102" t="str">
        <f>IF(COUNTIFS('27'!$AG$25:$AG$30,$AK12,'27'!$AF$25:$AF$30,1)=0,"",SUMIFS('27'!$AC$25:$AC$30,'27'!$AG$25:$AG$30,$AK12,'27'!$AF$25:$AF$30,1)/COUNTIFS('27'!$AG$25:$AG$30,$AK12,'27'!$AF$25:$AF$30,1))</f>
        <v/>
      </c>
      <c r="BW12" s="102" t="str">
        <f>IF(COUNTIFS('28'!$AG$25:$AG$30,$AK12,'28'!$AF$25:$AF$30,1)=0,"",SUMIFS('28'!$AC$25:$AC$30,'28'!$AG$25:$AG$30,$AK12,'28'!$AF$25:$AF$30,1)/COUNTIFS('28'!$AG$25:$AG$30,$AK12,'28'!$AF$25:$AF$30,1))</f>
        <v/>
      </c>
      <c r="BX12" s="102" t="str">
        <f>IF(COUNTIFS('29'!$AG$25:$AG$30,$AK12,'29'!$AF$25:$AF$30,1)=0,"",SUMIFS('29'!$AC$25:$AC$30,'29'!$AG$25:$AG$30,$AK12,'29'!$AF$25:$AF$30,1)/COUNTIFS('29'!$AG$25:$AG$30,$AK12,'29'!$AF$25:$AF$30,1))</f>
        <v/>
      </c>
      <c r="BY12" s="102" t="str">
        <f>IF(COUNTIFS('30'!$AG$25:$AG$30,$AK12,'30'!$AF$25:$AF$30,1)=0,"",SUMIFS('30'!$AC$25:$AC$30,'30'!$AG$25:$AG$30,$AK12,'30'!$AF$25:$AF$30,1)/COUNTIFS('30'!$AG$25:$AG$30,$AK12,'30'!$AF$25:$AF$30,1))</f>
        <v/>
      </c>
      <c r="BZ12" s="102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210">
        <f>IF(LARGE($Y$5:$Y$17,8)=0,"",8)</f>
        <v>8</v>
      </c>
      <c r="B13" s="210" t="str">
        <f t="shared" si="7"/>
        <v>Pas Foto</v>
      </c>
      <c r="C13" s="210">
        <f t="shared" si="8"/>
        <v>9</v>
      </c>
      <c r="D13" s="211">
        <f t="shared" si="9"/>
        <v>0.02571428571</v>
      </c>
      <c r="E13" s="211">
        <f t="shared" si="10"/>
        <v>0.9657142857</v>
      </c>
      <c r="X13" s="102" t="s">
        <v>283</v>
      </c>
      <c r="Y13" s="102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$24,X13)+COUNTIF('11'!$D$4:$D$20,X13)+COUNTIF('12'!$D$4:$D$17,X13)+COUNTIF('13'!$D$4:$D$16,X13)+COUNTIF('14'!$D$4:$D$16,X13)+COUNTIF('15'!$D$4:$D$20,X13)+COUNTIF('16'!$D$4:$D$19,X13)+COUNTIF('17'!$D$14:$D$35,X13)+COUNTIF('18'!$D$4:$D$19,X13)+COUNTIF('19'!$D$4:$D$24,X13)+COUNTIF('20'!$D$4:$D$19,X13)+COUNTIF('21'!$D$4:$D$23,X13)+COUNTIF('22'!$D$4:$D$26,X13)+COUNTIF('23'!$D$4:$D$21,X13)+COUNTIF('24'!$D$4:$D$16,X13)+COUNTIF('25'!$D$4:$D$18,X13)+COUNTIF('26'!$D$4:$D$16,X13)+COUNTIF('27'!$D$4:$D$16,X13)+COUNTIF('28'!$D$4:$D$16,X13)+COUNTIF('29'!$D$4:$D$16,X13)+COUNTIF('30'!$D$4:$D$16,X13)+COUNTIF('31'!$D$4:$D$17,X13)</f>
        <v>4</v>
      </c>
      <c r="Z13" s="102">
        <f t="shared" si="1"/>
        <v>4.00005</v>
      </c>
      <c r="AA13" s="102" t="s">
        <v>93</v>
      </c>
      <c r="AB13" s="102" t="s">
        <v>543</v>
      </c>
      <c r="AC13" s="102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$26:$O$29,AA13)+COUNTIF('11'!$O$22:$O$25,AA13)+COUNTIF('12'!$O$19:$O$22,AA13)+COUNTIF('13'!$O$18:$O$21,AA13)+COUNTIF('14'!$O$18:$O$21,AA13)+COUNTIF('15'!$O$22:$O$25,AA13)+COUNTIF('16'!$O$21:$O$24,AA13)+COUNTIF('17'!$O$37:$O$40,AA13)+COUNTIF('18'!$O$21:$O$24,AA13)+COUNTIF('19'!$O$26:$O$29,AA13)+COUNTIF('20'!$O$21:$O$24,AA13)+COUNTIF('21'!$O$25:$O$28,AA13)+COUNTIF('22'!$O$28:$O$31,AA13)+COUNTIF('23'!$O$23:$O$26,AA13)+COUNTIF('24'!$O$18:$O$21,AA13)+COUNTIF('25'!$O$20:$O$23,AA13)+COUNTIF('26'!$O$18:$O$21,AA13)+COUNTIF('27'!$O$18:$O$21,AA13)+COUNTIF('28'!$O$18:$O$21,AA13)+COUNTIF('29'!$O$18:$O$21,AA13)+COUNTIF('30'!$O$18:$O$21,AA13)+COUNTIF('31'!$O$19:$O$22,AA13)</f>
        <v>0</v>
      </c>
      <c r="AD13" s="102">
        <f t="shared" si="2"/>
        <v>0.00003</v>
      </c>
      <c r="AK13" s="102" t="s">
        <v>93</v>
      </c>
      <c r="AL13" s="102" t="s">
        <v>543</v>
      </c>
      <c r="AM13" s="102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$33:$AG$38,AK13,'10'!$AF$33:$AF$38,1)+COUNTIFS('11'!$AG$29:$AG$34,AK13,'11'!$AF$29:$AF$34,1)+COUNTIFS('12'!$AG$26:$AG$31,AK13,'12'!$AF$26:$AF$31,1)+COUNTIFS('13'!$AG$25:$AG$30,AK13,'13'!$AF$25:$AF$30,1)+COUNTIFS('14'!$AG$25:$AG$30,AK13,'14'!$AF$25:$AF$30,1)+COUNTIFS('15'!$AG$29:$AG$34,AK13,'15'!$AF$29:$AF$34,1)+COUNTIFS('16'!$AG$28:$AG$33,AK13,'16'!$AF$28:$AF$33,1)+COUNTIFS('17'!$AG$44:$AG$49,AK13,'17'!$AF$44:$AF$49,1)+COUNTIFS('18'!$AG$28:$AG$33,AK13,'18'!$AF$28:$AF$33,1)+COUNTIFS('19'!$AG$33:$AG$38,AK13,'19'!$AF$33:$AF$38,1)+COUNTIFS('20'!$AG$28:$AG$33,AK13,'20'!$AF$28:$AF$33,1)+COUNTIFS('21'!$AG$32:$AG$37,AK13,'21'!$AF$32:$AF$37,1)+COUNTIFS('22'!$AG$35:$AG$40,AK13,'22'!$AF$35:$AF$40,1)+COUNTIFS('23'!$AG$30:$AG$35,AK13,'23'!$AF$30:$AF$35,1)+COUNTIFS('24'!$AG$25:$AG$30,AK13,'24'!$AF$25:$AF$30,1)+COUNTIFS('25'!$AG$27:$AG$32,AK13,'25'!$AF$27:$AF$32,1)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102" t="str">
        <f t="shared" si="5"/>
        <v/>
      </c>
      <c r="AO13" s="102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$33:$L$38,'10'!$AG$33:$AG$38,AK13,'10'!$AF$33:$AF$38,1)+SUMIFS('11'!$L$29:$L$34,'11'!$AG$29:$AG$34,AK13,'11'!$AF$29:$AF$34,1)+SUMIFS('12'!$L$26:$L$31,'12'!$AG$26:$AG$31,AK13,'12'!$AF$26:$AF$31,1)+SUMIFS('13'!$L$25:$L$30,'13'!$AG$25:$AG$30,AK13,'13'!$AF$25:$AF$30,1)+SUMIFS('14'!$L$25:$L$30,'14'!$AG$25:$AG$30,AK13,'14'!$AF$25:$AF$30,1)+SUMIFS('15'!$L$29:$L$34,'15'!$AG$29:$AG$34,AK13,'15'!$AF$29:$AF$34,1)+SUMIFS('16'!$L$28:$L$33,'16'!$AG$28:$AG$33,AK13,'16'!$AF$28:$AF$33,1)+SUMIFS('17'!$L$44:$L$49,'17'!$AG$44:$AG$49,AK13,'17'!$AF$44:$AF$49,1)+SUMIFS('18'!$L$28:$L$33,'18'!$AG$28:$AG$33,AK13,'18'!$AF$28:$AF$33,1)+SUMIFS('19'!$L$33:$L$38,'19'!$AG$33:$AG$38,AK13,'19'!$AF$33:$AF$38,1)+SUMIFS('20'!$L$28:$L$33,'20'!$AG$28:$AG$33,AK13,'20'!$AF$28:$AF$33,1)+SUMIFS('21'!$L$32:$L$37,'21'!$AG$32:$AG$37,AK13,'21'!$AF$32:$AF$37,1)+SUMIFS('22'!$L$35:$L$40,'22'!$AG$35:$AG$40,AK13,'22'!$AF$35:$AF$40,1)+SUMIFS('23'!$L$30:$L$35,'23'!$AG$30:$AG$35,AK13,'23'!$AF$30:$AF$35,1)+SUMIFS('24'!$L$25:$L$30,'24'!$AG$25:$AG$30,AK13,'24'!$AF$25:$AF$30,1)+SUMIFS('25'!$L$27:$L$32,'25'!$AG$27:$AG$32,AK13,'25'!$AF$27:$AF$32,1)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102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$33:$M$38,'10'!$AG$33:$AG$38,AK13,'10'!$AF$33:$AF$38,1)+SUMIFS('11'!$M$29:$M$34,'11'!$AG$29:$AG$34,AK13,'11'!$AF$29:$AF$34,1)+SUMIFS('12'!$M$26:$M$31,'12'!$AG$26:$AG$31,AK13,'12'!$AF$26:$AF$31,1)+SUMIFS('13'!$M$25:$M$30,'13'!$AG$25:$AG$30,AK13,'13'!$AF$25:$AF$30,1)+SUMIFS('14'!$M$25:$M$30,'14'!$AG$25:$AG$30,AK13,'14'!$AF$25:$AF$30,1)+SUMIFS('15'!$M$29:$M$34,'15'!$AG$29:$AG$34,AK13,'15'!$AF$29:$AF$34,1)+SUMIFS('16'!$M$28:$M$33,'16'!$AG$28:$AG$33,AK13,'16'!$AF$28:$AF$33,1)+SUMIFS('17'!$M$44:$M$49,'17'!$AG$44:$AG$49,AK13,'17'!$AF$44:$AF$49,1)+SUMIFS('18'!$M$28:$M$33,'18'!$AG$28:$AG$33,AK13,'18'!$AF$28:$AF$33,1)+SUMIFS('19'!$M$33:$M$38,'19'!$AG$33:$AG$38,AK13,'19'!$AF$33:$AF$38,1)+SUMIFS('20'!$M$28:$M$33,'20'!$AG$28:$AG$33,AK13,'20'!$AF$28:$AF$33,1)+SUMIFS('21'!$M$32:$M$37,'21'!$AG$32:$AG$37,AK13,'21'!$AF$32:$AF$37,1)+SUMIFS('22'!$M$35:$M$40,'22'!$AG$35:$AG$40,AK13,'22'!$AF$35:$AF$40,1)+SUMIFS('23'!$M$30:$M$35,'23'!$AG$30:$AG$35,AK13,'23'!$AF$30:$AF$35,1)+SUMIFS('24'!$M$25:$M$30,'24'!$AG$25:$AG$30,AK13,'24'!$AF$25:$AF$30,1)+SUMIFS('25'!$M$27:$M$32,'25'!$AG$27:$AG$32,AK13,'25'!$AF$27:$AF$32,1)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102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$33:$N$38,'10'!$AG$33:$AG$38,AK13,'10'!$AF$33:$AF$38,1)+SUMIFS('11'!$N$29:$N$34,'11'!$AG$29:$AG$34,AK13,'11'!$AF$29:$AF$34,1)+SUMIFS('12'!$N$26:$N$31,'12'!$AG$26:$AG$31,AK13,'12'!$AF$26:$AF$31,1)+SUMIFS('13'!$N$25:$N$30,'13'!$AG$25:$AG$30,AK13,'13'!$AF$25:$AF$30,1)+SUMIFS('14'!$N$25:$N$30,'14'!$AG$25:$AG$30,AK13,'14'!$AF$25:$AF$30,1)+SUMIFS('15'!$N$29:$N$34,'15'!$AG$29:$AG$34,AK13,'15'!$AF$29:$AF$34,1)+SUMIFS('16'!$N$28:$N$33,'16'!$AG$28:$AG$33,AK13,'16'!$AF$28:$AF$33,1)+SUMIFS('17'!$N$44:$N$49,'17'!$AG$44:$AG$49,AK13,'17'!$AF$44:$AF$49,1)+SUMIFS('18'!$N$28:$N$33,'18'!$AG$28:$AG$33,AK13,'18'!$AF$28:$AF$33,1)+SUMIFS('19'!$N$33:$N$38,'19'!$AG$33:$AG$38,AK13,'19'!$AF$33:$AF$38,1)+SUMIFS('20'!$N$28:$N$33,'20'!$AG$28:$AG$33,AK13,'20'!$AF$28:$AF$33,1)+SUMIFS('21'!$N$32:$N$37,'21'!$AG$32:$AG$37,AK13,'21'!$AF$32:$AF$37,1)+SUMIFS('22'!$N$35:$N$40,'22'!$AG$35:$AG$40,AK13,'22'!$AF$35:$AF$40,1)+SUMIFS('23'!$N$30:$N$35,'23'!$AG$30:$AG$35,AK13,'23'!$AF$30:$AF$35,1)+SUMIFS('24'!$N$25:$N$30,'24'!$AG$25:$AG$30,AK13,'24'!$AF$25:$AF$30,1)+SUMIFS('25'!$N$27:$N$32,'25'!$AG$27:$AG$32,AK13,'25'!$AF$27:$AF$32,1)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102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$33:$O$38,'10'!$AG$33:$AG$38,AK13,'10'!$AF$33:$AF$38,1)+SUMIFS('11'!$O$29:$O$34,'11'!$AG$29:$AG$34,AK13,'11'!$AF$29:$AF$34,1)+SUMIFS('12'!$O$26:$O$31,'12'!$AG$26:$AG$31,AK13,'12'!$AF$26:$AF$31,1)+SUMIFS('13'!$O$25:$O$30,'13'!$AG$25:$AG$30,AK13,'13'!$AF$25:$AF$30,1)+SUMIFS('14'!$O$25:$O$30,'14'!$AG$25:$AG$30,AK13,'14'!$AF$25:$AF$30,1)+SUMIFS('15'!$O$29:$O$34,'15'!$AG$29:$AG$34,AK13,'15'!$AF$29:$AF$34,1)+SUMIFS('16'!$O$28:$O$33,'16'!$AG$28:$AG$33,AK13,'16'!$AF$28:$AF$33,1)+SUMIFS('17'!$O$44:$O$49,'17'!$AG$44:$AG$49,AK13,'17'!$AF$44:$AF$49,1)+SUMIFS('18'!$O$28:$O$33,'18'!$AG$28:$AG$33,AK13,'18'!$AF$28:$AF$33,1)+SUMIFS('19'!$O$33:$O$38,'19'!$AG$33:$AG$38,AK13,'19'!$AF$33:$AF$38,1)+SUMIFS('20'!$O$28:$O$33,'20'!$AG$28:$AG$33,AK13,'20'!$AF$28:$AF$33,1)+SUMIFS('21'!$O$32:$O$37,'21'!$AG$32:$AG$37,AK13,'21'!$AF$32:$AF$37,1)+SUMIFS('22'!$O$35:$O$40,'22'!$AG$35:$AG$40,AK13,'22'!$AF$35:$AF$40,1)+SUMIFS('23'!$O$30:$O$35,'23'!$AG$30:$AG$35,AK13,'23'!$AF$30:$AF$35,1)+SUMIFS('24'!$O$25:$O$30,'24'!$AG$25:$AG$30,AK13,'24'!$AF$25:$AF$30,1)+SUMIFS('25'!$O$27:$O$32,'25'!$AG$27:$AG$32,AK13,'25'!$AF$27:$AF$32,1)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102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$33:$P$38,'10'!$AG$33:$AG$38,AK13,'10'!$AF$33:$AF$38,1)+SUMIFS('11'!$P$29:$P$34,'11'!$AG$29:$AG$34,AK13,'11'!$AF$29:$AF$34,1)+SUMIFS('12'!$P$26:$P$31,'12'!$AG$26:$AG$31,AK13,'12'!$AF$26:$AF$31,1)+SUMIFS('13'!$P$25:$P$30,'13'!$AG$25:$AG$30,AK13,'13'!$AF$25:$AF$30,1)+SUMIFS('14'!$P$25:$P$30,'14'!$AG$25:$AG$30,AK13,'14'!$AF$25:$AF$30,1)+SUMIFS('15'!$P$29:$P$34,'15'!$AG$29:$AG$34,AK13,'15'!$AF$29:$AF$34,1)+SUMIFS('16'!$P$28:$P$33,'16'!$AG$28:$AG$33,AK13,'16'!$AF$28:$AF$33,1)+SUMIFS('17'!$P$44:$P$49,'17'!$AG$44:$AG$49,AK13,'17'!$AF$44:$AF$49,1)+SUMIFS('18'!$P$28:$P$33,'18'!$AG$28:$AG$33,AK13,'18'!$AF$28:$AF$33,1)+SUMIFS('19'!$P$33:$P$38,'19'!$AG$33:$AG$38,AK13,'19'!$AF$33:$AF$38,1)+SUMIFS('20'!$P$28:$P$33,'20'!$AG$28:$AG$33,AK13,'20'!$AF$28:$AF$33,1)+SUMIFS('21'!$P$32:$P$37,'21'!$AG$32:$AG$37,AK13,'21'!$AF$32:$AF$37,1)+SUMIFS('22'!$P$35:$P$40,'22'!$AG$35:$AG$40,AK13,'22'!$AF$35:$AF$40,1)+SUMIFS('23'!$P$30:$P$35,'23'!$AG$30:$AG$35,AK13,'23'!$AF$30:$AF$35,1)+SUMIFS('24'!$P$25:$P$30,'24'!$AG$25:$AG$30,AK13,'24'!$AF$25:$AF$30,1)+SUMIFS('25'!$P$27:$P$32,'25'!$AG$27:$AG$32,AK13,'25'!$AF$27:$AF$32,1)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102" t="str">
        <f>IF(COUNTIFS('1'!$AG$29:$AG$34,$AK13,'1'!$AF$29:$AF$34,1)=0,"",SUMIFS('1'!$AC$29:$AC$34,'1'!$AG$29:$AG$34,$AK13,'1'!$AF$29:$AF$34,1)/COUNTIFS('1'!$AG$29:$AG$34,$AK13,'1'!$AF$29:$AF$34,1))</f>
        <v/>
      </c>
      <c r="AW13" s="102" t="str">
        <f>IF(COUNTIFS('2'!$AG$27:$AG$32,$AK13,'2'!$AF$27:$AF$32,1)=0,"",SUMIFS('2'!$AC$27:$AC$32,'2'!$AG$27:$AG$32,$AK13,'2'!$AF$27:$AF$32,1)/COUNTIFS('2'!$AG$27:$AG$32,$AK13,'2'!$AF$27:$AF$32,1))</f>
        <v/>
      </c>
      <c r="AX13" s="102" t="str">
        <f>IF(COUNTIFS('3'!$AG$74:$AG$79,$AK13,'3'!$AF$74:$AF$79,1)=0,"",SUMIFS('3'!$AC$74:$AC$79,'3'!$AG$74:$AG$79,$AK13,'3'!$AF$74:$AF$79,1)/COUNTIFS('3'!$AG$74:$AG$79,$AK13,'3'!$AF$74:$AF$79,1))</f>
        <v/>
      </c>
      <c r="AY13" s="102" t="str">
        <f>IF(COUNTIFS('4'!$AG$86:$AG$91,$AK13,'4'!$AF$86:$AF$91,1)=0,"",SUMIFS('4'!$AC$86:$AC$91,'4'!$AG$86:$AG$91,$AK13,'4'!$AF$86:$AF$91,1)/COUNTIFS('4'!$AG$86:$AG$91,$AK13,'4'!$AF$86:$AF$91,1))</f>
        <v/>
      </c>
      <c r="AZ13" s="102" t="str">
        <f>IF(COUNTIFS('5'!$AG$27:$AG$32,$AK13,'5'!$AF$27:$AF$32,1)=0,"",SUMIFS('5'!$AC$27:$AC$32,'5'!$AG$27:$AG$32,$AK13,'5'!$AF$27:$AF$32,1)/COUNTIFS('5'!$AG$27:$AG$32,$AK13,'5'!$AF$27:$AF$32,1))</f>
        <v/>
      </c>
      <c r="BA13" s="102" t="str">
        <f>IF(COUNTIFS('6'!$AG$31:$AG$36,$AK13,'6'!$AF$31:$AF$36,1)=0,"",SUMIFS('6'!$AC$31:$AC$36,'6'!$AG$31:$AG$36,$AK13,'6'!$AF$31:$AF$36,1)/COUNTIFS('6'!$AG$31:$AG$36,$AK13,'6'!$AF$31:$AF$36,1))</f>
        <v/>
      </c>
      <c r="BB13" s="102" t="str">
        <f>IF(COUNTIFS('7'!$AG$30:$AG$35,$AK13,'7'!$AF$30:$AF$35,1)=0,"",SUMIFS('7'!$AC$30:$AC$35,'7'!$AG$30:$AG$35,$AK13,'7'!$AF$30:$AF$35,1)/COUNTIFS('7'!$AG$30:$AG$35,$AK13,'7'!$AF$30:$AF$35,1))</f>
        <v/>
      </c>
      <c r="BC13" s="102" t="str">
        <f>IF(COUNTIFS('8'!$AG$31:$AG$36,$AK13,'8'!$AF$31:$AF$36,1)=0,"",SUMIFS('8'!$AC$31:$AC$36,'8'!$AG$31:$AG$36,$AK13,'8'!$AF$31:$AF$36,1)/COUNTIFS('8'!$AG$31:$AG$36,$AK13,'8'!$AF$31:$AF$36,1))</f>
        <v/>
      </c>
      <c r="BD13" s="102" t="str">
        <f>IF(COUNTIFS('9'!$AG$33:$AG$38,$AK13,'9'!$AF$33:$AF$38,1)=0,"",SUMIFS('9'!$AC$33:$AC$38,'9'!$AG$33:$AG$38,$AK13,'9'!$AF$33:$AF$38,1)/COUNTIFS('9'!$AG$33:$AG$38,$AK13,'9'!$AF$33:$AF$38,1))</f>
        <v/>
      </c>
      <c r="BE13" s="102" t="str">
        <f>IF(COUNTIFS('10'!$AG$33:$AG$38,$AK13,'10'!$AF$33:$AF$38,1)=0,"",SUMIFS('10'!$AC$33:$AC$38,'10'!$AG$33:$AG$38,$AK13,'10'!$AF$33:$AF$38,1)/COUNTIFS('10'!$AG$33:$AG$38,$AK13,'10'!$AF$33:$AF$38,1))</f>
        <v/>
      </c>
      <c r="BF13" s="102" t="str">
        <f>IF(COUNTIFS('11'!$AG$29:$AG$34,$AK13,'11'!$AF$29:$AF$34,1)=0,"",SUMIFS('11'!$AC$29:$AC$34,'11'!$AG$29:$AG$34,$AK13,'11'!$AF$29:$AF$34,1)/COUNTIFS('11'!$AG$29:$AG$34,$AK13,'11'!$AF$29:$AF$34,1))</f>
        <v/>
      </c>
      <c r="BG13" s="102" t="str">
        <f>IF(COUNTIFS('12'!$AG$26:$AG$31,$AK13,'12'!$AF$26:$AF$31,1)=0,"",SUMIFS('12'!$AC$26:$AC$31,'12'!$AG$26:$AG$31,$AK13,'12'!$AF$26:$AF$31,1)/COUNTIFS('12'!$AG$26:$AG$31,$AK13,'12'!$AF$26:$AF$31,1))</f>
        <v/>
      </c>
      <c r="BH13" s="102" t="str">
        <f>IF(COUNTIFS('13'!$AG$25:$AG$30,$AK13,'13'!$AF$25:$AF$30,1)=0,"",SUMIFS('13'!$AC$25:$AC$30,'13'!$AG$25:$AG$30,$AK13,'13'!$AF$25:$AF$30,1)/COUNTIFS('13'!$AG$25:$AG$30,$AK13,'13'!$AF$25:$AF$30,1))</f>
        <v/>
      </c>
      <c r="BI13" s="102" t="str">
        <f>IF(COUNTIFS('14'!$AG$25:$AG$30,$AK13,'14'!$AF$25:$AF$30,1)=0,"",SUMIFS('14'!$AC$25:$AC$30,'14'!$AG$25:$AG$30,$AK13,'14'!$AF$25:$AF$30,1)/COUNTIFS('14'!$AG$25:$AG$30,$AK13,'14'!$AF$25:$AF$30,1))</f>
        <v/>
      </c>
      <c r="BJ13" s="102" t="str">
        <f>IF(COUNTIFS('15'!$AG$29:$AG$34,$AK13,'15'!$AF$29:$AF$34,1)=0,"",SUMIFS('15'!$AC$29:$AC$34,'15'!$AG$29:$AG$34,$AK13,'15'!$AF$29:$AF$34,1)/COUNTIFS('15'!$AG$29:$AG$34,$AK13,'15'!$AF$29:$AF$34,1))</f>
        <v/>
      </c>
      <c r="BK13" s="102" t="str">
        <f>IF(COUNTIFS('16'!$AG$28:$AG$33,$AK13,'16'!$AF$28:$AF$33,1)=0,"",SUMIFS('16'!$AC$28:$AC$33,'16'!$AG$28:$AG$33,$AK13,'16'!$AF$28:$AF$33,1)/COUNTIFS('16'!$AG$28:$AG$33,$AK13,'16'!$AF$28:$AF$33,1))</f>
        <v/>
      </c>
      <c r="BL13" s="102" t="str">
        <f>IF(COUNTIFS('17'!$AG$44:$AG$49,$AK13,'17'!$AF$44:$AF$49,1)=0,"",SUMIFS('17'!$AC$44:$AC$49,'17'!$AG$44:$AG$49,$AK13,'17'!$AF$44:$AF$49,1)/COUNTIFS('17'!$AG$44:$AG$49,$AK13,'17'!$AF$44:$AF$49,1))</f>
        <v/>
      </c>
      <c r="BM13" s="102" t="str">
        <f>IF(COUNTIFS('18'!$AG$28:$AG$33,$AK13,'18'!$AF$28:$AF$33,1)=0,"",SUMIFS('18'!$AC$28:$AC$33,'18'!$AG$28:$AG$33,$AK13,'18'!$AF$28:$AF$33,1)/COUNTIFS('18'!$AG$28:$AG$33,$AK13,'18'!$AF$28:$AF$33,1))</f>
        <v/>
      </c>
      <c r="BN13" s="102" t="str">
        <f>IF(COUNTIFS('19'!$AG$33:$AG$38,$AK13,'19'!$AF$33:$AF$38,1)=0,"",SUMIFS('19'!$AC$33:$AC$38,'19'!$AG$33:$AG$38,$AK13,'19'!$AF$33:$AF$38,1)/COUNTIFS('19'!$AG$33:$AG$38,$AK13,'19'!$AF$33:$AF$38,1))</f>
        <v/>
      </c>
      <c r="BO13" s="102" t="str">
        <f>IF(COUNTIFS('20'!$AG$28:$AG$33,$AK13,'20'!$AF$28:$AF$33,1)=0,"",SUMIFS('20'!$AC$28:$AC$33,'20'!$AG$28:$AG$33,$AK13,'20'!$AF$28:$AF$33,1)/COUNTIFS('20'!$AG$28:$AG$33,$AK13,'20'!$AF$28:$AF$33,1))</f>
        <v/>
      </c>
      <c r="BP13" s="102" t="str">
        <f>IF(COUNTIFS('21'!$AG$32:$AG$37,$AK13,'21'!$AF$32:$AF$37,1)=0,"",SUMIFS('21'!$AC$32:$AC$37,'21'!$AG$32:$AG$37,$AK13,'21'!$AF$32:$AF$37,1)/COUNTIFS('21'!$AG$32:$AG$37,$AK13,'21'!$AF$32:$AF$37,1))</f>
        <v/>
      </c>
      <c r="BQ13" s="102" t="str">
        <f>IF(COUNTIFS('22'!$AG$35:$AG$40,$AK13,'22'!$AF$35:$AF$40,1)=0,"",SUMIFS('22'!$AC$35:$AC$40,'22'!$AG$35:$AG$40,$AK13,'22'!$AF$35:$AF$40,1)/COUNTIFS('22'!$AG$35:$AG$40,$AK13,'22'!$AF$35:$AF$40,1))</f>
        <v/>
      </c>
      <c r="BR13" s="102" t="str">
        <f>IF(COUNTIFS('23'!$AG$30:$AG$35,$AK13,'23'!$AF$30:$AF$35,1)=0,"",SUMIFS('23'!$AC$30:$AC$35,'23'!$AG$30:$AG$35,$AK13,'23'!$AF$30:$AF$35,1)/COUNTIFS('23'!$AG$30:$AG$35,$AK13,'23'!$AF$30:$AF$35,1))</f>
        <v/>
      </c>
      <c r="BS13" s="102" t="str">
        <f>IF(COUNTIFS('24'!$AG$25:$AG$30,$AK13,'24'!$AF$25:$AF$30,1)=0,"",SUMIFS('24'!$AC$25:$AC$30,'24'!$AG$25:$AG$30,$AK13,'24'!$AF$25:$AF$30,1)/COUNTIFS('24'!$AG$25:$AG$30,$AK13,'24'!$AF$25:$AF$30,1))</f>
        <v/>
      </c>
      <c r="BT13" s="102" t="str">
        <f>IF(COUNTIFS('25'!$AG$27:$AG$32,$AK13,'25'!$AF$27:$AF$32,1)=0,"",SUMIFS('25'!$AC$27:$AC$32,'25'!$AG$27:$AG$32,$AK13,'25'!$AF$27:$AF$32,1)/COUNTIFS('25'!$AG$27:$AG$32,$AK13,'25'!$AF$27:$AF$32,1))</f>
        <v/>
      </c>
      <c r="BU13" s="102" t="str">
        <f>IF(COUNTIFS('26'!$AG$25:$AG$30,$AK13,'26'!$AF$25:$AF$30,1)=0,"",SUMIFS('26'!$AC$25:$AC$30,'26'!$AG$25:$AG$30,$AK13,'26'!$AF$25:$AF$30,1)/COUNTIFS('26'!$AG$25:$AG$30,$AK13,'26'!$AF$25:$AF$30,1))</f>
        <v/>
      </c>
      <c r="BV13" s="102" t="str">
        <f>IF(COUNTIFS('27'!$AG$25:$AG$30,$AK13,'27'!$AF$25:$AF$30,1)=0,"",SUMIFS('27'!$AC$25:$AC$30,'27'!$AG$25:$AG$30,$AK13,'27'!$AF$25:$AF$30,1)/COUNTIFS('27'!$AG$25:$AG$30,$AK13,'27'!$AF$25:$AF$30,1))</f>
        <v/>
      </c>
      <c r="BW13" s="102" t="str">
        <f>IF(COUNTIFS('28'!$AG$25:$AG$30,$AK13,'28'!$AF$25:$AF$30,1)=0,"",SUMIFS('28'!$AC$25:$AC$30,'28'!$AG$25:$AG$30,$AK13,'28'!$AF$25:$AF$30,1)/COUNTIFS('28'!$AG$25:$AG$30,$AK13,'28'!$AF$25:$AF$30,1))</f>
        <v/>
      </c>
      <c r="BX13" s="102" t="str">
        <f>IF(COUNTIFS('29'!$AG$25:$AG$30,$AK13,'29'!$AF$25:$AF$30,1)=0,"",SUMIFS('29'!$AC$25:$AC$30,'29'!$AG$25:$AG$30,$AK13,'29'!$AF$25:$AF$30,1)/COUNTIFS('29'!$AG$25:$AG$30,$AK13,'29'!$AF$25:$AF$30,1))</f>
        <v/>
      </c>
      <c r="BY13" s="102" t="str">
        <f>IF(COUNTIFS('30'!$AG$25:$AG$30,$AK13,'30'!$AF$25:$AF$30,1)=0,"",SUMIFS('30'!$AC$25:$AC$30,'30'!$AG$25:$AG$30,$AK13,'30'!$AF$25:$AF$30,1)/COUNTIFS('30'!$AG$25:$AG$30,$AK13,'30'!$AF$25:$AF$30,1))</f>
        <v/>
      </c>
      <c r="BZ13" s="102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210">
        <f>IF(LARGE($Y$5:$Y$17,9)=0,"",9)</f>
        <v>9</v>
      </c>
      <c r="B14" s="210" t="str">
        <f t="shared" si="7"/>
        <v>Family A</v>
      </c>
      <c r="C14" s="210">
        <f t="shared" si="8"/>
        <v>6</v>
      </c>
      <c r="D14" s="211">
        <f t="shared" si="9"/>
        <v>0.01714285714</v>
      </c>
      <c r="E14" s="211">
        <f t="shared" si="10"/>
        <v>0.9828571429</v>
      </c>
      <c r="X14" s="102" t="s">
        <v>44</v>
      </c>
      <c r="Y14" s="102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$24,X14)+COUNTIF('11'!$D$4:$D$20,X14)+COUNTIF('12'!$D$4:$D$17,X14)+COUNTIF('13'!$D$4:$D$16,X14)+COUNTIF('14'!$D$4:$D$16,X14)+COUNTIF('15'!$D$4:$D$20,X14)+COUNTIF('16'!$D$4:$D$19,X14)+COUNTIF('17'!$D$14:$D$35,X14)+COUNTIF('18'!$D$4:$D$19,X14)+COUNTIF('19'!$D$4:$D$24,X14)+COUNTIF('20'!$D$4:$D$19,X14)+COUNTIF('21'!$D$4:$D$23,X14)+COUNTIF('22'!$D$4:$D$26,X14)+COUNTIF('23'!$D$4:$D$21,X14)+COUNTIF('24'!$D$4:$D$16,X14)+COUNTIF('25'!$D$4:$D$18,X14)+COUNTIF('26'!$D$4:$D$16,X14)+COUNTIF('27'!$D$4:$D$16,X14)+COUNTIF('28'!$D$4:$D$16,X14)+COUNTIF('29'!$D$4:$D$16,X14)+COUNTIF('30'!$D$4:$D$16,X14)+COUNTIF('31'!$D$4:$D$17,X14)</f>
        <v>10</v>
      </c>
      <c r="Z14" s="102">
        <f t="shared" si="1"/>
        <v>10.00004</v>
      </c>
      <c r="AA14" s="102" t="s">
        <v>544</v>
      </c>
      <c r="AB14" s="102" t="s">
        <v>543</v>
      </c>
      <c r="AC14" s="102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$26:$O$29,AA14)+COUNTIF('11'!$O$22:$O$25,AA14)+COUNTIF('12'!$O$19:$O$22,AA14)+COUNTIF('13'!$O$18:$O$21,AA14)+COUNTIF('14'!$O$18:$O$21,AA14)+COUNTIF('15'!$O$22:$O$25,AA14)+COUNTIF('16'!$O$21:$O$24,AA14)+COUNTIF('17'!$O$37:$O$40,AA14)+COUNTIF('18'!$O$21:$O$24,AA14)+COUNTIF('19'!$O$26:$O$29,AA14)+COUNTIF('20'!$O$21:$O$24,AA14)+COUNTIF('21'!$O$25:$O$28,AA14)+COUNTIF('22'!$O$28:$O$31,AA14)+COUNTIF('23'!$O$23:$O$26,AA14)+COUNTIF('24'!$O$18:$O$21,AA14)+COUNTIF('25'!$O$20:$O$23,AA14)+COUNTIF('26'!$O$18:$O$21,AA14)+COUNTIF('27'!$O$18:$O$21,AA14)+COUNTIF('28'!$O$18:$O$21,AA14)+COUNTIF('29'!$O$18:$O$21,AA14)+COUNTIF('30'!$O$18:$O$21,AA14)+COUNTIF('31'!$O$19:$O$22,AA14)</f>
        <v>0</v>
      </c>
      <c r="AD14" s="102">
        <f t="shared" si="2"/>
        <v>0.00002</v>
      </c>
      <c r="AK14" s="102" t="s">
        <v>544</v>
      </c>
      <c r="AL14" s="102" t="s">
        <v>543</v>
      </c>
      <c r="AM14" s="102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$33:$AG$38,AK14,'10'!$AF$33:$AF$38,1)+COUNTIFS('11'!$AG$29:$AG$34,AK14,'11'!$AF$29:$AF$34,1)+COUNTIFS('12'!$AG$26:$AG$31,AK14,'12'!$AF$26:$AF$31,1)+COUNTIFS('13'!$AG$25:$AG$30,AK14,'13'!$AF$25:$AF$30,1)+COUNTIFS('14'!$AG$25:$AG$30,AK14,'14'!$AF$25:$AF$30,1)+COUNTIFS('15'!$AG$29:$AG$34,AK14,'15'!$AF$29:$AF$34,1)+COUNTIFS('16'!$AG$28:$AG$33,AK14,'16'!$AF$28:$AF$33,1)+COUNTIFS('17'!$AG$44:$AG$49,AK14,'17'!$AF$44:$AF$49,1)+COUNTIFS('18'!$AG$28:$AG$33,AK14,'18'!$AF$28:$AF$33,1)+COUNTIFS('19'!$AG$33:$AG$38,AK14,'19'!$AF$33:$AF$38,1)+COUNTIFS('20'!$AG$28:$AG$33,AK14,'20'!$AF$28:$AF$33,1)+COUNTIFS('21'!$AG$32:$AG$37,AK14,'21'!$AF$32:$AF$37,1)+COUNTIFS('22'!$AG$35:$AG$40,AK14,'22'!$AF$35:$AF$40,1)+COUNTIFS('23'!$AG$30:$AG$35,AK14,'23'!$AF$30:$AF$35,1)+COUNTIFS('24'!$AG$25:$AG$30,AK14,'24'!$AF$25:$AF$30,1)+COUNTIFS('25'!$AG$27:$AG$32,AK14,'25'!$AF$27:$AF$32,1)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102" t="str">
        <f t="shared" si="5"/>
        <v/>
      </c>
      <c r="AO14" s="102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$33:$L$38,'10'!$AG$33:$AG$38,AK14,'10'!$AF$33:$AF$38,1)+SUMIFS('11'!$L$29:$L$34,'11'!$AG$29:$AG$34,AK14,'11'!$AF$29:$AF$34,1)+SUMIFS('12'!$L$26:$L$31,'12'!$AG$26:$AG$31,AK14,'12'!$AF$26:$AF$31,1)+SUMIFS('13'!$L$25:$L$30,'13'!$AG$25:$AG$30,AK14,'13'!$AF$25:$AF$30,1)+SUMIFS('14'!$L$25:$L$30,'14'!$AG$25:$AG$30,AK14,'14'!$AF$25:$AF$30,1)+SUMIFS('15'!$L$29:$L$34,'15'!$AG$29:$AG$34,AK14,'15'!$AF$29:$AF$34,1)+SUMIFS('16'!$L$28:$L$33,'16'!$AG$28:$AG$33,AK14,'16'!$AF$28:$AF$33,1)+SUMIFS('17'!$L$44:$L$49,'17'!$AG$44:$AG$49,AK14,'17'!$AF$44:$AF$49,1)+SUMIFS('18'!$L$28:$L$33,'18'!$AG$28:$AG$33,AK14,'18'!$AF$28:$AF$33,1)+SUMIFS('19'!$L$33:$L$38,'19'!$AG$33:$AG$38,AK14,'19'!$AF$33:$AF$38,1)+SUMIFS('20'!$L$28:$L$33,'20'!$AG$28:$AG$33,AK14,'20'!$AF$28:$AF$33,1)+SUMIFS('21'!$L$32:$L$37,'21'!$AG$32:$AG$37,AK14,'21'!$AF$32:$AF$37,1)+SUMIFS('22'!$L$35:$L$40,'22'!$AG$35:$AG$40,AK14,'22'!$AF$35:$AF$40,1)+SUMIFS('23'!$L$30:$L$35,'23'!$AG$30:$AG$35,AK14,'23'!$AF$30:$AF$35,1)+SUMIFS('24'!$L$25:$L$30,'24'!$AG$25:$AG$30,AK14,'24'!$AF$25:$AF$30,1)+SUMIFS('25'!$L$27:$L$32,'25'!$AG$27:$AG$32,AK14,'25'!$AF$27:$AF$32,1)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102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$33:$M$38,'10'!$AG$33:$AG$38,AK14,'10'!$AF$33:$AF$38,1)+SUMIFS('11'!$M$29:$M$34,'11'!$AG$29:$AG$34,AK14,'11'!$AF$29:$AF$34,1)+SUMIFS('12'!$M$26:$M$31,'12'!$AG$26:$AG$31,AK14,'12'!$AF$26:$AF$31,1)+SUMIFS('13'!$M$25:$M$30,'13'!$AG$25:$AG$30,AK14,'13'!$AF$25:$AF$30,1)+SUMIFS('14'!$M$25:$M$30,'14'!$AG$25:$AG$30,AK14,'14'!$AF$25:$AF$30,1)+SUMIFS('15'!$M$29:$M$34,'15'!$AG$29:$AG$34,AK14,'15'!$AF$29:$AF$34,1)+SUMIFS('16'!$M$28:$M$33,'16'!$AG$28:$AG$33,AK14,'16'!$AF$28:$AF$33,1)+SUMIFS('17'!$M$44:$M$49,'17'!$AG$44:$AG$49,AK14,'17'!$AF$44:$AF$49,1)+SUMIFS('18'!$M$28:$M$33,'18'!$AG$28:$AG$33,AK14,'18'!$AF$28:$AF$33,1)+SUMIFS('19'!$M$33:$M$38,'19'!$AG$33:$AG$38,AK14,'19'!$AF$33:$AF$38,1)+SUMIFS('20'!$M$28:$M$33,'20'!$AG$28:$AG$33,AK14,'20'!$AF$28:$AF$33,1)+SUMIFS('21'!$M$32:$M$37,'21'!$AG$32:$AG$37,AK14,'21'!$AF$32:$AF$37,1)+SUMIFS('22'!$M$35:$M$40,'22'!$AG$35:$AG$40,AK14,'22'!$AF$35:$AF$40,1)+SUMIFS('23'!$M$30:$M$35,'23'!$AG$30:$AG$35,AK14,'23'!$AF$30:$AF$35,1)+SUMIFS('24'!$M$25:$M$30,'24'!$AG$25:$AG$30,AK14,'24'!$AF$25:$AF$30,1)+SUMIFS('25'!$M$27:$M$32,'25'!$AG$27:$AG$32,AK14,'25'!$AF$27:$AF$32,1)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102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$33:$N$38,'10'!$AG$33:$AG$38,AK14,'10'!$AF$33:$AF$38,1)+SUMIFS('11'!$N$29:$N$34,'11'!$AG$29:$AG$34,AK14,'11'!$AF$29:$AF$34,1)+SUMIFS('12'!$N$26:$N$31,'12'!$AG$26:$AG$31,AK14,'12'!$AF$26:$AF$31,1)+SUMIFS('13'!$N$25:$N$30,'13'!$AG$25:$AG$30,AK14,'13'!$AF$25:$AF$30,1)+SUMIFS('14'!$N$25:$N$30,'14'!$AG$25:$AG$30,AK14,'14'!$AF$25:$AF$30,1)+SUMIFS('15'!$N$29:$N$34,'15'!$AG$29:$AG$34,AK14,'15'!$AF$29:$AF$34,1)+SUMIFS('16'!$N$28:$N$33,'16'!$AG$28:$AG$33,AK14,'16'!$AF$28:$AF$33,1)+SUMIFS('17'!$N$44:$N$49,'17'!$AG$44:$AG$49,AK14,'17'!$AF$44:$AF$49,1)+SUMIFS('18'!$N$28:$N$33,'18'!$AG$28:$AG$33,AK14,'18'!$AF$28:$AF$33,1)+SUMIFS('19'!$N$33:$N$38,'19'!$AG$33:$AG$38,AK14,'19'!$AF$33:$AF$38,1)+SUMIFS('20'!$N$28:$N$33,'20'!$AG$28:$AG$33,AK14,'20'!$AF$28:$AF$33,1)+SUMIFS('21'!$N$32:$N$37,'21'!$AG$32:$AG$37,AK14,'21'!$AF$32:$AF$37,1)+SUMIFS('22'!$N$35:$N$40,'22'!$AG$35:$AG$40,AK14,'22'!$AF$35:$AF$40,1)+SUMIFS('23'!$N$30:$N$35,'23'!$AG$30:$AG$35,AK14,'23'!$AF$30:$AF$35,1)+SUMIFS('24'!$N$25:$N$30,'24'!$AG$25:$AG$30,AK14,'24'!$AF$25:$AF$30,1)+SUMIFS('25'!$N$27:$N$32,'25'!$AG$27:$AG$32,AK14,'25'!$AF$27:$AF$32,1)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102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$33:$O$38,'10'!$AG$33:$AG$38,AK14,'10'!$AF$33:$AF$38,1)+SUMIFS('11'!$O$29:$O$34,'11'!$AG$29:$AG$34,AK14,'11'!$AF$29:$AF$34,1)+SUMIFS('12'!$O$26:$O$31,'12'!$AG$26:$AG$31,AK14,'12'!$AF$26:$AF$31,1)+SUMIFS('13'!$O$25:$O$30,'13'!$AG$25:$AG$30,AK14,'13'!$AF$25:$AF$30,1)+SUMIFS('14'!$O$25:$O$30,'14'!$AG$25:$AG$30,AK14,'14'!$AF$25:$AF$30,1)+SUMIFS('15'!$O$29:$O$34,'15'!$AG$29:$AG$34,AK14,'15'!$AF$29:$AF$34,1)+SUMIFS('16'!$O$28:$O$33,'16'!$AG$28:$AG$33,AK14,'16'!$AF$28:$AF$33,1)+SUMIFS('17'!$O$44:$O$49,'17'!$AG$44:$AG$49,AK14,'17'!$AF$44:$AF$49,1)+SUMIFS('18'!$O$28:$O$33,'18'!$AG$28:$AG$33,AK14,'18'!$AF$28:$AF$33,1)+SUMIFS('19'!$O$33:$O$38,'19'!$AG$33:$AG$38,AK14,'19'!$AF$33:$AF$38,1)+SUMIFS('20'!$O$28:$O$33,'20'!$AG$28:$AG$33,AK14,'20'!$AF$28:$AF$33,1)+SUMIFS('21'!$O$32:$O$37,'21'!$AG$32:$AG$37,AK14,'21'!$AF$32:$AF$37,1)+SUMIFS('22'!$O$35:$O$40,'22'!$AG$35:$AG$40,AK14,'22'!$AF$35:$AF$40,1)+SUMIFS('23'!$O$30:$O$35,'23'!$AG$30:$AG$35,AK14,'23'!$AF$30:$AF$35,1)+SUMIFS('24'!$O$25:$O$30,'24'!$AG$25:$AG$30,AK14,'24'!$AF$25:$AF$30,1)+SUMIFS('25'!$O$27:$O$32,'25'!$AG$27:$AG$32,AK14,'25'!$AF$27:$AF$32,1)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102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$33:$P$38,'10'!$AG$33:$AG$38,AK14,'10'!$AF$33:$AF$38,1)+SUMIFS('11'!$P$29:$P$34,'11'!$AG$29:$AG$34,AK14,'11'!$AF$29:$AF$34,1)+SUMIFS('12'!$P$26:$P$31,'12'!$AG$26:$AG$31,AK14,'12'!$AF$26:$AF$31,1)+SUMIFS('13'!$P$25:$P$30,'13'!$AG$25:$AG$30,AK14,'13'!$AF$25:$AF$30,1)+SUMIFS('14'!$P$25:$P$30,'14'!$AG$25:$AG$30,AK14,'14'!$AF$25:$AF$30,1)+SUMIFS('15'!$P$29:$P$34,'15'!$AG$29:$AG$34,AK14,'15'!$AF$29:$AF$34,1)+SUMIFS('16'!$P$28:$P$33,'16'!$AG$28:$AG$33,AK14,'16'!$AF$28:$AF$33,1)+SUMIFS('17'!$P$44:$P$49,'17'!$AG$44:$AG$49,AK14,'17'!$AF$44:$AF$49,1)+SUMIFS('18'!$P$28:$P$33,'18'!$AG$28:$AG$33,AK14,'18'!$AF$28:$AF$33,1)+SUMIFS('19'!$P$33:$P$38,'19'!$AG$33:$AG$38,AK14,'19'!$AF$33:$AF$38,1)+SUMIFS('20'!$P$28:$P$33,'20'!$AG$28:$AG$33,AK14,'20'!$AF$28:$AF$33,1)+SUMIFS('21'!$P$32:$P$37,'21'!$AG$32:$AG$37,AK14,'21'!$AF$32:$AF$37,1)+SUMIFS('22'!$P$35:$P$40,'22'!$AG$35:$AG$40,AK14,'22'!$AF$35:$AF$40,1)+SUMIFS('23'!$P$30:$P$35,'23'!$AG$30:$AG$35,AK14,'23'!$AF$30:$AF$35,1)+SUMIFS('24'!$P$25:$P$30,'24'!$AG$25:$AG$30,AK14,'24'!$AF$25:$AF$30,1)+SUMIFS('25'!$P$27:$P$32,'25'!$AG$27:$AG$32,AK14,'25'!$AF$27:$AF$32,1)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102" t="str">
        <f>IF(COUNTIFS('1'!$AG$29:$AG$34,$AK14,'1'!$AF$29:$AF$34,1)=0,"",SUMIFS('1'!$AC$29:$AC$34,'1'!$AG$29:$AG$34,$AK14,'1'!$AF$29:$AF$34,1)/COUNTIFS('1'!$AG$29:$AG$34,$AK14,'1'!$AF$29:$AF$34,1))</f>
        <v/>
      </c>
      <c r="AW14" s="102" t="str">
        <f>IF(COUNTIFS('2'!$AG$27:$AG$32,$AK14,'2'!$AF$27:$AF$32,1)=0,"",SUMIFS('2'!$AC$27:$AC$32,'2'!$AG$27:$AG$32,$AK14,'2'!$AF$27:$AF$32,1)/COUNTIFS('2'!$AG$27:$AG$32,$AK14,'2'!$AF$27:$AF$32,1))</f>
        <v/>
      </c>
      <c r="AX14" s="102" t="str">
        <f>IF(COUNTIFS('3'!$AG$74:$AG$79,$AK14,'3'!$AF$74:$AF$79,1)=0,"",SUMIFS('3'!$AC$74:$AC$79,'3'!$AG$74:$AG$79,$AK14,'3'!$AF$74:$AF$79,1)/COUNTIFS('3'!$AG$74:$AG$79,$AK14,'3'!$AF$74:$AF$79,1))</f>
        <v/>
      </c>
      <c r="AY14" s="102" t="str">
        <f>IF(COUNTIFS('4'!$AG$86:$AG$91,$AK14,'4'!$AF$86:$AF$91,1)=0,"",SUMIFS('4'!$AC$86:$AC$91,'4'!$AG$86:$AG$91,$AK14,'4'!$AF$86:$AF$91,1)/COUNTIFS('4'!$AG$86:$AG$91,$AK14,'4'!$AF$86:$AF$91,1))</f>
        <v/>
      </c>
      <c r="AZ14" s="102" t="str">
        <f>IF(COUNTIFS('5'!$AG$27:$AG$32,$AK14,'5'!$AF$27:$AF$32,1)=0,"",SUMIFS('5'!$AC$27:$AC$32,'5'!$AG$27:$AG$32,$AK14,'5'!$AF$27:$AF$32,1)/COUNTIFS('5'!$AG$27:$AG$32,$AK14,'5'!$AF$27:$AF$32,1))</f>
        <v/>
      </c>
      <c r="BA14" s="102" t="str">
        <f>IF(COUNTIFS('6'!$AG$31:$AG$36,$AK14,'6'!$AF$31:$AF$36,1)=0,"",SUMIFS('6'!$AC$31:$AC$36,'6'!$AG$31:$AG$36,$AK14,'6'!$AF$31:$AF$36,1)/COUNTIFS('6'!$AG$31:$AG$36,$AK14,'6'!$AF$31:$AF$36,1))</f>
        <v/>
      </c>
      <c r="BB14" s="102" t="str">
        <f>IF(COUNTIFS('7'!$AG$30:$AG$35,$AK14,'7'!$AF$30:$AF$35,1)=0,"",SUMIFS('7'!$AC$30:$AC$35,'7'!$AG$30:$AG$35,$AK14,'7'!$AF$30:$AF$35,1)/COUNTIFS('7'!$AG$30:$AG$35,$AK14,'7'!$AF$30:$AF$35,1))</f>
        <v/>
      </c>
      <c r="BC14" s="102" t="str">
        <f>IF(COUNTIFS('8'!$AG$31:$AG$36,$AK14,'8'!$AF$31:$AF$36,1)=0,"",SUMIFS('8'!$AC$31:$AC$36,'8'!$AG$31:$AG$36,$AK14,'8'!$AF$31:$AF$36,1)/COUNTIFS('8'!$AG$31:$AG$36,$AK14,'8'!$AF$31:$AF$36,1))</f>
        <v/>
      </c>
      <c r="BD14" s="102" t="str">
        <f>IF(COUNTIFS('9'!$AG$33:$AG$38,$AK14,'9'!$AF$33:$AF$38,1)=0,"",SUMIFS('9'!$AC$33:$AC$38,'9'!$AG$33:$AG$38,$AK14,'9'!$AF$33:$AF$38,1)/COUNTIFS('9'!$AG$33:$AG$38,$AK14,'9'!$AF$33:$AF$38,1))</f>
        <v/>
      </c>
      <c r="BE14" s="102" t="str">
        <f>IF(COUNTIFS('10'!$AG$33:$AG$38,$AK14,'10'!$AF$33:$AF$38,1)=0,"",SUMIFS('10'!$AC$33:$AC$38,'10'!$AG$33:$AG$38,$AK14,'10'!$AF$33:$AF$38,1)/COUNTIFS('10'!$AG$33:$AG$38,$AK14,'10'!$AF$33:$AF$38,1))</f>
        <v/>
      </c>
      <c r="BF14" s="102" t="str">
        <f>IF(COUNTIFS('11'!$AG$29:$AG$34,$AK14,'11'!$AF$29:$AF$34,1)=0,"",SUMIFS('11'!$AC$29:$AC$34,'11'!$AG$29:$AG$34,$AK14,'11'!$AF$29:$AF$34,1)/COUNTIFS('11'!$AG$29:$AG$34,$AK14,'11'!$AF$29:$AF$34,1))</f>
        <v/>
      </c>
      <c r="BG14" s="102" t="str">
        <f>IF(COUNTIFS('12'!$AG$26:$AG$31,$AK14,'12'!$AF$26:$AF$31,1)=0,"",SUMIFS('12'!$AC$26:$AC$31,'12'!$AG$26:$AG$31,$AK14,'12'!$AF$26:$AF$31,1)/COUNTIFS('12'!$AG$26:$AG$31,$AK14,'12'!$AF$26:$AF$31,1))</f>
        <v/>
      </c>
      <c r="BH14" s="102" t="str">
        <f>IF(COUNTIFS('13'!$AG$25:$AG$30,$AK14,'13'!$AF$25:$AF$30,1)=0,"",SUMIFS('13'!$AC$25:$AC$30,'13'!$AG$25:$AG$30,$AK14,'13'!$AF$25:$AF$30,1)/COUNTIFS('13'!$AG$25:$AG$30,$AK14,'13'!$AF$25:$AF$30,1))</f>
        <v/>
      </c>
      <c r="BI14" s="102" t="str">
        <f>IF(COUNTIFS('14'!$AG$25:$AG$30,$AK14,'14'!$AF$25:$AF$30,1)=0,"",SUMIFS('14'!$AC$25:$AC$30,'14'!$AG$25:$AG$30,$AK14,'14'!$AF$25:$AF$30,1)/COUNTIFS('14'!$AG$25:$AG$30,$AK14,'14'!$AF$25:$AF$30,1))</f>
        <v/>
      </c>
      <c r="BJ14" s="102" t="str">
        <f>IF(COUNTIFS('15'!$AG$29:$AG$34,$AK14,'15'!$AF$29:$AF$34,1)=0,"",SUMIFS('15'!$AC$29:$AC$34,'15'!$AG$29:$AG$34,$AK14,'15'!$AF$29:$AF$34,1)/COUNTIFS('15'!$AG$29:$AG$34,$AK14,'15'!$AF$29:$AF$34,1))</f>
        <v/>
      </c>
      <c r="BK14" s="102" t="str">
        <f>IF(COUNTIFS('16'!$AG$28:$AG$33,$AK14,'16'!$AF$28:$AF$33,1)=0,"",SUMIFS('16'!$AC$28:$AC$33,'16'!$AG$28:$AG$33,$AK14,'16'!$AF$28:$AF$33,1)/COUNTIFS('16'!$AG$28:$AG$33,$AK14,'16'!$AF$28:$AF$33,1))</f>
        <v/>
      </c>
      <c r="BL14" s="102" t="str">
        <f>IF(COUNTIFS('17'!$AG$44:$AG$49,$AK14,'17'!$AF$44:$AF$49,1)=0,"",SUMIFS('17'!$AC$44:$AC$49,'17'!$AG$44:$AG$49,$AK14,'17'!$AF$44:$AF$49,1)/COUNTIFS('17'!$AG$44:$AG$49,$AK14,'17'!$AF$44:$AF$49,1))</f>
        <v/>
      </c>
      <c r="BM14" s="102" t="str">
        <f>IF(COUNTIFS('18'!$AG$28:$AG$33,$AK14,'18'!$AF$28:$AF$33,1)=0,"",SUMIFS('18'!$AC$28:$AC$33,'18'!$AG$28:$AG$33,$AK14,'18'!$AF$28:$AF$33,1)/COUNTIFS('18'!$AG$28:$AG$33,$AK14,'18'!$AF$28:$AF$33,1))</f>
        <v/>
      </c>
      <c r="BN14" s="102" t="str">
        <f>IF(COUNTIFS('19'!$AG$33:$AG$38,$AK14,'19'!$AF$33:$AF$38,1)=0,"",SUMIFS('19'!$AC$33:$AC$38,'19'!$AG$33:$AG$38,$AK14,'19'!$AF$33:$AF$38,1)/COUNTIFS('19'!$AG$33:$AG$38,$AK14,'19'!$AF$33:$AF$38,1))</f>
        <v/>
      </c>
      <c r="BO14" s="102" t="str">
        <f>IF(COUNTIFS('20'!$AG$28:$AG$33,$AK14,'20'!$AF$28:$AF$33,1)=0,"",SUMIFS('20'!$AC$28:$AC$33,'20'!$AG$28:$AG$33,$AK14,'20'!$AF$28:$AF$33,1)/COUNTIFS('20'!$AG$28:$AG$33,$AK14,'20'!$AF$28:$AF$33,1))</f>
        <v/>
      </c>
      <c r="BP14" s="102" t="str">
        <f>IF(COUNTIFS('21'!$AG$32:$AG$37,$AK14,'21'!$AF$32:$AF$37,1)=0,"",SUMIFS('21'!$AC$32:$AC$37,'21'!$AG$32:$AG$37,$AK14,'21'!$AF$32:$AF$37,1)/COUNTIFS('21'!$AG$32:$AG$37,$AK14,'21'!$AF$32:$AF$37,1))</f>
        <v/>
      </c>
      <c r="BQ14" s="102" t="str">
        <f>IF(COUNTIFS('22'!$AG$35:$AG$40,$AK14,'22'!$AF$35:$AF$40,1)=0,"",SUMIFS('22'!$AC$35:$AC$40,'22'!$AG$35:$AG$40,$AK14,'22'!$AF$35:$AF$40,1)/COUNTIFS('22'!$AG$35:$AG$40,$AK14,'22'!$AF$35:$AF$40,1))</f>
        <v/>
      </c>
      <c r="BR14" s="102" t="str">
        <f>IF(COUNTIFS('23'!$AG$30:$AG$35,$AK14,'23'!$AF$30:$AF$35,1)=0,"",SUMIFS('23'!$AC$30:$AC$35,'23'!$AG$30:$AG$35,$AK14,'23'!$AF$30:$AF$35,1)/COUNTIFS('23'!$AG$30:$AG$35,$AK14,'23'!$AF$30:$AF$35,1))</f>
        <v/>
      </c>
      <c r="BS14" s="102" t="str">
        <f>IF(COUNTIFS('24'!$AG$25:$AG$30,$AK14,'24'!$AF$25:$AF$30,1)=0,"",SUMIFS('24'!$AC$25:$AC$30,'24'!$AG$25:$AG$30,$AK14,'24'!$AF$25:$AF$30,1)/COUNTIFS('24'!$AG$25:$AG$30,$AK14,'24'!$AF$25:$AF$30,1))</f>
        <v/>
      </c>
      <c r="BT14" s="102" t="str">
        <f>IF(COUNTIFS('25'!$AG$27:$AG$32,$AK14,'25'!$AF$27:$AF$32,1)=0,"",SUMIFS('25'!$AC$27:$AC$32,'25'!$AG$27:$AG$32,$AK14,'25'!$AF$27:$AF$32,1)/COUNTIFS('25'!$AG$27:$AG$32,$AK14,'25'!$AF$27:$AF$32,1))</f>
        <v/>
      </c>
      <c r="BU14" s="102" t="str">
        <f>IF(COUNTIFS('26'!$AG$25:$AG$30,$AK14,'26'!$AF$25:$AF$30,1)=0,"",SUMIFS('26'!$AC$25:$AC$30,'26'!$AG$25:$AG$30,$AK14,'26'!$AF$25:$AF$30,1)/COUNTIFS('26'!$AG$25:$AG$30,$AK14,'26'!$AF$25:$AF$30,1))</f>
        <v/>
      </c>
      <c r="BV14" s="102" t="str">
        <f>IF(COUNTIFS('27'!$AG$25:$AG$30,$AK14,'27'!$AF$25:$AF$30,1)=0,"",SUMIFS('27'!$AC$25:$AC$30,'27'!$AG$25:$AG$30,$AK14,'27'!$AF$25:$AF$30,1)/COUNTIFS('27'!$AG$25:$AG$30,$AK14,'27'!$AF$25:$AF$30,1))</f>
        <v/>
      </c>
      <c r="BW14" s="102" t="str">
        <f>IF(COUNTIFS('28'!$AG$25:$AG$30,$AK14,'28'!$AF$25:$AF$30,1)=0,"",SUMIFS('28'!$AC$25:$AC$30,'28'!$AG$25:$AG$30,$AK14,'28'!$AF$25:$AF$30,1)/COUNTIFS('28'!$AG$25:$AG$30,$AK14,'28'!$AF$25:$AF$30,1))</f>
        <v/>
      </c>
      <c r="BX14" s="102" t="str">
        <f>IF(COUNTIFS('29'!$AG$25:$AG$30,$AK14,'29'!$AF$25:$AF$30,1)=0,"",SUMIFS('29'!$AC$25:$AC$30,'29'!$AG$25:$AG$30,$AK14,'29'!$AF$25:$AF$30,1)/COUNTIFS('29'!$AG$25:$AG$30,$AK14,'29'!$AF$25:$AF$30,1))</f>
        <v/>
      </c>
      <c r="BY14" s="102" t="str">
        <f>IF(COUNTIFS('30'!$AG$25:$AG$30,$AK14,'30'!$AF$25:$AF$30,1)=0,"",SUMIFS('30'!$AC$25:$AC$30,'30'!$AG$25:$AG$30,$AK14,'30'!$AF$25:$AF$30,1)/COUNTIFS('30'!$AG$25:$AG$30,$AK14,'30'!$AF$25:$AF$30,1))</f>
        <v/>
      </c>
      <c r="BZ14" s="102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210">
        <f>IF(LARGE($Y$5:$Y$17,10)=0,"",10)</f>
        <v>10</v>
      </c>
      <c r="B15" s="210" t="str">
        <f t="shared" si="7"/>
        <v>Couple C</v>
      </c>
      <c r="C15" s="210">
        <f t="shared" si="8"/>
        <v>4</v>
      </c>
      <c r="D15" s="211">
        <f t="shared" si="9"/>
        <v>0.01142857143</v>
      </c>
      <c r="E15" s="211">
        <f t="shared" si="10"/>
        <v>0.9942857143</v>
      </c>
      <c r="X15" s="102" t="s">
        <v>67</v>
      </c>
      <c r="Y15" s="102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$24,X15)+COUNTIF('11'!$D$4:$D$20,X15)+COUNTIF('12'!$D$4:$D$17,X15)+COUNTIF('13'!$D$4:$D$16,X15)+COUNTIF('14'!$D$4:$D$16,X15)+COUNTIF('15'!$D$4:$D$20,X15)+COUNTIF('16'!$D$4:$D$19,X15)+COUNTIF('17'!$D$14:$D$35,X15)+COUNTIF('18'!$D$4:$D$19,X15)+COUNTIF('19'!$D$4:$D$24,X15)+COUNTIF('20'!$D$4:$D$19,X15)+COUNTIF('21'!$D$4:$D$23,X15)+COUNTIF('22'!$D$4:$D$26,X15)+COUNTIF('23'!$D$4:$D$21,X15)+COUNTIF('24'!$D$4:$D$16,X15)+COUNTIF('25'!$D$4:$D$18,X15)+COUNTIF('26'!$D$4:$D$16,X15)+COUNTIF('27'!$D$4:$D$16,X15)+COUNTIF('28'!$D$4:$D$16,X15)+COUNTIF('29'!$D$4:$D$16,X15)+COUNTIF('30'!$D$4:$D$16,X15)+COUNTIF('31'!$D$4:$D$17,X15)</f>
        <v>12</v>
      </c>
      <c r="Z15" s="102">
        <f t="shared" si="1"/>
        <v>12.00003</v>
      </c>
      <c r="AA15" s="102" t="s">
        <v>59</v>
      </c>
      <c r="AB15" s="102" t="s">
        <v>543</v>
      </c>
      <c r="AC15" s="102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$26:$O$29,AA15)+COUNTIF('11'!$O$22:$O$25,AA15)+COUNTIF('12'!$O$19:$O$22,AA15)+COUNTIF('13'!$O$18:$O$21,AA15)+COUNTIF('14'!$O$18:$O$21,AA15)+COUNTIF('15'!$O$22:$O$25,AA15)+COUNTIF('16'!$O$21:$O$24,AA15)+COUNTIF('17'!$O$37:$O$40,AA15)+COUNTIF('18'!$O$21:$O$24,AA15)+COUNTIF('19'!$O$26:$O$29,AA15)+COUNTIF('20'!$O$21:$O$24,AA15)+COUNTIF('21'!$O$25:$O$28,AA15)+COUNTIF('22'!$O$28:$O$31,AA15)+COUNTIF('23'!$O$23:$O$26,AA15)+COUNTIF('24'!$O$18:$O$21,AA15)+COUNTIF('25'!$O$20:$O$23,AA15)+COUNTIF('26'!$O$18:$O$21,AA15)+COUNTIF('27'!$O$18:$O$21,AA15)+COUNTIF('28'!$O$18:$O$21,AA15)+COUNTIF('29'!$O$18:$O$21,AA15)+COUNTIF('30'!$O$18:$O$21,AA15)+COUNTIF('31'!$O$19:$O$22,AA15)</f>
        <v>27</v>
      </c>
      <c r="AD15" s="102">
        <f t="shared" si="2"/>
        <v>27.00001</v>
      </c>
      <c r="AK15" s="102" t="s">
        <v>59</v>
      </c>
      <c r="AL15" s="102" t="s">
        <v>543</v>
      </c>
      <c r="AM15" s="102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$33:$AG$38,AK15,'10'!$AF$33:$AF$38,1)+COUNTIFS('11'!$AG$29:$AG$34,AK15,'11'!$AF$29:$AF$34,1)+COUNTIFS('12'!$AG$26:$AG$31,AK15,'12'!$AF$26:$AF$31,1)+COUNTIFS('13'!$AG$25:$AG$30,AK15,'13'!$AF$25:$AF$30,1)+COUNTIFS('14'!$AG$25:$AG$30,AK15,'14'!$AF$25:$AF$30,1)+COUNTIFS('15'!$AG$29:$AG$34,AK15,'15'!$AF$29:$AF$34,1)+COUNTIFS('16'!$AG$28:$AG$33,AK15,'16'!$AF$28:$AF$33,1)+COUNTIFS('17'!$AG$44:$AG$49,AK15,'17'!$AF$44:$AF$49,1)+COUNTIFS('18'!$AG$28:$AG$33,AK15,'18'!$AF$28:$AF$33,1)+COUNTIFS('19'!$AG$33:$AG$38,AK15,'19'!$AF$33:$AF$38,1)+COUNTIFS('20'!$AG$28:$AG$33,AK15,'20'!$AF$28:$AF$33,1)+COUNTIFS('21'!$AG$32:$AG$37,AK15,'21'!$AF$32:$AF$37,1)+COUNTIFS('22'!$AG$35:$AG$40,AK15,'22'!$AF$35:$AF$40,1)+COUNTIFS('23'!$AG$30:$AG$35,AK15,'23'!$AF$30:$AF$35,1)+COUNTIFS('24'!$AG$25:$AG$30,AK15,'24'!$AF$25:$AF$30,1)+COUNTIFS('25'!$AG$27:$AG$32,AK15,'25'!$AF$27:$AF$32,1)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24</v>
      </c>
      <c r="AN15" s="102">
        <f t="shared" si="5"/>
        <v>99.125</v>
      </c>
      <c r="AO15" s="102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$33:$L$38,'10'!$AG$33:$AG$38,AK15,'10'!$AF$33:$AF$38,1)+SUMIFS('11'!$L$29:$L$34,'11'!$AG$29:$AG$34,AK15,'11'!$AF$29:$AF$34,1)+SUMIFS('12'!$L$26:$L$31,'12'!$AG$26:$AG$31,AK15,'12'!$AF$26:$AF$31,1)+SUMIFS('13'!$L$25:$L$30,'13'!$AG$25:$AG$30,AK15,'13'!$AF$25:$AF$30,1)+SUMIFS('14'!$L$25:$L$30,'14'!$AG$25:$AG$30,AK15,'14'!$AF$25:$AF$30,1)+SUMIFS('15'!$L$29:$L$34,'15'!$AG$29:$AG$34,AK15,'15'!$AF$29:$AF$34,1)+SUMIFS('16'!$L$28:$L$33,'16'!$AG$28:$AG$33,AK15,'16'!$AF$28:$AF$33,1)+SUMIFS('17'!$L$44:$L$49,'17'!$AG$44:$AG$49,AK15,'17'!$AF$44:$AF$49,1)+SUMIFS('18'!$L$28:$L$33,'18'!$AG$28:$AG$33,AK15,'18'!$AF$28:$AF$33,1)+SUMIFS('19'!$L$33:$L$38,'19'!$AG$33:$AG$38,AK15,'19'!$AF$33:$AF$38,1)+SUMIFS('20'!$L$28:$L$33,'20'!$AG$28:$AG$33,AK15,'20'!$AF$28:$AF$33,1)+SUMIFS('21'!$L$32:$L$37,'21'!$AG$32:$AG$37,AK15,'21'!$AF$32:$AF$37,1)+SUMIFS('22'!$L$35:$L$40,'22'!$AG$35:$AG$40,AK15,'22'!$AF$35:$AF$40,1)+SUMIFS('23'!$L$30:$L$35,'23'!$AG$30:$AG$35,AK15,'23'!$AF$30:$AF$35,1)+SUMIFS('24'!$L$25:$L$30,'24'!$AG$25:$AG$30,AK15,'24'!$AF$25:$AF$30,1)+SUMIFS('25'!$L$27:$L$32,'25'!$AG$27:$AG$32,AK15,'25'!$AF$27:$AF$32,1)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4.958333333</v>
      </c>
      <c r="AP15" s="102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$33:$M$38,'10'!$AG$33:$AG$38,AK15,'10'!$AF$33:$AF$38,1)+SUMIFS('11'!$M$29:$M$34,'11'!$AG$29:$AG$34,AK15,'11'!$AF$29:$AF$34,1)+SUMIFS('12'!$M$26:$M$31,'12'!$AG$26:$AG$31,AK15,'12'!$AF$26:$AF$31,1)+SUMIFS('13'!$M$25:$M$30,'13'!$AG$25:$AG$30,AK15,'13'!$AF$25:$AF$30,1)+SUMIFS('14'!$M$25:$M$30,'14'!$AG$25:$AG$30,AK15,'14'!$AF$25:$AF$30,1)+SUMIFS('15'!$M$29:$M$34,'15'!$AG$29:$AG$34,AK15,'15'!$AF$29:$AF$34,1)+SUMIFS('16'!$M$28:$M$33,'16'!$AG$28:$AG$33,AK15,'16'!$AF$28:$AF$33,1)+SUMIFS('17'!$M$44:$M$49,'17'!$AG$44:$AG$49,AK15,'17'!$AF$44:$AF$49,1)+SUMIFS('18'!$M$28:$M$33,'18'!$AG$28:$AG$33,AK15,'18'!$AF$28:$AF$33,1)+SUMIFS('19'!$M$33:$M$38,'19'!$AG$33:$AG$38,AK15,'19'!$AF$33:$AF$38,1)+SUMIFS('20'!$M$28:$M$33,'20'!$AG$28:$AG$33,AK15,'20'!$AF$28:$AF$33,1)+SUMIFS('21'!$M$32:$M$37,'21'!$AG$32:$AG$37,AK15,'21'!$AF$32:$AF$37,1)+SUMIFS('22'!$M$35:$M$40,'22'!$AG$35:$AG$40,AK15,'22'!$AF$35:$AF$40,1)+SUMIFS('23'!$M$30:$M$35,'23'!$AG$30:$AG$35,AK15,'23'!$AF$30:$AF$35,1)+SUMIFS('24'!$M$25:$M$30,'24'!$AG$25:$AG$30,AK15,'24'!$AF$25:$AF$30,1)+SUMIFS('25'!$M$27:$M$32,'25'!$AG$27:$AG$32,AK15,'25'!$AF$27:$AF$32,1)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102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$33:$N$38,'10'!$AG$33:$AG$38,AK15,'10'!$AF$33:$AF$38,1)+SUMIFS('11'!$N$29:$N$34,'11'!$AG$29:$AG$34,AK15,'11'!$AF$29:$AF$34,1)+SUMIFS('12'!$N$26:$N$31,'12'!$AG$26:$AG$31,AK15,'12'!$AF$26:$AF$31,1)+SUMIFS('13'!$N$25:$N$30,'13'!$AG$25:$AG$30,AK15,'13'!$AF$25:$AF$30,1)+SUMIFS('14'!$N$25:$N$30,'14'!$AG$25:$AG$30,AK15,'14'!$AF$25:$AF$30,1)+SUMIFS('15'!$N$29:$N$34,'15'!$AG$29:$AG$34,AK15,'15'!$AF$29:$AF$34,1)+SUMIFS('16'!$N$28:$N$33,'16'!$AG$28:$AG$33,AK15,'16'!$AF$28:$AF$33,1)+SUMIFS('17'!$N$44:$N$49,'17'!$AG$44:$AG$49,AK15,'17'!$AF$44:$AF$49,1)+SUMIFS('18'!$N$28:$N$33,'18'!$AG$28:$AG$33,AK15,'18'!$AF$28:$AF$33,1)+SUMIFS('19'!$N$33:$N$38,'19'!$AG$33:$AG$38,AK15,'19'!$AF$33:$AF$38,1)+SUMIFS('20'!$N$28:$N$33,'20'!$AG$28:$AG$33,AK15,'20'!$AF$28:$AF$33,1)+SUMIFS('21'!$N$32:$N$37,'21'!$AG$32:$AG$37,AK15,'21'!$AF$32:$AF$37,1)+SUMIFS('22'!$N$35:$N$40,'22'!$AG$35:$AG$40,AK15,'22'!$AF$35:$AF$40,1)+SUMIFS('23'!$N$30:$N$35,'23'!$AG$30:$AG$35,AK15,'23'!$AF$30:$AF$35,1)+SUMIFS('24'!$N$25:$N$30,'24'!$AG$25:$AG$30,AK15,'24'!$AF$25:$AF$30,1)+SUMIFS('25'!$N$27:$N$32,'25'!$AG$27:$AG$32,AK15,'25'!$AF$27:$AF$32,1)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4.958333333</v>
      </c>
      <c r="AR15" s="102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$33:$O$38,'10'!$AG$33:$AG$38,AK15,'10'!$AF$33:$AF$38,1)+SUMIFS('11'!$O$29:$O$34,'11'!$AG$29:$AG$34,AK15,'11'!$AF$29:$AF$34,1)+SUMIFS('12'!$O$26:$O$31,'12'!$AG$26:$AG$31,AK15,'12'!$AF$26:$AF$31,1)+SUMIFS('13'!$O$25:$O$30,'13'!$AG$25:$AG$30,AK15,'13'!$AF$25:$AF$30,1)+SUMIFS('14'!$O$25:$O$30,'14'!$AG$25:$AG$30,AK15,'14'!$AF$25:$AF$30,1)+SUMIFS('15'!$O$29:$O$34,'15'!$AG$29:$AG$34,AK15,'15'!$AF$29:$AF$34,1)+SUMIFS('16'!$O$28:$O$33,'16'!$AG$28:$AG$33,AK15,'16'!$AF$28:$AF$33,1)+SUMIFS('17'!$O$44:$O$49,'17'!$AG$44:$AG$49,AK15,'17'!$AF$44:$AF$49,1)+SUMIFS('18'!$O$28:$O$33,'18'!$AG$28:$AG$33,AK15,'18'!$AF$28:$AF$33,1)+SUMIFS('19'!$O$33:$O$38,'19'!$AG$33:$AG$38,AK15,'19'!$AF$33:$AF$38,1)+SUMIFS('20'!$O$28:$O$33,'20'!$AG$28:$AG$33,AK15,'20'!$AF$28:$AF$33,1)+SUMIFS('21'!$O$32:$O$37,'21'!$AG$32:$AG$37,AK15,'21'!$AF$32:$AF$37,1)+SUMIFS('22'!$O$35:$O$40,'22'!$AG$35:$AG$40,AK15,'22'!$AF$35:$AF$40,1)+SUMIFS('23'!$O$30:$O$35,'23'!$AG$30:$AG$35,AK15,'23'!$AF$30:$AF$35,1)+SUMIFS('24'!$O$25:$O$30,'24'!$AG$25:$AG$30,AK15,'24'!$AF$25:$AF$30,1)+SUMIFS('25'!$O$27:$O$32,'25'!$AG$27:$AG$32,AK15,'25'!$AF$27:$AF$32,1)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102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$33:$P$38,'10'!$AG$33:$AG$38,AK15,'10'!$AF$33:$AF$38,1)+SUMIFS('11'!$P$29:$P$34,'11'!$AG$29:$AG$34,AK15,'11'!$AF$29:$AF$34,1)+SUMIFS('12'!$P$26:$P$31,'12'!$AG$26:$AG$31,AK15,'12'!$AF$26:$AF$31,1)+SUMIFS('13'!$P$25:$P$30,'13'!$AG$25:$AG$30,AK15,'13'!$AF$25:$AF$30,1)+SUMIFS('14'!$P$25:$P$30,'14'!$AG$25:$AG$30,AK15,'14'!$AF$25:$AF$30,1)+SUMIFS('15'!$P$29:$P$34,'15'!$AG$29:$AG$34,AK15,'15'!$AF$29:$AF$34,1)+SUMIFS('16'!$P$28:$P$33,'16'!$AG$28:$AG$33,AK15,'16'!$AF$28:$AF$33,1)+SUMIFS('17'!$P$44:$P$49,'17'!$AG$44:$AG$49,AK15,'17'!$AF$44:$AF$49,1)+SUMIFS('18'!$P$28:$P$33,'18'!$AG$28:$AG$33,AK15,'18'!$AF$28:$AF$33,1)+SUMIFS('19'!$P$33:$P$38,'19'!$AG$33:$AG$38,AK15,'19'!$AF$33:$AF$38,1)+SUMIFS('20'!$P$28:$P$33,'20'!$AG$28:$AG$33,AK15,'20'!$AF$28:$AF$33,1)+SUMIFS('21'!$P$32:$P$37,'21'!$AG$32:$AG$37,AK15,'21'!$AF$32:$AF$37,1)+SUMIFS('22'!$P$35:$P$40,'22'!$AG$35:$AG$40,AK15,'22'!$AF$35:$AF$40,1)+SUMIFS('23'!$P$30:$P$35,'23'!$AG$30:$AG$35,AK15,'23'!$AF$30:$AF$35,1)+SUMIFS('24'!$P$25:$P$30,'24'!$AG$25:$AG$30,AK15,'24'!$AF$25:$AF$30,1)+SUMIFS('25'!$P$27:$P$32,'25'!$AG$27:$AG$32,AK15,'25'!$AF$27:$AF$32,1)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4.833333333</v>
      </c>
      <c r="AV15" s="102" t="str">
        <f>IF(COUNTIFS('1'!$AG$29:$AG$34,$AK15,'1'!$AF$29:$AF$34,1)=0,"",SUMIFS('1'!$AC$29:$AC$34,'1'!$AG$29:$AG$34,$AK15,'1'!$AF$29:$AF$34,1)/COUNTIFS('1'!$AG$29:$AG$34,$AK15,'1'!$AF$29:$AF$34,1))</f>
        <v/>
      </c>
      <c r="AW15" s="102">
        <f>IF(COUNTIFS('2'!$AG$27:$AG$32,$AK15,'2'!$AF$27:$AF$32,1)=0,"",SUMIFS('2'!$AC$27:$AC$32,'2'!$AG$27:$AG$32,$AK15,'2'!$AF$27:$AF$32,1)/COUNTIFS('2'!$AG$27:$AG$32,$AK15,'2'!$AF$27:$AF$32,1))</f>
        <v>100</v>
      </c>
      <c r="AX15" s="102">
        <f>IF(COUNTIFS('3'!$AG$74:$AG$79,$AK15,'3'!$AF$74:$AF$79,1)=0,"",SUMIFS('3'!$AC$74:$AC$79,'3'!$AG$74:$AG$79,$AK15,'3'!$AF$74:$AF$79,1)/COUNTIFS('3'!$AG$74:$AG$79,$AK15,'3'!$AF$74:$AF$79,1))</f>
        <v>100</v>
      </c>
      <c r="AY15" s="102">
        <f>IF(COUNTIFS('4'!$AG$86:$AG$91,$AK15,'4'!$AF$86:$AF$91,1)=0,"",SUMIFS('4'!$AC$86:$AC$91,'4'!$AG$86:$AG$91,$AK15,'4'!$AF$86:$AF$91,1)/COUNTIFS('4'!$AG$86:$AG$91,$AK15,'4'!$AF$86:$AF$91,1))</f>
        <v>100</v>
      </c>
      <c r="AZ15" s="102">
        <f>IF(COUNTIFS('5'!$AG$27:$AG$32,$AK15,'5'!$AF$27:$AF$32,1)=0,"",SUMIFS('5'!$AC$27:$AC$32,'5'!$AG$27:$AG$32,$AK15,'5'!$AF$27:$AF$32,1)/COUNTIFS('5'!$AG$27:$AG$32,$AK15,'5'!$AF$27:$AF$32,1))</f>
        <v>100</v>
      </c>
      <c r="BA15" s="102">
        <f>IF(COUNTIFS('6'!$AG$31:$AG$36,$AK15,'6'!$AF$31:$AF$36,1)=0,"",SUMIFS('6'!$AC$31:$AC$36,'6'!$AG$31:$AG$36,$AK15,'6'!$AF$31:$AF$36,1)/COUNTIFS('6'!$AG$31:$AG$36,$AK15,'6'!$AF$31:$AF$36,1))</f>
        <v>100</v>
      </c>
      <c r="BB15" s="102">
        <f>IF(COUNTIFS('7'!$AG$30:$AG$35,$AK15,'7'!$AF$30:$AF$35,1)=0,"",SUMIFS('7'!$AC$30:$AC$35,'7'!$AG$30:$AG$35,$AK15,'7'!$AF$30:$AF$35,1)/COUNTIFS('7'!$AG$30:$AG$35,$AK15,'7'!$AF$30:$AF$35,1))</f>
        <v>100</v>
      </c>
      <c r="BC15" s="102">
        <f>IF(COUNTIFS('8'!$AG$31:$AG$36,$AK15,'8'!$AF$31:$AF$36,1)=0,"",SUMIFS('8'!$AC$31:$AC$36,'8'!$AG$31:$AG$36,$AK15,'8'!$AF$31:$AF$36,1)/COUNTIFS('8'!$AG$31:$AG$36,$AK15,'8'!$AF$31:$AF$36,1))</f>
        <v>100</v>
      </c>
      <c r="BD15" s="102" t="str">
        <f>IF(COUNTIFS('9'!$AG$33:$AG$38,$AK15,'9'!$AF$33:$AF$38,1)=0,"",SUMIFS('9'!$AC$33:$AC$38,'9'!$AG$33:$AG$38,$AK15,'9'!$AF$33:$AF$38,1)/COUNTIFS('9'!$AG$33:$AG$38,$AK15,'9'!$AF$33:$AF$38,1))</f>
        <v/>
      </c>
      <c r="BE15" s="102">
        <f>IF(COUNTIFS('10'!$AG$33:$AG$38,$AK15,'10'!$AF$33:$AF$38,1)=0,"",SUMIFS('10'!$AC$33:$AC$38,'10'!$AG$33:$AG$38,$AK15,'10'!$AF$33:$AF$38,1)/COUNTIFS('10'!$AG$33:$AG$38,$AK15,'10'!$AF$33:$AF$38,1))</f>
        <v>100</v>
      </c>
      <c r="BF15" s="102">
        <f>IF(COUNTIFS('11'!$AG$29:$AG$34,$AK15,'11'!$AF$29:$AF$34,1)=0,"",SUMIFS('11'!$AC$29:$AC$34,'11'!$AG$29:$AG$34,$AK15,'11'!$AF$29:$AF$34,1)/COUNTIFS('11'!$AG$29:$AG$34,$AK15,'11'!$AF$29:$AF$34,1))</f>
        <v>100</v>
      </c>
      <c r="BG15" s="102">
        <f>IF(COUNTIFS('12'!$AG$26:$AG$31,$AK15,'12'!$AF$26:$AF$31,1)=0,"",SUMIFS('12'!$AC$26:$AC$31,'12'!$AG$26:$AG$31,$AK15,'12'!$AF$26:$AF$31,1)/COUNTIFS('12'!$AG$26:$AG$31,$AK15,'12'!$AF$26:$AF$31,1))</f>
        <v>100</v>
      </c>
      <c r="BH15" s="102">
        <f>IF(COUNTIFS('13'!$AG$25:$AG$30,$AK15,'13'!$AF$25:$AF$30,1)=0,"",SUMIFS('13'!$AC$25:$AC$30,'13'!$AG$25:$AG$30,$AK15,'13'!$AF$25:$AF$30,1)/COUNTIFS('13'!$AG$25:$AG$30,$AK15,'13'!$AF$25:$AF$30,1))</f>
        <v>100</v>
      </c>
      <c r="BI15" s="102">
        <f>IF(COUNTIFS('14'!$AG$25:$AG$30,$AK15,'14'!$AF$25:$AF$30,1)=0,"",SUMIFS('14'!$AC$25:$AC$30,'14'!$AG$25:$AG$30,$AK15,'14'!$AF$25:$AF$30,1)/COUNTIFS('14'!$AG$25:$AG$30,$AK15,'14'!$AF$25:$AF$30,1))</f>
        <v>97</v>
      </c>
      <c r="BJ15" s="102">
        <f>IF(COUNTIFS('15'!$AG$29:$AG$34,$AK15,'15'!$AF$29:$AF$34,1)=0,"",SUMIFS('15'!$AC$29:$AC$34,'15'!$AG$29:$AG$34,$AK15,'15'!$AF$29:$AF$34,1)/COUNTIFS('15'!$AG$29:$AG$34,$AK15,'15'!$AF$29:$AF$34,1))</f>
        <v>100</v>
      </c>
      <c r="BK15" s="102" t="str">
        <f>IF(COUNTIFS('16'!$AG$28:$AG$33,$AK15,'16'!$AF$28:$AF$33,1)=0,"",SUMIFS('16'!$AC$28:$AC$33,'16'!$AG$28:$AG$33,$AK15,'16'!$AF$28:$AF$33,1)/COUNTIFS('16'!$AG$28:$AG$33,$AK15,'16'!$AF$28:$AF$33,1))</f>
        <v/>
      </c>
      <c r="BL15" s="102">
        <f>IF(COUNTIFS('17'!$AG$44:$AG$49,$AK15,'17'!$AF$44:$AF$49,1)=0,"",SUMIFS('17'!$AC$44:$AC$49,'17'!$AG$44:$AG$49,$AK15,'17'!$AF$44:$AF$49,1)/COUNTIFS('17'!$AG$44:$AG$49,$AK15,'17'!$AF$44:$AF$49,1))</f>
        <v>100</v>
      </c>
      <c r="BM15" s="102">
        <f>IF(COUNTIFS('18'!$AG$28:$AG$33,$AK15,'18'!$AF$28:$AF$33,1)=0,"",SUMIFS('18'!$AC$28:$AC$33,'18'!$AG$28:$AG$33,$AK15,'18'!$AF$28:$AF$33,1)/COUNTIFS('18'!$AG$28:$AG$33,$AK15,'18'!$AF$28:$AF$33,1))</f>
        <v>97</v>
      </c>
      <c r="BN15" s="102">
        <f>IF(COUNTIFS('19'!$AG$33:$AG$38,$AK15,'19'!$AF$33:$AF$38,1)=0,"",SUMIFS('19'!$AC$33:$AC$38,'19'!$AG$33:$AG$38,$AK15,'19'!$AF$33:$AF$38,1)/COUNTIFS('19'!$AG$33:$AG$38,$AK15,'19'!$AF$33:$AF$38,1))</f>
        <v>97</v>
      </c>
      <c r="BO15" s="102">
        <f>IF(COUNTIFS('20'!$AG$28:$AG$33,$AK15,'20'!$AF$28:$AF$33,1)=0,"",SUMIFS('20'!$AC$28:$AC$33,'20'!$AG$28:$AG$33,$AK15,'20'!$AF$28:$AF$33,1)/COUNTIFS('20'!$AG$28:$AG$33,$AK15,'20'!$AF$28:$AF$33,1))</f>
        <v>100</v>
      </c>
      <c r="BP15" s="102">
        <f>IF(COUNTIFS('21'!$AG$32:$AG$37,$AK15,'21'!$AF$32:$AF$37,1)=0,"",SUMIFS('21'!$AC$32:$AC$37,'21'!$AG$32:$AG$37,$AK15,'21'!$AF$32:$AF$37,1)/COUNTIFS('21'!$AG$32:$AG$37,$AK15,'21'!$AF$32:$AF$37,1))</f>
        <v>96</v>
      </c>
      <c r="BQ15" s="102">
        <f>IF(COUNTIFS('22'!$AG$35:$AG$40,$AK15,'22'!$AF$35:$AF$40,1)=0,"",SUMIFS('22'!$AC$35:$AC$40,'22'!$AG$35:$AG$40,$AK15,'22'!$AF$35:$AF$40,1)/COUNTIFS('22'!$AG$35:$AG$40,$AK15,'22'!$AF$35:$AF$40,1))</f>
        <v>92</v>
      </c>
      <c r="BR15" s="102" t="str">
        <f>IF(COUNTIFS('23'!$AG$30:$AG$35,$AK15,'23'!$AF$30:$AF$35,1)=0,"",SUMIFS('23'!$AC$30:$AC$35,'23'!$AG$30:$AG$35,$AK15,'23'!$AF$30:$AF$35,1)/COUNTIFS('23'!$AG$30:$AG$35,$AK15,'23'!$AF$30:$AF$35,1))</f>
        <v/>
      </c>
      <c r="BS15" s="102">
        <f>IF(COUNTIFS('24'!$AG$25:$AG$30,$AK15,'24'!$AF$25:$AF$30,1)=0,"",SUMIFS('24'!$AC$25:$AC$30,'24'!$AG$25:$AG$30,$AK15,'24'!$AF$25:$AF$30,1)/COUNTIFS('24'!$AG$25:$AG$30,$AK15,'24'!$AF$25:$AF$30,1))</f>
        <v>100</v>
      </c>
      <c r="BT15" s="102">
        <f>IF(COUNTIFS('25'!$AG$27:$AG$32,$AK15,'25'!$AF$27:$AF$32,1)=0,"",SUMIFS('25'!$AC$27:$AC$32,'25'!$AG$27:$AG$32,$AK15,'25'!$AF$27:$AF$32,1)/COUNTIFS('25'!$AG$27:$AG$32,$AK15,'25'!$AF$27:$AF$32,1))</f>
        <v>100</v>
      </c>
      <c r="BU15" s="102" t="str">
        <f>IF(COUNTIFS('26'!$AG$25:$AG$30,$AK15,'26'!$AF$25:$AF$30,1)=0,"",SUMIFS('26'!$AC$25:$AC$30,'26'!$AG$25:$AG$30,$AK15,'26'!$AF$25:$AF$30,1)/COUNTIFS('26'!$AG$25:$AG$30,$AK15,'26'!$AF$25:$AF$30,1))</f>
        <v/>
      </c>
      <c r="BV15" s="102" t="str">
        <f>IF(COUNTIFS('27'!$AG$25:$AG$30,$AK15,'27'!$AF$25:$AF$30,1)=0,"",SUMIFS('27'!$AC$25:$AC$30,'27'!$AG$25:$AG$30,$AK15,'27'!$AF$25:$AF$30,1)/COUNTIFS('27'!$AG$25:$AG$30,$AK15,'27'!$AF$25:$AF$30,1))</f>
        <v/>
      </c>
      <c r="BW15" s="102" t="str">
        <f>IF(COUNTIFS('28'!$AG$25:$AG$30,$AK15,'28'!$AF$25:$AF$30,1)=0,"",SUMIFS('28'!$AC$25:$AC$30,'28'!$AG$25:$AG$30,$AK15,'28'!$AF$25:$AF$30,1)/COUNTIFS('28'!$AG$25:$AG$30,$AK15,'28'!$AF$25:$AF$30,1))</f>
        <v/>
      </c>
      <c r="BX15" s="102" t="str">
        <f>IF(COUNTIFS('29'!$AG$25:$AG$30,$AK15,'29'!$AF$25:$AF$30,1)=0,"",SUMIFS('29'!$AC$25:$AC$30,'29'!$AG$25:$AG$30,$AK15,'29'!$AF$25:$AF$30,1)/COUNTIFS('29'!$AG$25:$AG$30,$AK15,'29'!$AF$25:$AF$30,1))</f>
        <v/>
      </c>
      <c r="BY15" s="102" t="str">
        <f>IF(COUNTIFS('30'!$AG$25:$AG$30,$AK15,'30'!$AF$25:$AF$30,1)=0,"",SUMIFS('30'!$AC$25:$AC$30,'30'!$AG$25:$AG$30,$AK15,'30'!$AF$25:$AF$30,1)/COUNTIFS('30'!$AG$25:$AG$30,$AK15,'30'!$AF$25:$AF$30,1))</f>
        <v/>
      </c>
      <c r="BZ15" s="102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210">
        <f>IF(LARGE($Y$5:$Y$17,11)=0,"",11)</f>
        <v>11</v>
      </c>
      <c r="B16" s="210" t="str">
        <f t="shared" si="7"/>
        <v>Family B</v>
      </c>
      <c r="C16" s="210">
        <f t="shared" si="8"/>
        <v>1</v>
      </c>
      <c r="D16" s="211">
        <f t="shared" si="9"/>
        <v>0.002857142857</v>
      </c>
      <c r="E16" s="211">
        <f t="shared" si="10"/>
        <v>0.9971428571</v>
      </c>
      <c r="X16" s="102" t="s">
        <v>547</v>
      </c>
      <c r="Y16" s="102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$24,X16)+COUNTIF('11'!$D$4:$D$20,X16)+COUNTIF('12'!$D$4:$D$17,X16)+COUNTIF('13'!$D$4:$D$16,X16)+COUNTIF('14'!$D$4:$D$16,X16)+COUNTIF('15'!$D$4:$D$20,X16)+COUNTIF('16'!$D$4:$D$19,X16)+COUNTIF('17'!$D$14:$D$35,X16)+COUNTIF('18'!$D$4:$D$19,X16)+COUNTIF('19'!$D$4:$D$24,X16)+COUNTIF('20'!$D$4:$D$19,X16)+COUNTIF('21'!$D$4:$D$23,X16)+COUNTIF('22'!$D$4:$D$26,X16)+COUNTIF('23'!$D$4:$D$21,X16)+COUNTIF('24'!$D$4:$D$16,X16)+COUNTIF('25'!$D$4:$D$18,X16)+COUNTIF('26'!$D$4:$D$16,X16)+COUNTIF('27'!$D$4:$D$16,X16)+COUNTIF('28'!$D$4:$D$16,X16)+COUNTIF('29'!$D$4:$D$16,X16)+COUNTIF('30'!$D$4:$D$16,X16)+COUNTIF('31'!$D$4:$D$17,X16)</f>
        <v>0</v>
      </c>
      <c r="Z16" s="102">
        <f t="shared" si="1"/>
        <v>0.00002</v>
      </c>
    </row>
    <row r="17">
      <c r="A17" s="210">
        <f>IF(LARGE($Y$5:$Y$17,12)=0,"",12)</f>
        <v>12</v>
      </c>
      <c r="B17" s="210" t="str">
        <f t="shared" si="7"/>
        <v>Photo Fox</v>
      </c>
      <c r="C17" s="210">
        <f t="shared" si="8"/>
        <v>1</v>
      </c>
      <c r="D17" s="211">
        <f t="shared" si="9"/>
        <v>0.002857142857</v>
      </c>
      <c r="E17" s="211">
        <f t="shared" si="10"/>
        <v>1</v>
      </c>
      <c r="X17" s="102" t="s">
        <v>92</v>
      </c>
      <c r="Y17" s="102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$24,X17)+COUNTIF('11'!$D$4:$D$20,X17)+COUNTIF('12'!$D$4:$D$17,X17)+COUNTIF('13'!$D$4:$D$16,X17)+COUNTIF('14'!$D$4:$D$16,X17)+COUNTIF('15'!$D$4:$D$20,X17)+COUNTIF('16'!$D$4:$D$19,X17)+COUNTIF('17'!$D$14:$D$35,X17)+COUNTIF('18'!$D$4:$D$19,X17)+COUNTIF('19'!$D$4:$D$24,X17)+COUNTIF('20'!$D$4:$D$19,X17)+COUNTIF('21'!$D$4:$D$23,X17)+COUNTIF('22'!$D$4:$D$26,X17)+COUNTIF('23'!$D$4:$D$21,X17)+COUNTIF('24'!$D$4:$D$16,X17)+COUNTIF('25'!$D$4:$D$18,X17)+COUNTIF('26'!$D$4:$D$16,X17)+COUNTIF('27'!$D$4:$D$16,X17)+COUNTIF('28'!$D$4:$D$16,X17)+COUNTIF('29'!$D$4:$D$16,X17)+COUNTIF('30'!$D$4:$D$16,X17)+COUNTIF('31'!$D$4:$D$17,X17)</f>
        <v>1</v>
      </c>
      <c r="Z17" s="102">
        <f t="shared" si="1"/>
        <v>1.00001</v>
      </c>
    </row>
    <row r="18">
      <c r="A18" s="210" t="str">
        <f>IF(LARGE($Y$5:$Y$17,13)=0,"",13)</f>
        <v/>
      </c>
      <c r="B18" s="210" t="str">
        <f t="shared" si="7"/>
        <v/>
      </c>
      <c r="C18" s="210" t="str">
        <f t="shared" si="8"/>
        <v/>
      </c>
      <c r="D18" s="211" t="str">
        <f t="shared" si="9"/>
        <v/>
      </c>
      <c r="E18" s="211" t="str">
        <f t="shared" si="10"/>
        <v/>
      </c>
      <c r="AV18" s="102">
        <f t="shared" ref="AV18:BZ18" si="11">IF(COUNT(AV5:AV15)=0,"",AVERAGE(AV5:AV15))</f>
        <v>88</v>
      </c>
      <c r="AW18" s="102">
        <f t="shared" si="11"/>
        <v>100</v>
      </c>
      <c r="AX18" s="102">
        <f t="shared" si="11"/>
        <v>100</v>
      </c>
      <c r="AY18" s="102">
        <f t="shared" si="11"/>
        <v>100</v>
      </c>
      <c r="AZ18" s="102">
        <f t="shared" si="11"/>
        <v>100</v>
      </c>
      <c r="BA18" s="102">
        <f t="shared" si="11"/>
        <v>95.75</v>
      </c>
      <c r="BB18" s="102">
        <f t="shared" si="11"/>
        <v>100</v>
      </c>
      <c r="BC18" s="102">
        <f t="shared" si="11"/>
        <v>97.33333333</v>
      </c>
      <c r="BD18" s="102">
        <f t="shared" si="11"/>
        <v>96</v>
      </c>
      <c r="BE18" s="102">
        <f t="shared" si="11"/>
        <v>100</v>
      </c>
      <c r="BF18" s="102">
        <f t="shared" si="11"/>
        <v>100</v>
      </c>
      <c r="BG18" s="102">
        <f t="shared" si="11"/>
        <v>100</v>
      </c>
      <c r="BH18" s="102">
        <f t="shared" si="11"/>
        <v>100</v>
      </c>
      <c r="BI18" s="102">
        <f t="shared" si="11"/>
        <v>94</v>
      </c>
      <c r="BJ18" s="102">
        <f t="shared" si="11"/>
        <v>100</v>
      </c>
      <c r="BK18" s="102">
        <f t="shared" si="11"/>
        <v>100</v>
      </c>
      <c r="BL18" s="102">
        <f t="shared" si="11"/>
        <v>100</v>
      </c>
      <c r="BM18" s="102">
        <f t="shared" si="11"/>
        <v>98.5</v>
      </c>
      <c r="BN18" s="102">
        <f t="shared" si="11"/>
        <v>98.5</v>
      </c>
      <c r="BO18" s="102">
        <f t="shared" si="11"/>
        <v>100</v>
      </c>
      <c r="BP18" s="102">
        <f t="shared" si="11"/>
        <v>95.25</v>
      </c>
      <c r="BQ18" s="102">
        <f t="shared" si="11"/>
        <v>93</v>
      </c>
      <c r="BR18" s="102">
        <f t="shared" si="11"/>
        <v>100</v>
      </c>
      <c r="BS18" s="102">
        <f t="shared" si="11"/>
        <v>100</v>
      </c>
      <c r="BT18" s="102">
        <f t="shared" si="11"/>
        <v>97.33333333</v>
      </c>
      <c r="BU18" s="102" t="str">
        <f t="shared" si="11"/>
        <v/>
      </c>
      <c r="BV18" s="102" t="str">
        <f t="shared" si="11"/>
        <v/>
      </c>
      <c r="BW18" s="102" t="str">
        <f t="shared" si="11"/>
        <v/>
      </c>
      <c r="BX18" s="102" t="str">
        <f t="shared" si="11"/>
        <v/>
      </c>
      <c r="BY18" s="102" t="str">
        <f t="shared" si="11"/>
        <v/>
      </c>
      <c r="BZ18" s="102" t="str">
        <f t="shared" si="11"/>
        <v/>
      </c>
    </row>
    <row r="19">
      <c r="A19" s="210" t="s">
        <v>548</v>
      </c>
      <c r="C19" s="210">
        <f>SUM(C6:C18)</f>
        <v>350</v>
      </c>
      <c r="D19" s="211"/>
      <c r="E19" s="211">
        <f>SUM(D6:D18)</f>
        <v>1</v>
      </c>
    </row>
    <row r="21" ht="15.75" customHeight="1"/>
    <row r="22" ht="15.75" customHeight="1"/>
    <row r="23" ht="15.75" customHeight="1">
      <c r="A23" s="207" t="s">
        <v>549</v>
      </c>
      <c r="F23" s="207" t="s">
        <v>550</v>
      </c>
    </row>
    <row r="24" ht="15.75" customHeight="1">
      <c r="A24" s="208" t="s">
        <v>2</v>
      </c>
      <c r="B24" s="208" t="s">
        <v>551</v>
      </c>
      <c r="C24" s="208" t="s">
        <v>552</v>
      </c>
      <c r="D24" s="208" t="s">
        <v>553</v>
      </c>
      <c r="F24" s="208" t="s">
        <v>528</v>
      </c>
      <c r="G24" s="208" t="s">
        <v>8</v>
      </c>
      <c r="H24" s="208" t="s">
        <v>554</v>
      </c>
      <c r="I24" s="208" t="s">
        <v>555</v>
      </c>
    </row>
    <row r="25" ht="15.75" customHeight="1">
      <c r="A25" s="210" t="str">
        <f t="array" ref="A25">IF(LARGE($AC$5:$AC$15,1)=0,"",INDEX($AA$5:$AA$15,MATCH(LARGE($AD$5:$AD$15,1),$AD$5:$AD$15,0)))</f>
        <v>INDAH</v>
      </c>
      <c r="B25" s="210" t="str">
        <f t="shared" ref="B25:B35" si="12">IF(A25="","",INDEX($AB$5:$AB$15,MATCH(A25,$AA$5:$AA$15,0)))</f>
        <v>Admin/CS</v>
      </c>
      <c r="C25" s="210">
        <f t="shared" ref="C25:C35" si="13">IF(A25="","",INDEX($AC$5:$AC$15,MATCH(A25,$AA$5:$AA$15,0)))</f>
        <v>31</v>
      </c>
      <c r="D25" s="211">
        <f t="shared" ref="D25:D35" si="14">IF(A25="","",IFERROR(C25/SUM($C$25:$C$35),0))</f>
        <v>0.2792792793</v>
      </c>
      <c r="F25" s="210">
        <f>IF(LARGE($AF$5:$AF$9,1)=0,"",1)</f>
        <v>1</v>
      </c>
      <c r="G25" s="210" t="str">
        <f t="shared" ref="G25:G29" si="15">IF(F25="","",INDEX($AE$5:$AE$9,MATCH(LARGE($AG$5:$AG$9,F25),$AG$5:$AG$9,0)))</f>
        <v>AMEL</v>
      </c>
      <c r="H25" s="210">
        <f t="shared" ref="H25:H29" si="16">IF(G25="","",INDEX($AF$5:$AF$9,MATCH(G25,$AE$5:$AE$9,0)))</f>
        <v>192</v>
      </c>
      <c r="I25" s="211">
        <f t="shared" ref="I25:I29" si="17">IF(H25="","",IFERROR(H25/SUM($H$25:$H$29),0))</f>
        <v>0.5147453083</v>
      </c>
    </row>
    <row r="26" ht="15.75" customHeight="1">
      <c r="A26" s="210" t="str">
        <f t="array" ref="A26">IF(LARGE($AC$5:$AC$15,2)=0,"",INDEX($AA$5:$AA$15,MATCH(LARGE($AD$5:$AD$15,2),$AD$5:$AD$15,0)))</f>
        <v>ADIF</v>
      </c>
      <c r="B26" s="210" t="str">
        <f t="shared" si="12"/>
        <v>Fotografer</v>
      </c>
      <c r="C26" s="210">
        <f t="shared" si="13"/>
        <v>27</v>
      </c>
      <c r="D26" s="211">
        <f t="shared" si="14"/>
        <v>0.2432432432</v>
      </c>
      <c r="F26" s="210">
        <f>IF(LARGE($AF$5:$AF$9,2)=0,"",2)</f>
        <v>2</v>
      </c>
      <c r="G26" s="210" t="str">
        <f t="shared" si="15"/>
        <v>INDAH</v>
      </c>
      <c r="H26" s="210">
        <f t="shared" si="16"/>
        <v>181</v>
      </c>
      <c r="I26" s="211">
        <f t="shared" si="17"/>
        <v>0.4852546917</v>
      </c>
    </row>
    <row r="27" ht="15.75" customHeight="1">
      <c r="A27" s="210" t="str">
        <f t="array" ref="A27">IF(LARGE($AC$5:$AC$15,3)=0,"",INDEX($AA$5:$AA$15,MATCH(LARGE($AD$5:$AD$15,3),$AD$5:$AD$15,0)))</f>
        <v>SAKA</v>
      </c>
      <c r="B27" s="210" t="str">
        <f t="shared" si="12"/>
        <v>Fotografer</v>
      </c>
      <c r="C27" s="210">
        <f t="shared" si="13"/>
        <v>27</v>
      </c>
      <c r="D27" s="211">
        <f t="shared" si="14"/>
        <v>0.2432432432</v>
      </c>
      <c r="F27" s="210" t="str">
        <f>IF(LARGE($AF$5:$AF$9,3)=0,"",3)</f>
        <v/>
      </c>
      <c r="G27" s="210" t="str">
        <f t="shared" si="15"/>
        <v/>
      </c>
      <c r="H27" s="210" t="str">
        <f t="shared" si="16"/>
        <v/>
      </c>
      <c r="I27" s="211" t="str">
        <f t="shared" si="17"/>
        <v/>
      </c>
    </row>
    <row r="28" ht="15.75" customHeight="1">
      <c r="A28" s="210" t="str">
        <f t="array" ref="A28">IF(LARGE($AC$5:$AC$15,4)=0,"",INDEX($AA$5:$AA$15,MATCH(LARGE($AD$5:$AD$15,4),$AD$5:$AD$15,0)))</f>
        <v>AMEL</v>
      </c>
      <c r="B28" s="210" t="str">
        <f t="shared" si="12"/>
        <v>Admin/CS</v>
      </c>
      <c r="C28" s="210">
        <f t="shared" si="13"/>
        <v>26</v>
      </c>
      <c r="D28" s="211">
        <f t="shared" si="14"/>
        <v>0.2342342342</v>
      </c>
      <c r="F28" s="210" t="str">
        <f>IF(LARGE($AF$5:$AF$9,4)=0,"",4)</f>
        <v/>
      </c>
      <c r="G28" s="210" t="str">
        <f t="shared" si="15"/>
        <v/>
      </c>
      <c r="H28" s="210" t="str">
        <f t="shared" si="16"/>
        <v/>
      </c>
      <c r="I28" s="211" t="str">
        <f t="shared" si="17"/>
        <v/>
      </c>
    </row>
    <row r="29" ht="15.75" customHeight="1">
      <c r="A29" s="210" t="str">
        <f t="array" ref="A29">IF(LARGE($AC$5:$AC$15,5)=0,"",INDEX($AA$5:$AA$15,MATCH(LARGE($AD$5:$AD$15,5),$AD$5:$AD$15,0)))</f>
        <v/>
      </c>
      <c r="B29" s="210" t="str">
        <f t="shared" si="12"/>
        <v/>
      </c>
      <c r="C29" s="210" t="str">
        <f t="shared" si="13"/>
        <v/>
      </c>
      <c r="D29" s="211" t="str">
        <f t="shared" si="14"/>
        <v/>
      </c>
      <c r="F29" s="210" t="str">
        <f>IF(LARGE($AF$5:$AF$9,5)=0,"",5)</f>
        <v/>
      </c>
      <c r="G29" s="210" t="str">
        <f t="shared" si="15"/>
        <v/>
      </c>
      <c r="H29" s="210" t="str">
        <f t="shared" si="16"/>
        <v/>
      </c>
      <c r="I29" s="211" t="str">
        <f t="shared" si="17"/>
        <v/>
      </c>
    </row>
    <row r="30" ht="15.75" customHeight="1">
      <c r="A30" s="210" t="str">
        <f t="array" ref="A30">IF(LARGE($AC$5:$AC$15,6)=0,"",INDEX($AA$5:$AA$15,MATCH(LARGE($AD$5:$AD$15,6),$AD$5:$AD$15,0)))</f>
        <v/>
      </c>
      <c r="B30" s="210" t="str">
        <f t="shared" si="12"/>
        <v/>
      </c>
      <c r="C30" s="210" t="str">
        <f t="shared" si="13"/>
        <v/>
      </c>
      <c r="D30" s="211" t="str">
        <f t="shared" si="14"/>
        <v/>
      </c>
    </row>
    <row r="31" ht="15.75" customHeight="1">
      <c r="A31" s="210" t="str">
        <f t="array" ref="A31">IF(LARGE($AC$5:$AC$15,7)=0,"",INDEX($AA$5:$AA$15,MATCH(LARGE($AD$5:$AD$15,7),$AD$5:$AD$15,0)))</f>
        <v/>
      </c>
      <c r="B31" s="210" t="str">
        <f t="shared" si="12"/>
        <v/>
      </c>
      <c r="C31" s="210" t="str">
        <f t="shared" si="13"/>
        <v/>
      </c>
      <c r="D31" s="211" t="str">
        <f t="shared" si="14"/>
        <v/>
      </c>
      <c r="F31" s="207" t="s">
        <v>556</v>
      </c>
    </row>
    <row r="32" ht="15.75" customHeight="1">
      <c r="A32" s="210" t="str">
        <f t="array" ref="A32">IF(LARGE($AC$5:$AC$15,8)=0,"",INDEX($AA$5:$AA$15,MATCH(LARGE($AD$5:$AD$15,8),$AD$5:$AD$15,0)))</f>
        <v/>
      </c>
      <c r="B32" s="210" t="str">
        <f t="shared" si="12"/>
        <v/>
      </c>
      <c r="C32" s="210" t="str">
        <f t="shared" si="13"/>
        <v/>
      </c>
      <c r="D32" s="211" t="str">
        <f t="shared" si="14"/>
        <v/>
      </c>
      <c r="F32" s="208" t="s">
        <v>528</v>
      </c>
      <c r="G32" s="208" t="s">
        <v>543</v>
      </c>
      <c r="H32" s="208" t="s">
        <v>554</v>
      </c>
      <c r="I32" s="208" t="s">
        <v>555</v>
      </c>
    </row>
    <row r="33" ht="15.75" customHeight="1">
      <c r="A33" s="210" t="str">
        <f t="array" ref="A33">IF(LARGE($AC$5:$AC$15,9)=0,"",INDEX($AA$5:$AA$15,MATCH(LARGE($AD$5:$AD$15,9),$AD$5:$AD$15,0)))</f>
        <v/>
      </c>
      <c r="B33" s="210" t="str">
        <f t="shared" si="12"/>
        <v/>
      </c>
      <c r="C33" s="210" t="str">
        <f t="shared" si="13"/>
        <v/>
      </c>
      <c r="D33" s="211" t="str">
        <f t="shared" si="14"/>
        <v/>
      </c>
      <c r="F33" s="210">
        <f>IF(LARGE($AI$5:$AI$10,1)=0,"",1)</f>
        <v>1</v>
      </c>
      <c r="G33" s="210" t="str">
        <f t="shared" ref="G33:G38" si="18">IF(F33="","",INDEX($AH$5:$AH$10,MATCH(LARGE($AJ$5:$AJ$10,F33),$AJ$5:$AJ$10,0)))</f>
        <v>ADIF</v>
      </c>
      <c r="H33" s="210">
        <f t="shared" ref="H33:H38" si="19">IF(G33="","",INDEX($AI$5:$AI$10,MATCH(G33,$AH$5:$AH$10,0)))</f>
        <v>103</v>
      </c>
      <c r="I33" s="211">
        <f t="shared" ref="I33:I38" si="20">IF(H33="","",IFERROR(H33/SUM($H$33:$H$38),0))</f>
        <v>0.4660633484</v>
      </c>
    </row>
    <row r="34" ht="15.75" customHeight="1">
      <c r="A34" s="210" t="str">
        <f t="array" ref="A34">IF(LARGE($AC$5:$AC$15,10)=0,"",INDEX($AA$5:$AA$15,MATCH(LARGE($AD$5:$AD$15,10),$AD$5:$AD$15,0)))</f>
        <v/>
      </c>
      <c r="B34" s="210" t="str">
        <f t="shared" si="12"/>
        <v/>
      </c>
      <c r="C34" s="210" t="str">
        <f t="shared" si="13"/>
        <v/>
      </c>
      <c r="D34" s="211" t="str">
        <f t="shared" si="14"/>
        <v/>
      </c>
      <c r="F34" s="210">
        <f>IF(LARGE($AI$5:$AI$10,2)=0,"",2)</f>
        <v>2</v>
      </c>
      <c r="G34" s="210" t="str">
        <f t="shared" si="18"/>
        <v>SAKA</v>
      </c>
      <c r="H34" s="210">
        <f t="shared" si="19"/>
        <v>95</v>
      </c>
      <c r="I34" s="211">
        <f t="shared" si="20"/>
        <v>0.4298642534</v>
      </c>
    </row>
    <row r="35" ht="15.75" customHeight="1">
      <c r="A35" s="210" t="str">
        <f t="array" ref="A35">IF(LARGE($AC$5:$AC$15,11)=0,"",INDEX($AA$5:$AA$15,MATCH(LARGE($AD$5:$AD$15,11),$AD$5:$AD$15,0)))</f>
        <v/>
      </c>
      <c r="B35" s="210" t="str">
        <f t="shared" si="12"/>
        <v/>
      </c>
      <c r="C35" s="210" t="str">
        <f t="shared" si="13"/>
        <v/>
      </c>
      <c r="D35" s="211" t="str">
        <f t="shared" si="14"/>
        <v/>
      </c>
      <c r="F35" s="210">
        <f>IF(LARGE($AI$5:$AI$10,3)=0,"",3)</f>
        <v>3</v>
      </c>
      <c r="G35" s="210" t="str">
        <f t="shared" si="18"/>
        <v>FAHME</v>
      </c>
      <c r="H35" s="210">
        <f t="shared" si="19"/>
        <v>12</v>
      </c>
      <c r="I35" s="211">
        <f t="shared" si="20"/>
        <v>0.05429864253</v>
      </c>
    </row>
    <row r="36" ht="15.75" customHeight="1">
      <c r="F36" s="210">
        <f>IF(LARGE($AI$5:$AI$10,4)=0,"",4)</f>
        <v>4</v>
      </c>
      <c r="G36" s="210" t="str">
        <f t="shared" si="18"/>
        <v>ABROR</v>
      </c>
      <c r="H36" s="210">
        <f t="shared" si="19"/>
        <v>11</v>
      </c>
      <c r="I36" s="211">
        <f t="shared" si="20"/>
        <v>0.04977375566</v>
      </c>
    </row>
    <row r="37" ht="15.75" customHeight="1">
      <c r="F37" s="210" t="str">
        <f>IF(LARGE($AI$5:$AI$10,5)=0,"",5)</f>
        <v/>
      </c>
      <c r="G37" s="210" t="str">
        <f t="shared" si="18"/>
        <v/>
      </c>
      <c r="H37" s="210" t="str">
        <f t="shared" si="19"/>
        <v/>
      </c>
      <c r="I37" s="211" t="str">
        <f t="shared" si="20"/>
        <v/>
      </c>
    </row>
    <row r="38" ht="15.75" customHeight="1">
      <c r="F38" s="210" t="str">
        <f>IF(LARGE($AI$5:$AI$10,6)=0,"",6)</f>
        <v/>
      </c>
      <c r="G38" s="210" t="str">
        <f t="shared" si="18"/>
        <v/>
      </c>
      <c r="H38" s="210" t="str">
        <f t="shared" si="19"/>
        <v/>
      </c>
      <c r="I38" s="211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207" t="s">
        <v>557</v>
      </c>
    </row>
    <row r="44" ht="15.75" customHeight="1"/>
    <row r="45" ht="15.75" customHeight="1">
      <c r="A45" s="208" t="s">
        <v>512</v>
      </c>
      <c r="D45" s="208" t="s">
        <v>558</v>
      </c>
      <c r="G45" s="208" t="s">
        <v>559</v>
      </c>
      <c r="J45" s="208" t="s">
        <v>560</v>
      </c>
    </row>
    <row r="46" ht="15.75" customHeight="1">
      <c r="A46" s="216">
        <f>IF(COUNTIF($C$51:$C$61,"&gt;0")=0,"",AVERAGEIF($D$51:$D$61,"&gt;0",$D$51:$D$61))</f>
        <v>0.9807451923</v>
      </c>
      <c r="D46" s="216">
        <f>IF(COUNTIFS($B$51:$B$61,"Admin/CS",$C$51:$C$61,"&gt;0")=0,"",SUMIFS($D$51:$D$61,$B$51:$B$61,"Admin/CS",$C$51:$C$61,"&gt;0")/COUNTIFS($B$51:$B$61,"Admin/CS",$C$51:$C$61,"&gt;0"))</f>
        <v>0.96875</v>
      </c>
      <c r="G46" s="216">
        <f>IF(COUNTIFS($B$51:$B$61,"Fotografer",$C$51:$C$61,"&gt;0")=0,"",SUMIFS($D$51:$D$61,$B$51:$B$61,"Fotografer",$C$51:$C$61,"&gt;0")/COUNTIFS($B$51:$B$61,"Fotografer",$C$51:$C$61,"&gt;0"))</f>
        <v>0.9927403846</v>
      </c>
      <c r="J46" s="217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208" t="s">
        <v>2</v>
      </c>
      <c r="B50" s="208" t="s">
        <v>551</v>
      </c>
      <c r="C50" s="208" t="s">
        <v>517</v>
      </c>
      <c r="D50" s="208" t="s">
        <v>518</v>
      </c>
      <c r="E50" s="208" t="s">
        <v>153</v>
      </c>
      <c r="F50" s="208" t="s">
        <v>155</v>
      </c>
      <c r="G50" s="208" t="s">
        <v>156</v>
      </c>
      <c r="H50" s="208" t="s">
        <v>157</v>
      </c>
      <c r="I50" s="208" t="s">
        <v>158</v>
      </c>
      <c r="J50" s="208" t="s">
        <v>561</v>
      </c>
      <c r="K50" s="208" t="s">
        <v>562</v>
      </c>
    </row>
    <row r="51" ht="15.75" customHeight="1">
      <c r="A51" s="210" t="str">
        <f t="shared" ref="A51:C51" si="21">AK5</f>
        <v>INDAH</v>
      </c>
      <c r="B51" s="210" t="str">
        <f t="shared" si="21"/>
        <v>Admin/CS</v>
      </c>
      <c r="C51" s="218">
        <f t="shared" si="21"/>
        <v>26</v>
      </c>
      <c r="D51" s="211">
        <f t="shared" ref="D51:D61" si="23">IF(C51=0,"",AN5/100)</f>
        <v>1</v>
      </c>
      <c r="E51" s="219">
        <f t="shared" ref="E51:E61" si="24">IF(C51=0,"",AO5)</f>
        <v>5</v>
      </c>
      <c r="F51" s="219">
        <f t="shared" ref="F51:F61" si="25">IF(C51=0,"",AP5)</f>
        <v>5</v>
      </c>
      <c r="G51" s="219">
        <f t="shared" ref="G51:G61" si="26">IF(C51=0,"",AQ5)</f>
        <v>5</v>
      </c>
      <c r="H51" s="219">
        <f t="shared" ref="H51:H61" si="27">IF(C51=0,"",AR5)</f>
        <v>5</v>
      </c>
      <c r="I51" s="219">
        <f t="shared" ref="I51:I61" si="28">IF(C51=0,"",AS5)</f>
        <v>5</v>
      </c>
      <c r="J51" s="210" t="str">
        <f t="shared" ref="J51:J61" si="29">IF(D51="","Belum Dinilai",IF(D51&gt;=0.9,"Sangat Baik",IF(D51&gt;=0.8,"Baik",IF(D51&gt;=0.7,"Coaching","Underperform"))))</f>
        <v>Sangat Baik</v>
      </c>
      <c r="K51" s="126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210" t="str">
        <f t="shared" ref="A52:C52" si="22">AK6</f>
        <v>ADDEL</v>
      </c>
      <c r="B52" s="210" t="str">
        <f t="shared" si="22"/>
        <v>Admin/CS</v>
      </c>
      <c r="C52" s="218">
        <f t="shared" si="22"/>
        <v>0</v>
      </c>
      <c r="D52" s="211" t="str">
        <f t="shared" si="23"/>
        <v/>
      </c>
      <c r="E52" s="219" t="str">
        <f t="shared" si="24"/>
        <v/>
      </c>
      <c r="F52" s="219" t="str">
        <f t="shared" si="25"/>
        <v/>
      </c>
      <c r="G52" s="219" t="str">
        <f t="shared" si="26"/>
        <v/>
      </c>
      <c r="H52" s="219" t="str">
        <f t="shared" si="27"/>
        <v/>
      </c>
      <c r="I52" s="219" t="str">
        <f t="shared" si="28"/>
        <v/>
      </c>
      <c r="J52" s="210" t="str">
        <f t="shared" si="29"/>
        <v>Belum Dinilai</v>
      </c>
      <c r="K52" s="126" t="str">
        <f t="shared" si="30"/>
        <v>Belum Ada</v>
      </c>
    </row>
    <row r="53" ht="15.75" customHeight="1">
      <c r="A53" s="210" t="str">
        <f t="shared" ref="A53:C53" si="31">AK7</f>
        <v>AMEL</v>
      </c>
      <c r="B53" s="210" t="str">
        <f t="shared" si="31"/>
        <v>Admin/CS</v>
      </c>
      <c r="C53" s="218">
        <f t="shared" si="31"/>
        <v>24</v>
      </c>
      <c r="D53" s="211">
        <f t="shared" si="23"/>
        <v>0.9375</v>
      </c>
      <c r="E53" s="219">
        <f t="shared" si="24"/>
        <v>4.75</v>
      </c>
      <c r="F53" s="219">
        <f t="shared" si="25"/>
        <v>4.625</v>
      </c>
      <c r="G53" s="219">
        <f t="shared" si="26"/>
        <v>4.75</v>
      </c>
      <c r="H53" s="219">
        <f t="shared" si="27"/>
        <v>4.833333333</v>
      </c>
      <c r="I53" s="219">
        <f t="shared" si="28"/>
        <v>4.458333333</v>
      </c>
      <c r="J53" s="210" t="str">
        <f t="shared" si="29"/>
        <v>Sangat Baik</v>
      </c>
      <c r="K53" s="126" t="str">
        <f t="shared" si="30"/>
        <v>#N/A</v>
      </c>
    </row>
    <row r="54" ht="15.75" customHeight="1">
      <c r="A54" s="210" t="str">
        <f t="shared" ref="A54:C54" si="32">AK8</f>
        <v>PENTIL</v>
      </c>
      <c r="B54" s="210" t="str">
        <f t="shared" si="32"/>
        <v>Admin/CS</v>
      </c>
      <c r="C54" s="218">
        <f t="shared" si="32"/>
        <v>0</v>
      </c>
      <c r="D54" s="211" t="str">
        <f t="shared" si="23"/>
        <v/>
      </c>
      <c r="E54" s="219" t="str">
        <f t="shared" si="24"/>
        <v/>
      </c>
      <c r="F54" s="219" t="str">
        <f t="shared" si="25"/>
        <v/>
      </c>
      <c r="G54" s="219" t="str">
        <f t="shared" si="26"/>
        <v/>
      </c>
      <c r="H54" s="219" t="str">
        <f t="shared" si="27"/>
        <v/>
      </c>
      <c r="I54" s="219" t="str">
        <f t="shared" si="28"/>
        <v/>
      </c>
      <c r="J54" s="210" t="str">
        <f t="shared" si="29"/>
        <v>Belum Dinilai</v>
      </c>
      <c r="K54" s="126" t="str">
        <f t="shared" si="30"/>
        <v>Belum Ada</v>
      </c>
    </row>
    <row r="55" ht="15.75" customHeight="1">
      <c r="A55" s="210" t="str">
        <f t="shared" ref="A55:C55" si="33">AK9</f>
        <v>JIJANG</v>
      </c>
      <c r="B55" s="210" t="str">
        <f t="shared" si="33"/>
        <v>Admin/CS</v>
      </c>
      <c r="C55" s="218">
        <f t="shared" si="33"/>
        <v>0</v>
      </c>
      <c r="D55" s="211" t="str">
        <f t="shared" si="23"/>
        <v/>
      </c>
      <c r="E55" s="219" t="str">
        <f t="shared" si="24"/>
        <v/>
      </c>
      <c r="F55" s="219" t="str">
        <f t="shared" si="25"/>
        <v/>
      </c>
      <c r="G55" s="219" t="str">
        <f t="shared" si="26"/>
        <v/>
      </c>
      <c r="H55" s="219" t="str">
        <f t="shared" si="27"/>
        <v/>
      </c>
      <c r="I55" s="219" t="str">
        <f t="shared" si="28"/>
        <v/>
      </c>
      <c r="J55" s="210" t="str">
        <f t="shared" si="29"/>
        <v>Belum Dinilai</v>
      </c>
      <c r="K55" s="126" t="str">
        <f t="shared" si="30"/>
        <v>Belum Ada</v>
      </c>
    </row>
    <row r="56" ht="15.75" customHeight="1">
      <c r="A56" s="210" t="str">
        <f t="shared" ref="A56:C56" si="34">AK10</f>
        <v>HANIF</v>
      </c>
      <c r="B56" s="210" t="str">
        <f t="shared" si="34"/>
        <v>Fotografer</v>
      </c>
      <c r="C56" s="218">
        <f t="shared" si="34"/>
        <v>0</v>
      </c>
      <c r="D56" s="211" t="str">
        <f t="shared" si="23"/>
        <v/>
      </c>
      <c r="E56" s="219" t="str">
        <f t="shared" si="24"/>
        <v/>
      </c>
      <c r="F56" s="219" t="str">
        <f t="shared" si="25"/>
        <v/>
      </c>
      <c r="G56" s="219" t="str">
        <f t="shared" si="26"/>
        <v/>
      </c>
      <c r="H56" s="219" t="str">
        <f t="shared" si="27"/>
        <v/>
      </c>
      <c r="I56" s="219" t="str">
        <f t="shared" si="28"/>
        <v/>
      </c>
      <c r="J56" s="210" t="str">
        <f t="shared" si="29"/>
        <v>Belum Dinilai</v>
      </c>
      <c r="K56" s="126" t="str">
        <f t="shared" si="30"/>
        <v>Belum Ada</v>
      </c>
    </row>
    <row r="57" ht="15.75" customHeight="1">
      <c r="A57" s="210" t="str">
        <f t="shared" ref="A57:C57" si="35">AK11</f>
        <v>FAHME</v>
      </c>
      <c r="B57" s="210" t="str">
        <f t="shared" si="35"/>
        <v>Fotografer</v>
      </c>
      <c r="C57" s="218">
        <f t="shared" si="35"/>
        <v>0</v>
      </c>
      <c r="D57" s="211" t="str">
        <f t="shared" si="23"/>
        <v/>
      </c>
      <c r="E57" s="219" t="str">
        <f t="shared" si="24"/>
        <v/>
      </c>
      <c r="F57" s="219" t="str">
        <f t="shared" si="25"/>
        <v/>
      </c>
      <c r="G57" s="219" t="str">
        <f t="shared" si="26"/>
        <v/>
      </c>
      <c r="H57" s="219" t="str">
        <f t="shared" si="27"/>
        <v/>
      </c>
      <c r="I57" s="219" t="str">
        <f t="shared" si="28"/>
        <v/>
      </c>
      <c r="J57" s="210" t="str">
        <f t="shared" si="29"/>
        <v>Belum Dinilai</v>
      </c>
      <c r="K57" s="126" t="str">
        <f t="shared" si="30"/>
        <v>Belum Ada</v>
      </c>
    </row>
    <row r="58" ht="15.75" customHeight="1">
      <c r="A58" s="210" t="str">
        <f t="shared" ref="A58:C58" si="36">AK12</f>
        <v>ADIF</v>
      </c>
      <c r="B58" s="210" t="str">
        <f t="shared" si="36"/>
        <v>Fotografer</v>
      </c>
      <c r="C58" s="218">
        <f t="shared" si="36"/>
        <v>26</v>
      </c>
      <c r="D58" s="211">
        <f t="shared" si="23"/>
        <v>0.9942307692</v>
      </c>
      <c r="E58" s="219">
        <f t="shared" si="24"/>
        <v>4.884615385</v>
      </c>
      <c r="F58" s="219">
        <f t="shared" si="25"/>
        <v>5</v>
      </c>
      <c r="G58" s="219">
        <f t="shared" si="26"/>
        <v>5</v>
      </c>
      <c r="H58" s="219">
        <f t="shared" si="27"/>
        <v>5</v>
      </c>
      <c r="I58" s="219">
        <f t="shared" si="28"/>
        <v>4.961538462</v>
      </c>
      <c r="J58" s="210" t="str">
        <f t="shared" si="29"/>
        <v>Sangat Baik</v>
      </c>
      <c r="K58" s="126" t="str">
        <f t="shared" si="30"/>
        <v>#N/A</v>
      </c>
    </row>
    <row r="59" ht="15.75" customHeight="1">
      <c r="A59" s="210" t="str">
        <f t="shared" ref="A59:C59" si="37">AK13</f>
        <v>ABROR</v>
      </c>
      <c r="B59" s="210" t="str">
        <f t="shared" si="37"/>
        <v>Fotografer</v>
      </c>
      <c r="C59" s="218">
        <f t="shared" si="37"/>
        <v>0</v>
      </c>
      <c r="D59" s="211" t="str">
        <f t="shared" si="23"/>
        <v/>
      </c>
      <c r="E59" s="219" t="str">
        <f t="shared" si="24"/>
        <v/>
      </c>
      <c r="F59" s="219" t="str">
        <f t="shared" si="25"/>
        <v/>
      </c>
      <c r="G59" s="219" t="str">
        <f t="shared" si="26"/>
        <v/>
      </c>
      <c r="H59" s="219" t="str">
        <f t="shared" si="27"/>
        <v/>
      </c>
      <c r="I59" s="219" t="str">
        <f t="shared" si="28"/>
        <v/>
      </c>
      <c r="J59" s="210" t="str">
        <f t="shared" si="29"/>
        <v>Belum Dinilai</v>
      </c>
      <c r="K59" s="126" t="str">
        <f t="shared" si="30"/>
        <v>Belum Ada</v>
      </c>
    </row>
    <row r="60" ht="15.75" customHeight="1">
      <c r="A60" s="210" t="str">
        <f t="shared" ref="A60:C60" si="38">AK14</f>
        <v>FADEL</v>
      </c>
      <c r="B60" s="210" t="str">
        <f t="shared" si="38"/>
        <v>Fotografer</v>
      </c>
      <c r="C60" s="218">
        <f t="shared" si="38"/>
        <v>0</v>
      </c>
      <c r="D60" s="211" t="str">
        <f t="shared" si="23"/>
        <v/>
      </c>
      <c r="E60" s="219" t="str">
        <f t="shared" si="24"/>
        <v/>
      </c>
      <c r="F60" s="219" t="str">
        <f t="shared" si="25"/>
        <v/>
      </c>
      <c r="G60" s="219" t="str">
        <f t="shared" si="26"/>
        <v/>
      </c>
      <c r="H60" s="219" t="str">
        <f t="shared" si="27"/>
        <v/>
      </c>
      <c r="I60" s="219" t="str">
        <f t="shared" si="28"/>
        <v/>
      </c>
      <c r="J60" s="210" t="str">
        <f t="shared" si="29"/>
        <v>Belum Dinilai</v>
      </c>
      <c r="K60" s="126" t="str">
        <f t="shared" si="30"/>
        <v>Belum Ada</v>
      </c>
    </row>
    <row r="61" ht="15.75" customHeight="1">
      <c r="A61" s="210" t="str">
        <f t="shared" ref="A61:C61" si="39">AK15</f>
        <v>SAKA</v>
      </c>
      <c r="B61" s="210" t="str">
        <f t="shared" si="39"/>
        <v>Fotografer</v>
      </c>
      <c r="C61" s="218">
        <f t="shared" si="39"/>
        <v>24</v>
      </c>
      <c r="D61" s="211">
        <f t="shared" si="23"/>
        <v>0.99125</v>
      </c>
      <c r="E61" s="219">
        <f t="shared" si="24"/>
        <v>4.958333333</v>
      </c>
      <c r="F61" s="219">
        <f t="shared" si="25"/>
        <v>5</v>
      </c>
      <c r="G61" s="219">
        <f t="shared" si="26"/>
        <v>4.958333333</v>
      </c>
      <c r="H61" s="219">
        <f t="shared" si="27"/>
        <v>5</v>
      </c>
      <c r="I61" s="219">
        <f t="shared" si="28"/>
        <v>4.833333333</v>
      </c>
      <c r="J61" s="210" t="str">
        <f t="shared" si="29"/>
        <v>Sangat Baik</v>
      </c>
      <c r="K61" s="126" t="str">
        <f t="shared" si="30"/>
        <v>#N/A</v>
      </c>
    </row>
    <row r="62" ht="15.75" customHeight="1"/>
    <row r="63" ht="15.75" customHeight="1"/>
    <row r="64" ht="15.75" customHeight="1">
      <c r="A64" s="220" t="s">
        <v>563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