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h/1Uk1iJzoQgRdwPWVHXuai+X06GXM2ziiShmIXhuSI="/>
    </ext>
  </extLst>
</workbook>
</file>

<file path=xl/sharedStrings.xml><?xml version="1.0" encoding="utf-8"?>
<sst xmlns="http://schemas.openxmlformats.org/spreadsheetml/2006/main" count="3553" uniqueCount="433">
  <si>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</si>
  <si>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</si>
  <si>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</si>
  <si>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</si>
  <si>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</si>
  <si>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</si>
  <si>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</si>
  <si>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</si>
  <si>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</si>
  <si>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</si>
  <si>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</si>
  <si>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</si>
  <si>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</si>
  <si>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</si>
  <si>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</si>
  <si>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</si>
  <si>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</si>
  <si>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</si>
  <si>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</si>
  <si>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</si>
  <si>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Fajar Alfani</t>
  </si>
  <si>
    <t xml:space="preserve"> Hamdan Ismail S.N</t>
  </si>
  <si>
    <t>1. Sandlyra</t>
  </si>
  <si>
    <t>Graduation</t>
  </si>
  <si>
    <t>Graduation Premium</t>
  </si>
  <si>
    <t>6 okt</t>
  </si>
  <si>
    <t>17 okt</t>
  </si>
  <si>
    <t>DP</t>
  </si>
  <si>
    <t>Lunas</t>
  </si>
  <si>
    <t>AMEL</t>
  </si>
  <si>
    <t>Uploaded</t>
  </si>
  <si>
    <t>Pending</t>
  </si>
  <si>
    <t>INDAH</t>
  </si>
  <si>
    <t>Riski Mulyawan Pangestu d</t>
  </si>
  <si>
    <t>Rara</t>
  </si>
  <si>
    <t>Iqis</t>
  </si>
  <si>
    <t>Wisnu pamungkas</t>
  </si>
  <si>
    <t>Photofox</t>
  </si>
  <si>
    <t>4 okt</t>
  </si>
  <si>
    <t>1 okt</t>
  </si>
  <si>
    <t>Add Cetak</t>
  </si>
  <si>
    <t>Large Group</t>
  </si>
  <si>
    <t>3 okt</t>
  </si>
  <si>
    <t>2 okt</t>
  </si>
  <si>
    <t>-</t>
  </si>
  <si>
    <t>Elnie</t>
  </si>
  <si>
    <t>ADIF</t>
  </si>
  <si>
    <t>Pratama</t>
  </si>
  <si>
    <t>Nadia</t>
  </si>
  <si>
    <t>Single</t>
  </si>
  <si>
    <t xml:space="preserve"> 4 okt</t>
  </si>
  <si>
    <t>22 okt</t>
  </si>
  <si>
    <t>Adinda Putri Suwarno</t>
  </si>
  <si>
    <t>Ulfa Nurul</t>
  </si>
  <si>
    <t>Add Edit</t>
  </si>
  <si>
    <t>27 sept</t>
  </si>
  <si>
    <t>Rotho</t>
  </si>
  <si>
    <t>alya</t>
  </si>
  <si>
    <t>Utia</t>
  </si>
  <si>
    <t>VERO</t>
  </si>
  <si>
    <t>10 okt</t>
  </si>
  <si>
    <t>Wisnu Pamungkas</t>
  </si>
  <si>
    <t>Bilqis</t>
  </si>
  <si>
    <t>Adi</t>
  </si>
  <si>
    <t>Uji</t>
  </si>
  <si>
    <t>SAKA</t>
  </si>
  <si>
    <t>Family B</t>
  </si>
  <si>
    <t>Photo Fox</t>
  </si>
  <si>
    <t>4 OKT</t>
  </si>
  <si>
    <t xml:space="preserve"> Tuti Priyani</t>
  </si>
  <si>
    <t>Liaamalia</t>
  </si>
  <si>
    <t>Dian</t>
  </si>
  <si>
    <t>Studio Rent</t>
  </si>
  <si>
    <t xml:space="preserve">Luthfi </t>
  </si>
  <si>
    <t xml:space="preserve"> Sabrina</t>
  </si>
  <si>
    <t>Danisha</t>
  </si>
  <si>
    <t>Yeni A</t>
  </si>
  <si>
    <t>Rizka</t>
  </si>
  <si>
    <t>Audi nisa</t>
  </si>
  <si>
    <t>Rachel</t>
  </si>
  <si>
    <t>Nurul Indah Amalia</t>
  </si>
  <si>
    <t>Couple A</t>
  </si>
  <si>
    <t>Rani</t>
  </si>
  <si>
    <t>Qonita</t>
  </si>
  <si>
    <t>Bening</t>
  </si>
  <si>
    <t>Nasywaa</t>
  </si>
  <si>
    <t>Sali</t>
  </si>
  <si>
    <t>FAHME</t>
  </si>
  <si>
    <t>Dedik Purwanto</t>
  </si>
  <si>
    <t>Add cetak</t>
  </si>
  <si>
    <t>22 sept</t>
  </si>
  <si>
    <t>Mufti</t>
  </si>
  <si>
    <t>alfian wicaksana</t>
  </si>
  <si>
    <t>Caca</t>
  </si>
  <si>
    <t>Lutfia</t>
  </si>
  <si>
    <t>Qottrunannda maulidia</t>
  </si>
  <si>
    <t>aida</t>
  </si>
  <si>
    <t xml:space="preserve"> Bilqis</t>
  </si>
  <si>
    <t>Nabila hasna</t>
  </si>
  <si>
    <t>ABROR</t>
  </si>
  <si>
    <t>Salli</t>
  </si>
  <si>
    <t>azhar</t>
  </si>
  <si>
    <t>Ilut</t>
  </si>
  <si>
    <t>All file</t>
  </si>
  <si>
    <t>Widika Aden Agatha</t>
  </si>
  <si>
    <t>Oktriana</t>
  </si>
  <si>
    <t>Na Salsabila</t>
  </si>
  <si>
    <t>oktafira</t>
  </si>
  <si>
    <t>Gandring Guste</t>
  </si>
  <si>
    <t>ine amalia</t>
  </si>
  <si>
    <t>wafi wafa</t>
  </si>
  <si>
    <t xml:space="preserve">Sulton Hidayah Arrosid </t>
  </si>
  <si>
    <t>Nominal</t>
  </si>
  <si>
    <t>Zaidan Ariefyandi</t>
  </si>
  <si>
    <t>Shift</t>
  </si>
  <si>
    <t>Pendapatan Tunai</t>
  </si>
  <si>
    <t>fedinda nara</t>
  </si>
  <si>
    <t>Afifah</t>
  </si>
  <si>
    <t>titin setiawan</t>
  </si>
  <si>
    <t>Admin 1</t>
  </si>
  <si>
    <t>Rahayu</t>
  </si>
  <si>
    <t>Reynaldo</t>
  </si>
  <si>
    <t>Akira Aditya Pandya</t>
  </si>
  <si>
    <t>Bensin</t>
  </si>
  <si>
    <t>Helmi</t>
  </si>
  <si>
    <t>Admin 2</t>
  </si>
  <si>
    <t>salsa</t>
  </si>
  <si>
    <t>1. Pratama</t>
  </si>
  <si>
    <t>Fotografer 1</t>
  </si>
  <si>
    <t>bela</t>
  </si>
  <si>
    <t>Amelia Nur</t>
  </si>
  <si>
    <t>Fotografer 2</t>
  </si>
  <si>
    <t>niko</t>
  </si>
  <si>
    <t>aghnia</t>
  </si>
  <si>
    <t>KPI HARIAN | SKALA 1-5</t>
  </si>
  <si>
    <t>Tiffani Agil</t>
  </si>
  <si>
    <t>andin</t>
  </si>
  <si>
    <t>Disiplin</t>
  </si>
  <si>
    <t>Akurasi</t>
  </si>
  <si>
    <t>SOP</t>
  </si>
  <si>
    <t>Client</t>
  </si>
  <si>
    <t>Produktivitas</t>
  </si>
  <si>
    <t>Afita Khoerunnisa</t>
  </si>
  <si>
    <t>KPI Score Helper</t>
  </si>
  <si>
    <t>Status Helper</t>
  </si>
  <si>
    <t>Role Helper</t>
  </si>
  <si>
    <t>Evaluated Flag</t>
  </si>
  <si>
    <t>Riski Mulyawan Pangestu</t>
  </si>
  <si>
    <t>Effective Name</t>
  </si>
  <si>
    <t>Mahendra Putra Wardhana</t>
  </si>
  <si>
    <t>alif</t>
  </si>
  <si>
    <t>2. Dita</t>
  </si>
  <si>
    <t>sema</t>
  </si>
  <si>
    <t>hanifah</t>
  </si>
  <si>
    <t>Fahmy Bagas</t>
  </si>
  <si>
    <t>lala</t>
  </si>
  <si>
    <t>asrul ridho</t>
  </si>
  <si>
    <t>Akhmad Binangun</t>
  </si>
  <si>
    <t>Fakhrian Yoga Permana</t>
  </si>
  <si>
    <t xml:space="preserve"> Fadila</t>
  </si>
  <si>
    <t>rio furqon</t>
  </si>
  <si>
    <t>Desti Ika C</t>
  </si>
  <si>
    <t>Dhabi</t>
  </si>
  <si>
    <t>ilham zambrot</t>
  </si>
  <si>
    <t>Wahyu setyaningsih</t>
  </si>
  <si>
    <t>allez galan</t>
  </si>
  <si>
    <t>nana</t>
  </si>
  <si>
    <t>Ezar Nadhif</t>
  </si>
  <si>
    <t>aulia hani</t>
  </si>
  <si>
    <t>Hanan</t>
  </si>
  <si>
    <t>Widyaloka</t>
  </si>
  <si>
    <t>rendy nIlhamsyah</t>
  </si>
  <si>
    <t>Nina dwi</t>
  </si>
  <si>
    <t>cibita</t>
  </si>
  <si>
    <t>Renaldy</t>
  </si>
  <si>
    <t>Tika Dwi</t>
  </si>
  <si>
    <t>rizma</t>
  </si>
  <si>
    <t>Sifa</t>
  </si>
  <si>
    <t>restu</t>
  </si>
  <si>
    <t>3. Karlina</t>
  </si>
  <si>
    <t xml:space="preserve"> Nola</t>
  </si>
  <si>
    <t xml:space="preserve"> inaya</t>
  </si>
  <si>
    <t>1. Mayzila</t>
  </si>
  <si>
    <t>arif</t>
  </si>
  <si>
    <t>Couple B</t>
  </si>
  <si>
    <t>2. Desni</t>
  </si>
  <si>
    <t>Skala: 1 Sangat Kurang | 2 Kurang | 3 Cukup | 4 Baik | 5 Sangat Baik | Jika Nama kosong, 4 baris pertama otomatis mengikuti urutan Shift</t>
  </si>
  <si>
    <t>ADMIN FOLLOW-UP</t>
  </si>
  <si>
    <t>3. Rindi</t>
  </si>
  <si>
    <t>Saving Contact</t>
  </si>
  <si>
    <t>Reminder</t>
  </si>
  <si>
    <t>Direct RO</t>
  </si>
  <si>
    <t>4. Dinah</t>
  </si>
  <si>
    <t>5R</t>
  </si>
  <si>
    <t>TODAY | LEADS &amp; TRANSAKSI</t>
  </si>
  <si>
    <t>5. Fitri dina</t>
  </si>
  <si>
    <t>Leads</t>
  </si>
  <si>
    <t>Total DP</t>
  </si>
  <si>
    <t>6. Wildan</t>
  </si>
  <si>
    <t>Sesi Foto</t>
  </si>
  <si>
    <t>7. Silvia</t>
  </si>
  <si>
    <t>Jumlah Transaksi Harian</t>
  </si>
  <si>
    <t>Conversion Rate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</si>
  <si>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</si>
  <si>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</si>
  <si>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</si>
  <si>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</si>
  <si>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</si>
  <si>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</si>
  <si>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</si>
  <si>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</si>
  <si>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Sarapan Pagi Day 1 &amp; Day 2</t>
  </si>
  <si>
    <t>galon</t>
  </si>
  <si>
    <t>baterai cinemon</t>
  </si>
  <si>
    <t>FG ADIF SAKA FAME VERO</t>
  </si>
  <si>
    <t xml:space="preserve">ADMIN INDAH AMEL </t>
  </si>
  <si>
    <t xml:space="preserve">RUNN ADDEL </t>
  </si>
  <si>
    <t>INDAH AMEL, ADDEL</t>
  </si>
  <si>
    <t>ADIF, SAKA</t>
  </si>
  <si>
    <t>FAHME, ABROR</t>
  </si>
  <si>
    <t>Danu</t>
  </si>
  <si>
    <t>9 okt</t>
  </si>
  <si>
    <t xml:space="preserve">Fida </t>
  </si>
  <si>
    <t>5 okt</t>
  </si>
  <si>
    <t>widyaloka</t>
  </si>
  <si>
    <t>Riska alfiansi</t>
  </si>
  <si>
    <t>salsabila nurlina</t>
  </si>
  <si>
    <t>Puji</t>
  </si>
  <si>
    <t>Desti Ika Cahyani</t>
  </si>
  <si>
    <t>OTS</t>
  </si>
  <si>
    <t>mustofa</t>
  </si>
  <si>
    <t>Kresna</t>
  </si>
  <si>
    <t>Anggi</t>
  </si>
  <si>
    <t>Tuti</t>
  </si>
  <si>
    <t>Bayu</t>
  </si>
  <si>
    <t>Yudi</t>
  </si>
  <si>
    <t>Mukti</t>
  </si>
  <si>
    <t>Novita</t>
  </si>
  <si>
    <t>Packing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</si>
  <si>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</si>
  <si>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</si>
  <si>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</si>
  <si>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</si>
  <si>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</si>
  <si>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</si>
  <si>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</si>
  <si>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</si>
  <si>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</si>
  <si>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</si>
  <si>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</si>
  <si>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</si>
  <si>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</si>
  <si>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</si>
  <si>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</si>
  <si>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</si>
  <si>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</si>
  <si>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</si>
  <si>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</si>
  <si>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</si>
  <si>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</si>
  <si>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</si>
  <si>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</si>
  <si>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</si>
  <si>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</si>
  <si>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</si>
  <si>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</si>
  <si>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</si>
  <si>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</si>
  <si>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</si>
  <si>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</si>
  <si>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</si>
  <si>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</si>
  <si>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</si>
  <si>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</si>
  <si>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</si>
  <si>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</si>
  <si>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</si>
  <si>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</si>
  <si>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</si>
  <si>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</si>
  <si>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</si>
  <si>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</si>
  <si>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</si>
  <si>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</si>
  <si>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</si>
  <si>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</si>
  <si>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</si>
  <si>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</si>
  <si>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</si>
  <si>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</si>
  <si>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</si>
  <si>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</si>
  <si>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</si>
  <si>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</si>
  <si>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</si>
  <si>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</si>
  <si>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</si>
  <si>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</si>
  <si>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</si>
  <si>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</si>
  <si>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</si>
  <si>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</si>
  <si>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</si>
  <si>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</si>
  <si>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</si>
  <si>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</si>
  <si>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</si>
  <si>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</si>
  <si>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</si>
  <si>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</si>
  <si>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</si>
  <si>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</si>
  <si>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</si>
  <si>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</si>
  <si>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</si>
  <si>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</si>
  <si>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</si>
  <si>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</si>
  <si>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</si>
  <si>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</si>
  <si>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</si>
  <si>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</si>
  <si>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</si>
  <si>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</si>
  <si>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</si>
  <si>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</si>
  <si>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</si>
  <si>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</si>
  <si>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Aprilia</t>
  </si>
  <si>
    <t>Niky</t>
  </si>
  <si>
    <t>Dina</t>
  </si>
  <si>
    <t>Hanifa</t>
  </si>
  <si>
    <t>OSIS SMPN 2 PWT</t>
  </si>
  <si>
    <t>Rifka Alfiansi</t>
  </si>
  <si>
    <t>16R</t>
  </si>
  <si>
    <t>Nicky</t>
  </si>
  <si>
    <t>Lala</t>
  </si>
  <si>
    <t>Niki</t>
  </si>
  <si>
    <t>Belita Yoan Intania</t>
  </si>
  <si>
    <t>Sofia</t>
  </si>
  <si>
    <t>Deri</t>
  </si>
  <si>
    <t>16R, 10R, 5R</t>
  </si>
  <si>
    <t>MnM</t>
  </si>
  <si>
    <t>PIT S3 2026</t>
  </si>
  <si>
    <t>Fapet 22</t>
  </si>
  <si>
    <t>16 oct`</t>
  </si>
  <si>
    <t>dea salsabila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</si>
  <si>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</si>
  <si>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</si>
  <si>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</si>
  <si>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</si>
  <si>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</si>
  <si>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</si>
  <si>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</si>
  <si>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</si>
  <si>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</si>
  <si>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</si>
  <si>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</si>
  <si>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</si>
  <si>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</si>
  <si>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</si>
  <si>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</si>
  <si>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</si>
  <si>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</si>
  <si>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</si>
  <si>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</si>
  <si>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</si>
  <si>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</si>
  <si>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</si>
  <si>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</si>
  <si>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</si>
  <si>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</si>
  <si>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</si>
  <si>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</si>
  <si>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</si>
  <si>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</si>
  <si>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</si>
  <si>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</si>
  <si>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</si>
  <si>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>5R, 10R, 16R</t>
  </si>
  <si>
    <t xml:space="preserve"> 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</si>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</sst>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8" fillId="0" fontId="1" numFmtId="165" xfId="0" applyBorder="1" applyFont="1" applyNumberFormat="1"/>
    <xf borderId="3" fillId="0" fontId="7" numFmtId="165" xfId="0" applyAlignment="1" applyBorder="1" applyFont="1" applyNumberFormat="1">
      <alignment horizontal="right" vertical="center"/>
    </xf>
    <xf borderId="1" fillId="0" fontId="7" numFmtId="165" xfId="0" applyAlignment="1" applyBorder="1" applyFont="1" applyNumberFormat="1">
      <alignment horizontal="right" readingOrder="0"/>
    </xf>
    <xf borderId="3" fillId="0" fontId="1" numFmtId="165" xfId="0" applyBorder="1" applyFont="1" applyNumberFormat="1"/>
    <xf borderId="7" fillId="0" fontId="7" numFmtId="165" xfId="0" applyAlignment="1" applyBorder="1" applyFont="1" applyNumberFormat="1">
      <alignment horizontal="right" readingOrder="0" vertical="center"/>
    </xf>
    <xf borderId="3" fillId="0" fontId="1" numFmtId="165" xfId="0" applyAlignment="1" applyBorder="1" applyFont="1" applyNumberFormat="1">
      <alignment horizontal="center"/>
    </xf>
    <xf borderId="7" fillId="0" fontId="1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3" fillId="0" fontId="1" numFmtId="165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vertical="bottom"/>
    </xf>
    <xf borderId="7" fillId="0" fontId="7" numFmtId="165" xfId="0" applyAlignment="1" applyBorder="1" applyFont="1" applyNumberFormat="1">
      <alignment horizontal="right"/>
    </xf>
    <xf borderId="3" fillId="0" fontId="2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3" fillId="0" fontId="2" numFmtId="165" xfId="0" applyAlignment="1" applyBorder="1" applyFont="1" applyNumberFormat="1">
      <alignment horizontal="center"/>
    </xf>
    <xf borderId="3" fillId="0" fontId="7" numFmtId="165" xfId="0" applyAlignment="1" applyBorder="1" applyFont="1" applyNumberFormat="1">
      <alignment horizontal="right" readingOrder="0" vertical="center"/>
    </xf>
    <xf borderId="8" fillId="0" fontId="1" numFmtId="165" xfId="0" applyAlignment="1" applyBorder="1" applyFont="1" applyNumberFormat="1">
      <alignment readingOrder="0"/>
    </xf>
    <xf borderId="1" fillId="0" fontId="7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horizontal="right" readingOrder="0"/>
    </xf>
    <xf borderId="10" fillId="0" fontId="1" numFmtId="0" xfId="0" applyAlignment="1" applyBorder="1" applyFont="1">
      <alignment horizontal="center" readingOrder="0" vertical="bottom"/>
    </xf>
    <xf borderId="3" fillId="0" fontId="2" numFmtId="165" xfId="0" applyAlignment="1" applyBorder="1" applyFont="1" applyNumberFormat="1">
      <alignment horizontal="right" readingOrder="0"/>
    </xf>
    <xf borderId="2" fillId="0" fontId="8" numFmtId="0" xfId="0" applyAlignment="1" applyBorder="1" applyFont="1">
      <alignment horizontal="center" readingOrder="0" vertical="center"/>
    </xf>
    <xf borderId="7" fillId="0" fontId="1" numFmtId="9" xfId="0" applyAlignment="1" applyBorder="1" applyFont="1" applyNumberFormat="1">
      <alignment horizontal="center" vertical="bottom"/>
    </xf>
    <xf borderId="7" fillId="0" fontId="1" numFmtId="166" xfId="0" applyAlignment="1" applyBorder="1" applyFont="1" applyNumberFormat="1">
      <alignment horizontal="center" readingOrder="0"/>
    </xf>
    <xf borderId="11" fillId="0" fontId="2" numFmtId="0" xfId="0" applyAlignment="1" applyBorder="1" applyFont="1">
      <alignment horizontal="center" readingOrder="0" vertical="center"/>
    </xf>
    <xf borderId="3" fillId="0" fontId="1" numFmtId="165" xfId="0" applyAlignment="1" applyBorder="1" applyFont="1" applyNumberFormat="1">
      <alignment readingOrder="0"/>
    </xf>
    <xf borderId="0" fillId="0" fontId="2" numFmtId="0" xfId="0" applyFont="1"/>
    <xf borderId="7" fillId="0" fontId="1" numFmtId="167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readingOrder="0" vertical="bottom"/>
    </xf>
    <xf borderId="3" fillId="0" fontId="2" numFmtId="165" xfId="0" applyAlignment="1" applyBorder="1" applyFont="1" applyNumberFormat="1">
      <alignment horizontal="center" readingOrder="0"/>
    </xf>
    <xf borderId="0" fillId="0" fontId="9" numFmtId="0" xfId="0" applyAlignment="1" applyFont="1">
      <alignment horizontal="center" readingOrder="0" vertical="center"/>
    </xf>
    <xf borderId="2" fillId="0" fontId="4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7" fillId="0" fontId="7" numFmtId="165" xfId="0" applyAlignment="1" applyBorder="1" applyFont="1" applyNumberFormat="1">
      <alignment horizontal="right" vertic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7" fillId="4" fontId="2" numFmtId="165" xfId="0" applyAlignment="1" applyBorder="1" applyFill="1" applyFont="1" applyNumberForma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0" fillId="0" fontId="1" numFmtId="3" xfId="0" applyAlignment="1" applyFont="1" applyNumberFormat="1">
      <alignment horizontal="center" readingOrder="0" vertical="center"/>
    </xf>
    <xf borderId="7" fillId="2" fontId="1" numFmtId="0" xfId="0" applyAlignment="1" applyBorder="1" applyFill="1" applyFont="1">
      <alignment horizontal="center" vertical="center"/>
    </xf>
    <xf borderId="6" fillId="5" fontId="7" numFmtId="165" xfId="0" applyAlignment="1" applyBorder="1" applyFill="1" applyFont="1" applyNumberFormat="1">
      <alignment horizontal="center" vertical="center"/>
    </xf>
    <xf borderId="10" fillId="0" fontId="1" numFmtId="0" xfId="0" applyAlignment="1" applyBorder="1" applyFont="1">
      <alignment horizontal="center" readingOrder="0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12" fillId="0" fontId="4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7" fillId="0" fontId="2" numFmtId="0" xfId="0" applyAlignment="1" applyBorder="1" applyFont="1">
      <alignment horizontal="center" vertic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6" fillId="4" fontId="1" numFmtId="0" xfId="0" applyAlignment="1" applyBorder="1" applyFill="1" applyFont="1">
      <alignment horizontal="left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4" numFmtId="0" xfId="0" applyAlignment="1" applyBorder="1" applyFont="1">
      <alignment horizontal="center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13" fillId="0" fontId="4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vertical="center"/>
    </xf>
    <xf borderId="2" fillId="0" fontId="1" numFmtId="0" xfId="0" applyAlignment="1" applyBorder="1" applyFont="1">
      <alignment horizontal="center" readingOrder="0" vertical="center"/>
    </xf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7" fillId="0" fontId="2" numFmtId="165" xfId="0" applyAlignment="1" applyBorder="1" applyFont="1" applyNumberFormat="1">
      <alignment horizontal="right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 vertical="center"/>
    </xf>
    <xf borderId="2" fillId="0" fontId="4" numFmtId="0" xfId="0" applyAlignment="1" applyBorder="1" applyFont="1">
      <alignment horizontal="center"/>
    </xf>
    <xf borderId="7" fillId="10" fontId="2" numFmtId="165" xfId="0" applyAlignment="1" applyBorder="1" applyFill="1" applyFont="1" applyNumberFormat="1">
      <alignment horizontal="center" vertical="center"/>
    </xf>
    <xf borderId="7" fillId="0" fontId="2" numFmtId="165" xfId="0" applyAlignment="1" applyBorder="1" applyFont="1" applyNumberFormat="1">
      <alignment horizontal="right" readingOrder="0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7" fillId="0" fontId="1" numFmtId="9" xfId="0" applyAlignment="1" applyBorder="1" applyFont="1" applyNumberFormat="1">
      <alignment horizontal="center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6" fillId="4" fontId="2" numFmtId="165" xfId="0" applyAlignment="1" applyBorder="1" applyFill="1" applyFont="1" applyNumberFormat="1">
      <alignment horizontal="center" vertical="center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0" fillId="0" fontId="6" numFmtId="0" xfId="0" applyAlignment="1" applyFont="1">
      <alignment horizontal="center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0" fillId="4" fontId="1" numFmtId="0" xfId="0" applyAlignment="1" applyFill="1" applyFont="1">
      <alignment readingOrder="0"/>
    </xf>
    <xf borderId="10" fillId="16" fontId="1" numFmtId="0" xfId="0" applyAlignment="1" applyBorder="1" applyFill="1" applyFont="1">
      <alignment horizontal="center" vertical="bottom"/>
    </xf>
    <xf borderId="0" fillId="11" fontId="12" numFmtId="170" xfId="0" applyAlignment="1" applyFill="1" applyFont="1" applyNumberFormat="1">
      <alignment horizontal="center" shrinkToFit="0" vertical="center" wrapText="0"/>
    </xf>
    <xf borderId="9" fillId="0" fontId="1" numFmtId="0" xfId="0" applyAlignment="1" applyBorder="1" applyFont="1">
      <alignment horizontal="center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0" fontId="13" numFmtId="171" xfId="0" applyAlignment="1" applyFont="1" applyNumberFormat="1">
      <alignment shrinkToFit="0" vertical="center" wrapText="1"/>
    </xf>
    <xf borderId="0" fillId="19" fontId="24" numFmtId="0" xfId="0" applyAlignment="1" applyFill="1" applyFont="1">
      <alignment horizontal="center"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342643985"/>
        <c:axId val="451852205"/>
      </c:barChart>
      <c:catAx>
        <c:axId val="134264398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451852205"/>
      </c:catAx>
      <c:valAx>
        <c:axId val="45185220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4264398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275580802"/>
        <c:axId val="2002254901"/>
      </c:lineChart>
      <c:catAx>
        <c:axId val="127558080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02254901"/>
      </c:catAx>
      <c:valAx>
        <c:axId val="200225490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27558080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19</v>
      </c>
      <c r="D4" s="22" t="s">
        <v>23</v>
      </c>
      <c r="E4" s="23"/>
      <c r="F4" s="26" t="s">
        <v>25</v>
      </c>
      <c r="G4" s="32"/>
      <c r="H4" s="34">
        <v>100000.0</v>
      </c>
      <c r="I4" s="26" t="s">
        <v>27</v>
      </c>
      <c r="J4" s="17"/>
      <c r="K4" s="17"/>
      <c r="L4" s="26" t="s">
        <v>29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34</v>
      </c>
      <c r="D5" s="22" t="s">
        <v>37</v>
      </c>
      <c r="E5" s="23"/>
      <c r="F5" s="26" t="s">
        <v>39</v>
      </c>
      <c r="G5" s="38">
        <v>125000.0</v>
      </c>
      <c r="H5" s="40"/>
      <c r="I5" s="26" t="s">
        <v>28</v>
      </c>
      <c r="J5" s="26" t="s">
        <v>30</v>
      </c>
      <c r="K5" s="26" t="s">
        <v>44</v>
      </c>
      <c r="L5" s="26" t="s">
        <v>29</v>
      </c>
      <c r="M5" s="26" t="s">
        <v>46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19" t="s">
        <v>48</v>
      </c>
      <c r="D6" s="22" t="s">
        <v>23</v>
      </c>
      <c r="E6" s="23"/>
      <c r="F6" s="26" t="s">
        <v>51</v>
      </c>
      <c r="G6" s="44"/>
      <c r="H6" s="34">
        <v>100000.0</v>
      </c>
      <c r="I6" s="26" t="s">
        <v>27</v>
      </c>
      <c r="J6" s="17"/>
      <c r="K6" s="17"/>
      <c r="L6" s="26" t="s">
        <v>29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9" t="s">
        <v>56</v>
      </c>
      <c r="D7" s="22" t="s">
        <v>41</v>
      </c>
      <c r="E7" s="23"/>
      <c r="F7" s="26" t="s">
        <v>39</v>
      </c>
      <c r="G7" s="44"/>
      <c r="H7" s="48">
        <v>200000.0</v>
      </c>
      <c r="I7" s="26" t="s">
        <v>28</v>
      </c>
      <c r="J7" s="26" t="s">
        <v>30</v>
      </c>
      <c r="K7" s="26" t="s">
        <v>30</v>
      </c>
      <c r="L7" s="26" t="s">
        <v>29</v>
      </c>
      <c r="M7" s="26" t="s">
        <v>46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19" t="s">
        <v>64</v>
      </c>
      <c r="D8" s="22" t="s">
        <v>23</v>
      </c>
      <c r="E8" s="23"/>
      <c r="F8" s="26" t="s">
        <v>42</v>
      </c>
      <c r="G8" s="32"/>
      <c r="H8" s="34">
        <v>100000.0</v>
      </c>
      <c r="I8" s="26" t="s">
        <v>27</v>
      </c>
      <c r="J8" s="17"/>
      <c r="K8" s="17"/>
      <c r="L8" s="26" t="s">
        <v>29</v>
      </c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49" t="s">
        <v>70</v>
      </c>
      <c r="D9" s="22" t="s">
        <v>72</v>
      </c>
      <c r="E9" s="52"/>
      <c r="F9" s="26" t="s">
        <v>39</v>
      </c>
      <c r="G9" s="44"/>
      <c r="H9" s="48">
        <v>450000.0</v>
      </c>
      <c r="I9" s="26" t="s">
        <v>28</v>
      </c>
      <c r="J9" s="17"/>
      <c r="K9" s="17"/>
      <c r="L9" s="26" t="s">
        <v>29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9" t="s">
        <v>75</v>
      </c>
      <c r="D10" s="22" t="s">
        <v>41</v>
      </c>
      <c r="E10" s="52"/>
      <c r="F10" s="26" t="s">
        <v>39</v>
      </c>
      <c r="G10" s="44"/>
      <c r="H10" s="48">
        <v>100000.0</v>
      </c>
      <c r="I10" s="26" t="s">
        <v>28</v>
      </c>
      <c r="J10" s="26" t="s">
        <v>30</v>
      </c>
      <c r="K10" s="26" t="s">
        <v>31</v>
      </c>
      <c r="L10" s="26" t="s">
        <v>29</v>
      </c>
      <c r="M10" s="26" t="s">
        <v>46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9" t="s">
        <v>79</v>
      </c>
      <c r="D11" s="22" t="s">
        <v>81</v>
      </c>
      <c r="E11" s="52"/>
      <c r="F11" s="26" t="s">
        <v>39</v>
      </c>
      <c r="G11" s="38">
        <v>150000.0</v>
      </c>
      <c r="H11" s="40"/>
      <c r="I11" s="26" t="s">
        <v>28</v>
      </c>
      <c r="J11" s="26" t="s">
        <v>30</v>
      </c>
      <c r="K11" s="26" t="s">
        <v>30</v>
      </c>
      <c r="L11" s="26" t="s">
        <v>29</v>
      </c>
      <c r="M11" s="26" t="s">
        <v>46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49" t="s">
        <v>83</v>
      </c>
      <c r="D12" s="22" t="s">
        <v>49</v>
      </c>
      <c r="E12" s="52"/>
      <c r="F12" s="26" t="s">
        <v>39</v>
      </c>
      <c r="G12" s="44"/>
      <c r="H12" s="34">
        <v>100000.0</v>
      </c>
      <c r="I12" s="26" t="s">
        <v>28</v>
      </c>
      <c r="J12" s="26" t="s">
        <v>30</v>
      </c>
      <c r="K12" s="26" t="s">
        <v>30</v>
      </c>
      <c r="L12" s="26" t="s">
        <v>29</v>
      </c>
      <c r="M12" s="26" t="s">
        <v>46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49" t="s">
        <v>88</v>
      </c>
      <c r="D13" s="22" t="s">
        <v>89</v>
      </c>
      <c r="E13" s="52"/>
      <c r="F13" s="26" t="s">
        <v>90</v>
      </c>
      <c r="G13" s="59">
        <v>25000.0</v>
      </c>
      <c r="H13" s="40"/>
      <c r="I13" s="26" t="s">
        <v>28</v>
      </c>
      <c r="J13" s="26" t="s">
        <v>44</v>
      </c>
      <c r="K13" s="26" t="s">
        <v>44</v>
      </c>
      <c r="L13" s="26" t="s">
        <v>29</v>
      </c>
      <c r="M13" s="17"/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49" t="s">
        <v>94</v>
      </c>
      <c r="D14" s="22" t="s">
        <v>41</v>
      </c>
      <c r="E14" s="52"/>
      <c r="F14" s="26" t="s">
        <v>39</v>
      </c>
      <c r="G14" s="59">
        <v>105000.0</v>
      </c>
      <c r="H14" s="34">
        <v>220000.0</v>
      </c>
      <c r="I14" s="26" t="s">
        <v>28</v>
      </c>
      <c r="J14" s="26" t="s">
        <v>30</v>
      </c>
      <c r="K14" s="26" t="s">
        <v>30</v>
      </c>
      <c r="L14" s="26" t="s">
        <v>29</v>
      </c>
      <c r="M14" s="26" t="s">
        <v>46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49" t="s">
        <v>97</v>
      </c>
      <c r="D15" s="22" t="s">
        <v>37</v>
      </c>
      <c r="E15" s="52"/>
      <c r="F15" s="26" t="s">
        <v>43</v>
      </c>
      <c r="G15" s="44"/>
      <c r="H15" s="34">
        <v>100000.0</v>
      </c>
      <c r="I15" s="26" t="s">
        <v>27</v>
      </c>
      <c r="J15" s="17"/>
      <c r="K15" s="17"/>
      <c r="L15" s="26" t="s">
        <v>29</v>
      </c>
      <c r="M15" s="17"/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49" t="s">
        <v>83</v>
      </c>
      <c r="D16" s="22" t="s">
        <v>103</v>
      </c>
      <c r="E16" s="52"/>
      <c r="F16" s="26" t="s">
        <v>39</v>
      </c>
      <c r="G16" s="44"/>
      <c r="H16" s="34">
        <v>50000.0</v>
      </c>
      <c r="I16" s="26" t="s">
        <v>28</v>
      </c>
      <c r="J16" s="26" t="s">
        <v>30</v>
      </c>
      <c r="K16" s="26" t="s">
        <v>30</v>
      </c>
      <c r="L16" s="26" t="s">
        <v>29</v>
      </c>
      <c r="M16" s="26" t="s">
        <v>46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62"/>
      <c r="D17" s="64"/>
      <c r="E17" s="52"/>
      <c r="F17" s="65"/>
      <c r="G17" s="32"/>
      <c r="H17" s="40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6">
        <f>SUM(G5:G17)</f>
        <v>405000</v>
      </c>
      <c r="H18" s="71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0" t="s">
        <v>1</v>
      </c>
      <c r="C21" s="73" t="s">
        <v>7</v>
      </c>
      <c r="D21" s="73" t="s">
        <v>112</v>
      </c>
      <c r="E21" s="1"/>
      <c r="F21" s="1"/>
      <c r="G21" s="1"/>
      <c r="H21" s="1"/>
      <c r="I21" s="1"/>
      <c r="J21" s="1"/>
      <c r="K21" s="1"/>
      <c r="L21" s="1"/>
      <c r="M21" s="1"/>
      <c r="N21" s="73" t="s">
        <v>114</v>
      </c>
      <c r="O21" s="73" t="s">
        <v>2</v>
      </c>
      <c r="P21" s="1"/>
      <c r="Q21" s="1"/>
      <c r="R21" s="1"/>
    </row>
    <row r="22" ht="15.75" customHeight="1">
      <c r="A22" s="1"/>
      <c r="B22" s="74">
        <v>1.0</v>
      </c>
      <c r="C22" s="75" t="s">
        <v>115</v>
      </c>
      <c r="D22" s="76">
        <f>SUM(G18)</f>
        <v>405000</v>
      </c>
      <c r="E22" s="77"/>
      <c r="F22" s="1"/>
      <c r="G22" s="1"/>
      <c r="H22" s="1"/>
      <c r="I22" s="1"/>
      <c r="J22" s="1"/>
      <c r="K22" s="1"/>
      <c r="L22" s="1"/>
      <c r="M22" s="1"/>
      <c r="N22" s="78" t="s">
        <v>119</v>
      </c>
      <c r="O22" s="79" t="s">
        <v>29</v>
      </c>
      <c r="P22" s="1"/>
      <c r="Q22" s="1"/>
      <c r="R22" s="1"/>
    </row>
    <row r="23" ht="15.75" customHeight="1">
      <c r="A23" s="1"/>
      <c r="B23" s="80">
        <v>2.0</v>
      </c>
      <c r="C23" s="86"/>
      <c r="D23" s="87"/>
      <c r="E23" s="77"/>
      <c r="F23" s="1"/>
      <c r="G23" s="1"/>
      <c r="H23" s="1"/>
      <c r="I23" s="1"/>
      <c r="J23" s="1"/>
      <c r="K23" s="1"/>
      <c r="L23" s="1"/>
      <c r="M23" s="1"/>
      <c r="N23" s="84" t="s">
        <v>125</v>
      </c>
      <c r="O23" s="85" t="s">
        <v>29</v>
      </c>
      <c r="P23" s="1"/>
      <c r="Q23" s="1"/>
      <c r="R23" s="1"/>
    </row>
    <row r="24" ht="15.75" customHeight="1">
      <c r="A24" s="1"/>
      <c r="B24" s="74">
        <v>3.0</v>
      </c>
      <c r="C24" s="75"/>
      <c r="D24" s="76"/>
      <c r="E24" s="77"/>
      <c r="F24" s="1"/>
      <c r="G24" s="1"/>
      <c r="H24" s="1"/>
      <c r="I24" s="1"/>
      <c r="J24" s="1"/>
      <c r="K24" s="1"/>
      <c r="L24" s="1"/>
      <c r="M24" s="1"/>
      <c r="N24" s="91" t="s">
        <v>128</v>
      </c>
      <c r="O24" s="92" t="s">
        <v>46</v>
      </c>
      <c r="P24" s="1"/>
      <c r="Q24" s="1"/>
      <c r="R24" s="1"/>
    </row>
    <row r="25" ht="15.75" customHeight="1">
      <c r="A25" s="1"/>
      <c r="B25" s="80">
        <v>4.0</v>
      </c>
      <c r="C25" s="94"/>
      <c r="D25" s="95"/>
      <c r="E25" s="77"/>
      <c r="F25" s="96"/>
      <c r="G25" s="1"/>
      <c r="H25" s="1"/>
      <c r="I25" s="1"/>
      <c r="J25" s="1"/>
      <c r="K25" s="1"/>
      <c r="L25" s="1"/>
      <c r="M25" s="1"/>
      <c r="N25" s="93" t="s">
        <v>131</v>
      </c>
      <c r="O25" s="85" t="s">
        <v>46</v>
      </c>
      <c r="P25" s="1"/>
      <c r="Q25" s="1"/>
      <c r="R25" s="1"/>
    </row>
    <row r="26" ht="15.75" customHeight="1">
      <c r="A26" s="1"/>
      <c r="B26" s="74">
        <v>5.0</v>
      </c>
      <c r="C26" s="75"/>
      <c r="D26" s="76"/>
      <c r="E26" s="77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80">
        <v>6.0</v>
      </c>
      <c r="C27" s="94"/>
      <c r="D27" s="95"/>
      <c r="E27" s="77"/>
      <c r="F27" s="1"/>
      <c r="G27" s="1"/>
      <c r="H27" s="1"/>
      <c r="I27" s="1"/>
      <c r="J27" s="1"/>
      <c r="K27" s="98" t="s">
        <v>134</v>
      </c>
      <c r="Q27" s="1"/>
      <c r="R27" s="1"/>
    </row>
    <row r="28" ht="15.75" customHeight="1">
      <c r="A28" s="1"/>
      <c r="B28" s="74">
        <v>7.0</v>
      </c>
      <c r="C28" s="75"/>
      <c r="D28" s="76"/>
      <c r="E28" s="77"/>
      <c r="F28" s="1"/>
      <c r="G28" s="1"/>
      <c r="H28" s="1"/>
      <c r="I28" s="1"/>
      <c r="J28" s="1"/>
      <c r="K28" s="99" t="s">
        <v>2</v>
      </c>
      <c r="L28" s="99" t="s">
        <v>137</v>
      </c>
      <c r="M28" s="99" t="s">
        <v>138</v>
      </c>
      <c r="N28" s="99" t="s">
        <v>139</v>
      </c>
      <c r="O28" s="99" t="s">
        <v>140</v>
      </c>
      <c r="P28" s="99" t="s">
        <v>141</v>
      </c>
      <c r="Q28" s="1"/>
      <c r="R28" s="1"/>
      <c r="AC28" s="100" t="s">
        <v>143</v>
      </c>
      <c r="AD28" s="100" t="s">
        <v>144</v>
      </c>
      <c r="AE28" s="100" t="s">
        <v>145</v>
      </c>
      <c r="AF28" s="100" t="s">
        <v>146</v>
      </c>
      <c r="AG28" s="100" t="s">
        <v>148</v>
      </c>
    </row>
    <row r="29" ht="15.75" customHeight="1">
      <c r="A29" s="1"/>
      <c r="B29" s="80">
        <v>8.0</v>
      </c>
      <c r="C29" s="94"/>
      <c r="D29" s="95"/>
      <c r="E29" s="77"/>
      <c r="F29" s="1"/>
      <c r="G29" s="1"/>
      <c r="H29" s="1"/>
      <c r="I29" s="1"/>
      <c r="J29" s="1"/>
      <c r="K29" s="102" t="str">
        <f t="shared" ref="K29:K32" si="1">IF(O22="","",O22)</f>
        <v>AMEL</v>
      </c>
      <c r="L29" s="103">
        <v>4.0</v>
      </c>
      <c r="M29" s="103">
        <v>4.0</v>
      </c>
      <c r="N29" s="103">
        <v>4.0</v>
      </c>
      <c r="O29" s="103">
        <v>4.0</v>
      </c>
      <c r="P29" s="103">
        <v>4.0</v>
      </c>
      <c r="Q29" s="1"/>
      <c r="R29" s="1"/>
      <c r="AC29" s="100">
        <f t="shared" ref="AC29:AC34" si="2">IF(AG29="","",IF(COUNT(L29:P29)&lt;5,"",L29/5*20+M29/5*25+N29/5*25+O29/5*15+P29/5*15))</f>
        <v>80</v>
      </c>
      <c r="AD29" s="100" t="str">
        <f t="shared" ref="AD29:AD34" si="3">IF(AC29="","",IF(AC29&gt;=90,"Sangat Baik",IF(AC29&gt;=80,"Baik",IF(AC29&gt;=70,"Coaching","Underperform"))))</f>
        <v>Baik</v>
      </c>
      <c r="AE29" s="100" t="str">
        <f t="shared" ref="AE29:AE34" si="4">IF(AG29="","",IF(OR(AG29="INDAH",AG29="ADDEL",AG29="AMEL",AG29="PENTIL",AG29="JIJANG"),"Admin/CS","Fotografer"))</f>
        <v>Admin/CS</v>
      </c>
      <c r="AF29" s="100">
        <f t="shared" ref="AF29:AF34" si="5">IF(OR(AG29="",COUNT(L29:P29)&lt;5),"",1)</f>
        <v>1</v>
      </c>
      <c r="AG29" s="100" t="str">
        <f t="shared" ref="AG29:AG34" si="6">IFERROR(K29,"")</f>
        <v>AMEL</v>
      </c>
    </row>
    <row r="30" ht="15.75" customHeight="1">
      <c r="A30" s="1"/>
      <c r="B30" s="74">
        <v>9.0</v>
      </c>
      <c r="C30" s="75"/>
      <c r="D30" s="76"/>
      <c r="E30" s="77"/>
      <c r="F30" s="1"/>
      <c r="G30" s="1"/>
      <c r="H30" s="1"/>
      <c r="I30" s="1"/>
      <c r="J30" s="1"/>
      <c r="K30" s="102" t="str">
        <f t="shared" si="1"/>
        <v>AMEL</v>
      </c>
      <c r="L30" s="103">
        <v>4.0</v>
      </c>
      <c r="M30" s="103">
        <v>4.0</v>
      </c>
      <c r="N30" s="103">
        <v>4.0</v>
      </c>
      <c r="O30" s="103">
        <v>4.0</v>
      </c>
      <c r="P30" s="103">
        <v>4.0</v>
      </c>
      <c r="Q30" s="1"/>
      <c r="R30" s="1"/>
      <c r="AC30" s="100">
        <f t="shared" si="2"/>
        <v>80</v>
      </c>
      <c r="AD30" s="100" t="str">
        <f t="shared" si="3"/>
        <v>Baik</v>
      </c>
      <c r="AE30" s="100" t="str">
        <f t="shared" si="4"/>
        <v>Admin/CS</v>
      </c>
      <c r="AF30" s="100">
        <f t="shared" si="5"/>
        <v>1</v>
      </c>
      <c r="AG30" s="100" t="str">
        <f t="shared" si="6"/>
        <v>AMEL</v>
      </c>
    </row>
    <row r="31" ht="15.75" customHeight="1">
      <c r="A31" s="1"/>
      <c r="B31" s="80">
        <v>10.0</v>
      </c>
      <c r="C31" s="94"/>
      <c r="D31" s="95"/>
      <c r="E31" s="77"/>
      <c r="F31" s="1"/>
      <c r="G31" s="1"/>
      <c r="H31" s="1"/>
      <c r="I31" s="1"/>
      <c r="J31" s="1"/>
      <c r="K31" s="102" t="str">
        <f t="shared" si="1"/>
        <v>ADIF</v>
      </c>
      <c r="L31" s="103">
        <v>4.0</v>
      </c>
      <c r="M31" s="103">
        <v>5.0</v>
      </c>
      <c r="N31" s="103">
        <v>5.0</v>
      </c>
      <c r="O31" s="103">
        <v>5.0</v>
      </c>
      <c r="P31" s="103">
        <v>5.0</v>
      </c>
      <c r="Q31" s="1"/>
      <c r="R31" s="1"/>
      <c r="AC31" s="100">
        <f t="shared" si="2"/>
        <v>96</v>
      </c>
      <c r="AD31" s="100" t="str">
        <f t="shared" si="3"/>
        <v>Sangat Baik</v>
      </c>
      <c r="AE31" s="100" t="str">
        <f t="shared" si="4"/>
        <v>Fotografer</v>
      </c>
      <c r="AF31" s="100">
        <f t="shared" si="5"/>
        <v>1</v>
      </c>
      <c r="AG31" s="100" t="str">
        <f t="shared" si="6"/>
        <v>ADIF</v>
      </c>
    </row>
    <row r="32" ht="15.75" customHeight="1">
      <c r="A32" s="1"/>
      <c r="B32" s="110">
        <v>11.0</v>
      </c>
      <c r="C32" s="111"/>
      <c r="D32" s="112"/>
      <c r="E32" s="77"/>
      <c r="F32" s="1"/>
      <c r="G32" s="1"/>
      <c r="H32" s="1"/>
      <c r="I32" s="1"/>
      <c r="J32" s="1"/>
      <c r="K32" s="102" t="str">
        <f t="shared" si="1"/>
        <v>ADIF</v>
      </c>
      <c r="L32" s="103">
        <v>4.0</v>
      </c>
      <c r="M32" s="103">
        <v>5.0</v>
      </c>
      <c r="N32" s="103">
        <v>5.0</v>
      </c>
      <c r="O32" s="103">
        <v>5.0</v>
      </c>
      <c r="P32" s="103">
        <v>5.0</v>
      </c>
      <c r="Q32" s="1"/>
      <c r="R32" s="1"/>
      <c r="AC32" s="100">
        <f t="shared" si="2"/>
        <v>96</v>
      </c>
      <c r="AD32" s="100" t="str">
        <f t="shared" si="3"/>
        <v>Sangat Baik</v>
      </c>
      <c r="AE32" s="100" t="str">
        <f t="shared" si="4"/>
        <v>Fotografer</v>
      </c>
      <c r="AF32" s="100">
        <f t="shared" si="5"/>
        <v>1</v>
      </c>
      <c r="AG32" s="100" t="str">
        <f t="shared" si="6"/>
        <v>ADIF</v>
      </c>
    </row>
    <row r="33" ht="15.75" customHeight="1">
      <c r="A33" s="1"/>
      <c r="B33" s="1"/>
      <c r="C33" s="3"/>
      <c r="D33" s="115">
        <f>SUM(D22:D32)</f>
        <v>405000</v>
      </c>
      <c r="E33" s="1"/>
      <c r="F33" s="1"/>
      <c r="G33" s="1"/>
      <c r="H33" s="1"/>
      <c r="I33" s="1"/>
      <c r="J33" s="1"/>
      <c r="K33" s="102"/>
      <c r="L33" s="117"/>
      <c r="M33" s="117"/>
      <c r="N33" s="117"/>
      <c r="O33" s="117"/>
      <c r="P33" s="117"/>
      <c r="Q33" s="1"/>
      <c r="R33" s="1"/>
      <c r="AC33" s="100" t="str">
        <f t="shared" si="2"/>
        <v/>
      </c>
      <c r="AD33" s="100" t="str">
        <f t="shared" si="3"/>
        <v/>
      </c>
      <c r="AE33" s="100" t="str">
        <f t="shared" si="4"/>
        <v/>
      </c>
      <c r="AF33" s="100" t="str">
        <f t="shared" si="5"/>
        <v/>
      </c>
      <c r="AG33" s="100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2"/>
      <c r="L34" s="117"/>
      <c r="M34" s="117"/>
      <c r="N34" s="117"/>
      <c r="O34" s="117"/>
      <c r="P34" s="117"/>
      <c r="Q34" s="1"/>
      <c r="R34" s="1"/>
      <c r="AC34" s="100" t="str">
        <f t="shared" si="2"/>
        <v/>
      </c>
      <c r="AD34" s="100" t="str">
        <f t="shared" si="3"/>
        <v/>
      </c>
      <c r="AE34" s="100" t="str">
        <f t="shared" si="4"/>
        <v/>
      </c>
      <c r="AF34" s="100" t="str">
        <f t="shared" si="5"/>
        <v/>
      </c>
      <c r="AG34" s="100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186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187</v>
      </c>
      <c r="N37" s="120"/>
      <c r="O37" s="1"/>
      <c r="P37" s="1"/>
      <c r="Q37" s="1"/>
      <c r="R37" s="1"/>
    </row>
    <row r="38" ht="15.75" customHeight="1">
      <c r="K38" s="121" t="s">
        <v>8</v>
      </c>
      <c r="L38" s="121" t="s">
        <v>189</v>
      </c>
      <c r="M38" s="121" t="s">
        <v>190</v>
      </c>
      <c r="N38" s="122" t="s">
        <v>191</v>
      </c>
    </row>
    <row r="39" ht="15.75" customHeight="1">
      <c r="K39" s="123" t="str">
        <f t="shared" ref="K39:K40" si="7">IF(O22="","",O22)</f>
        <v>AMEL</v>
      </c>
      <c r="L39" s="124">
        <v>5.0</v>
      </c>
      <c r="M39" s="124" t="s">
        <v>193</v>
      </c>
      <c r="N39" s="126">
        <v>4.0</v>
      </c>
    </row>
    <row r="40" ht="15.75" customHeight="1">
      <c r="K40" s="123" t="str">
        <f t="shared" si="7"/>
        <v>AMEL</v>
      </c>
      <c r="L40" s="127"/>
      <c r="M40" s="127"/>
      <c r="N40" s="128"/>
    </row>
    <row r="41" ht="15.75" customHeight="1"/>
    <row r="42" ht="19.5" customHeight="1">
      <c r="K42" s="129" t="s">
        <v>194</v>
      </c>
    </row>
    <row r="43" ht="19.5" customHeight="1">
      <c r="K43" s="130" t="s">
        <v>196</v>
      </c>
      <c r="M43" s="124">
        <v>34.0</v>
      </c>
    </row>
    <row r="44" ht="19.5" customHeight="1">
      <c r="K44" s="131" t="s">
        <v>197</v>
      </c>
      <c r="M44" s="132">
        <f>COUNTIF($I$4:$I$20,"DP")</f>
        <v>4</v>
      </c>
    </row>
    <row r="45" ht="19.5" customHeight="1">
      <c r="K45" s="131" t="s">
        <v>199</v>
      </c>
      <c r="M45" s="132">
        <f>COUNTIFS($I$4:$I$20,"&lt;&gt;DP",$I$4:$I$20,"&lt;&gt;")</f>
        <v>9</v>
      </c>
    </row>
    <row r="46" ht="19.5" customHeight="1">
      <c r="K46" s="133" t="s">
        <v>201</v>
      </c>
      <c r="M46" s="132">
        <f>M44+M45</f>
        <v>13</v>
      </c>
    </row>
    <row r="47" ht="19.5" customHeight="1">
      <c r="K47" s="130" t="s">
        <v>202</v>
      </c>
      <c r="M47" s="134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20</v>
      </c>
      <c r="D4" s="22" t="s">
        <v>24</v>
      </c>
      <c r="E4" s="24"/>
      <c r="F4" s="26" t="s">
        <v>26</v>
      </c>
      <c r="G4" s="30"/>
      <c r="H4" s="34">
        <v>100000.0</v>
      </c>
      <c r="I4" s="26" t="s">
        <v>27</v>
      </c>
      <c r="J4" s="17"/>
      <c r="K4" s="17"/>
      <c r="L4" s="26" t="s">
        <v>29</v>
      </c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37" t="s">
        <v>35</v>
      </c>
      <c r="D5" s="22" t="s">
        <v>41</v>
      </c>
      <c r="E5" s="39"/>
      <c r="F5" s="26" t="s">
        <v>43</v>
      </c>
      <c r="G5" s="41"/>
      <c r="H5" s="42">
        <v>100000.0</v>
      </c>
      <c r="I5" s="26" t="s">
        <v>27</v>
      </c>
      <c r="J5" s="17"/>
      <c r="K5" s="17"/>
      <c r="L5" s="26" t="s">
        <v>29</v>
      </c>
      <c r="M5" s="17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9" t="s">
        <v>53</v>
      </c>
      <c r="D6" s="22" t="s">
        <v>54</v>
      </c>
      <c r="E6" s="24"/>
      <c r="F6" s="26" t="s">
        <v>55</v>
      </c>
      <c r="G6" s="30"/>
      <c r="H6" s="34">
        <v>50000.0</v>
      </c>
      <c r="I6" s="26" t="s">
        <v>28</v>
      </c>
      <c r="J6" s="26" t="s">
        <v>30</v>
      </c>
      <c r="K6" s="26" t="s">
        <v>30</v>
      </c>
      <c r="L6" s="26" t="s">
        <v>29</v>
      </c>
      <c r="M6" s="17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9" t="s">
        <v>58</v>
      </c>
      <c r="D7" s="22" t="s">
        <v>23</v>
      </c>
      <c r="E7" s="39"/>
      <c r="F7" s="26" t="s">
        <v>42</v>
      </c>
      <c r="G7" s="30"/>
      <c r="H7" s="34">
        <v>100000.0</v>
      </c>
      <c r="I7" s="26" t="s">
        <v>27</v>
      </c>
      <c r="J7" s="17"/>
      <c r="K7" s="17"/>
      <c r="L7" s="26" t="s">
        <v>29</v>
      </c>
      <c r="M7" s="17"/>
      <c r="N7" s="43"/>
      <c r="O7" s="43"/>
      <c r="P7" s="43"/>
      <c r="Q7" s="1"/>
      <c r="R7" s="1"/>
    </row>
    <row r="8" ht="15.75" customHeight="1">
      <c r="A8" s="1"/>
      <c r="B8" s="18">
        <v>5.0</v>
      </c>
      <c r="C8" s="49" t="s">
        <v>62</v>
      </c>
      <c r="D8" s="22" t="s">
        <v>67</v>
      </c>
      <c r="E8" s="24"/>
      <c r="F8" s="26" t="s">
        <v>43</v>
      </c>
      <c r="G8" s="50"/>
      <c r="H8" s="42">
        <v>125000.0</v>
      </c>
      <c r="I8" s="26" t="s">
        <v>28</v>
      </c>
      <c r="J8" s="26" t="s">
        <v>30</v>
      </c>
      <c r="K8" s="26" t="s">
        <v>44</v>
      </c>
      <c r="L8" s="26" t="s">
        <v>29</v>
      </c>
      <c r="M8" s="26" t="s">
        <v>46</v>
      </c>
      <c r="N8" s="43"/>
      <c r="O8" s="43"/>
      <c r="P8" s="43"/>
      <c r="Q8" s="1"/>
      <c r="R8" s="1"/>
    </row>
    <row r="9" ht="15.75" customHeight="1">
      <c r="A9" s="1"/>
      <c r="B9" s="18">
        <v>6.0</v>
      </c>
      <c r="C9" s="19" t="s">
        <v>73</v>
      </c>
      <c r="D9" s="22" t="s">
        <v>41</v>
      </c>
      <c r="E9" s="24"/>
      <c r="F9" s="53">
        <v>46305.0</v>
      </c>
      <c r="G9" s="41"/>
      <c r="H9" s="42">
        <v>100000.0</v>
      </c>
      <c r="I9" s="26" t="s">
        <v>27</v>
      </c>
      <c r="J9" s="17"/>
      <c r="K9" s="17"/>
      <c r="L9" s="26" t="s">
        <v>32</v>
      </c>
      <c r="M9" s="17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9" t="s">
        <v>77</v>
      </c>
      <c r="D10" s="22" t="s">
        <v>41</v>
      </c>
      <c r="E10" s="24"/>
      <c r="F10" s="53">
        <v>46297.0</v>
      </c>
      <c r="G10" s="55">
        <v>75000.0</v>
      </c>
      <c r="H10" s="40"/>
      <c r="I10" s="26" t="s">
        <v>28</v>
      </c>
      <c r="J10" s="17"/>
      <c r="K10" s="17"/>
      <c r="L10" s="26" t="s">
        <v>32</v>
      </c>
      <c r="M10" s="26" t="s">
        <v>65</v>
      </c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26" t="s">
        <v>35</v>
      </c>
      <c r="D11" s="22" t="s">
        <v>41</v>
      </c>
      <c r="E11" s="24"/>
      <c r="F11" s="53">
        <v>46297.0</v>
      </c>
      <c r="G11" s="30"/>
      <c r="H11" s="34">
        <v>275000.0</v>
      </c>
      <c r="I11" s="26" t="s">
        <v>28</v>
      </c>
      <c r="J11" s="26" t="s">
        <v>30</v>
      </c>
      <c r="K11" s="26" t="s">
        <v>31</v>
      </c>
      <c r="L11" s="26" t="s">
        <v>32</v>
      </c>
      <c r="M11" s="26" t="s">
        <v>65</v>
      </c>
      <c r="N11" s="43"/>
      <c r="O11" s="43"/>
      <c r="P11" s="43"/>
      <c r="Q11" s="1"/>
      <c r="R11" s="1"/>
      <c r="S11" s="56"/>
    </row>
    <row r="12" ht="15.75" customHeight="1">
      <c r="A12" s="1"/>
      <c r="B12" s="18"/>
      <c r="C12" s="19" t="s">
        <v>86</v>
      </c>
      <c r="D12" s="22" t="s">
        <v>49</v>
      </c>
      <c r="E12" s="58"/>
      <c r="F12" s="53">
        <v>46297.0</v>
      </c>
      <c r="G12" s="30"/>
      <c r="H12" s="34">
        <v>100000.0</v>
      </c>
      <c r="I12" s="26" t="s">
        <v>28</v>
      </c>
      <c r="J12" s="26" t="s">
        <v>30</v>
      </c>
      <c r="K12" s="26" t="s">
        <v>30</v>
      </c>
      <c r="L12" s="26" t="s">
        <v>32</v>
      </c>
      <c r="M12" s="17"/>
      <c r="N12" s="43"/>
      <c r="O12" s="43"/>
      <c r="P12" s="43"/>
      <c r="Q12" s="1"/>
      <c r="R12" s="1"/>
    </row>
    <row r="13" ht="15.75" customHeight="1">
      <c r="A13" s="1"/>
      <c r="B13" s="18"/>
      <c r="C13" s="19" t="s">
        <v>93</v>
      </c>
      <c r="D13" s="22" t="s">
        <v>41</v>
      </c>
      <c r="E13" s="24"/>
      <c r="F13" s="53">
        <v>46297.0</v>
      </c>
      <c r="G13" s="30"/>
      <c r="H13" s="34">
        <v>100000.0</v>
      </c>
      <c r="I13" s="26" t="s">
        <v>28</v>
      </c>
      <c r="J13" s="26" t="s">
        <v>30</v>
      </c>
      <c r="K13" s="26" t="s">
        <v>30</v>
      </c>
      <c r="L13" s="26" t="s">
        <v>32</v>
      </c>
      <c r="M13" s="26" t="s">
        <v>65</v>
      </c>
      <c r="N13" s="43"/>
      <c r="O13" s="43"/>
      <c r="P13" s="43"/>
      <c r="Q13" s="1"/>
      <c r="R13" s="1"/>
    </row>
    <row r="14" ht="15.75" customHeight="1">
      <c r="A14" s="1"/>
      <c r="B14" s="18"/>
      <c r="C14" s="19" t="s">
        <v>86</v>
      </c>
      <c r="D14" s="22" t="s">
        <v>14</v>
      </c>
      <c r="E14" s="24"/>
      <c r="F14" s="53">
        <v>46297.0</v>
      </c>
      <c r="G14" s="30"/>
      <c r="H14" s="34">
        <v>50000.0</v>
      </c>
      <c r="I14" s="26" t="s">
        <v>28</v>
      </c>
      <c r="J14" s="26" t="s">
        <v>30</v>
      </c>
      <c r="K14" s="26" t="s">
        <v>31</v>
      </c>
      <c r="L14" s="26" t="s">
        <v>32</v>
      </c>
      <c r="M14" s="26" t="s">
        <v>65</v>
      </c>
      <c r="N14" s="43"/>
      <c r="O14" s="43"/>
      <c r="P14" s="43"/>
      <c r="Q14" s="1"/>
      <c r="R14" s="1"/>
    </row>
    <row r="15" ht="15.75" customHeight="1">
      <c r="A15" s="1"/>
      <c r="B15" s="18"/>
      <c r="C15" s="26" t="s">
        <v>100</v>
      </c>
      <c r="D15" s="22" t="s">
        <v>54</v>
      </c>
      <c r="E15" s="24"/>
      <c r="F15" s="53">
        <v>46297.0</v>
      </c>
      <c r="G15" s="30"/>
      <c r="H15" s="34">
        <v>40000.0</v>
      </c>
      <c r="I15" s="26" t="s">
        <v>28</v>
      </c>
      <c r="J15" s="17"/>
      <c r="K15" s="17"/>
      <c r="L15" s="26" t="s">
        <v>32</v>
      </c>
      <c r="M15" s="17"/>
      <c r="N15" s="43"/>
      <c r="O15" s="43"/>
      <c r="P15" s="43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6">
        <f>SUM(G3:G15)</f>
        <v>75000</v>
      </c>
      <c r="H16" s="67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0" t="s">
        <v>1</v>
      </c>
      <c r="C19" s="73" t="s">
        <v>7</v>
      </c>
      <c r="D19" s="73" t="s">
        <v>112</v>
      </c>
      <c r="E19" s="1"/>
      <c r="F19" s="1"/>
      <c r="G19" s="1"/>
      <c r="H19" s="1"/>
      <c r="I19" s="1"/>
      <c r="J19" s="1"/>
      <c r="K19" s="1"/>
      <c r="L19" s="1"/>
      <c r="M19" s="1"/>
      <c r="N19" s="73" t="s">
        <v>114</v>
      </c>
      <c r="O19" s="73" t="s">
        <v>2</v>
      </c>
      <c r="P19" s="1"/>
      <c r="Q19" s="1"/>
      <c r="R19" s="1"/>
    </row>
    <row r="20" ht="15.75" customHeight="1">
      <c r="A20" s="1"/>
      <c r="B20" s="74">
        <v>1.0</v>
      </c>
      <c r="C20" s="75" t="s">
        <v>115</v>
      </c>
      <c r="D20" s="76">
        <f>SUM(G16)</f>
        <v>75000</v>
      </c>
      <c r="E20" s="77"/>
      <c r="F20" s="1"/>
      <c r="G20" s="1"/>
      <c r="H20" s="1"/>
      <c r="I20" s="1"/>
      <c r="J20" s="1"/>
      <c r="K20" s="1"/>
      <c r="L20" s="1"/>
      <c r="N20" s="78" t="s">
        <v>119</v>
      </c>
      <c r="O20" s="79" t="s">
        <v>29</v>
      </c>
      <c r="P20" s="1"/>
      <c r="Q20" s="1"/>
      <c r="R20" s="1"/>
    </row>
    <row r="21" ht="15.75" customHeight="1">
      <c r="A21" s="1"/>
      <c r="B21" s="80">
        <v>2.0</v>
      </c>
      <c r="C21" s="82" t="s">
        <v>123</v>
      </c>
      <c r="D21" s="83">
        <v>-75000.0</v>
      </c>
      <c r="E21" s="77"/>
      <c r="F21" s="1"/>
      <c r="G21" s="1"/>
      <c r="H21" s="1"/>
      <c r="I21" s="1"/>
      <c r="J21" s="1"/>
      <c r="K21" s="1"/>
      <c r="L21" s="1"/>
      <c r="N21" s="84" t="s">
        <v>125</v>
      </c>
      <c r="O21" s="85" t="s">
        <v>32</v>
      </c>
      <c r="P21" s="1"/>
      <c r="Q21" s="1"/>
      <c r="R21" s="1"/>
    </row>
    <row r="22" ht="15.75" customHeight="1">
      <c r="A22" s="1"/>
      <c r="B22" s="74">
        <v>3.0</v>
      </c>
      <c r="C22" s="89"/>
      <c r="D22" s="90"/>
      <c r="E22" s="77"/>
      <c r="F22" s="1"/>
      <c r="G22" s="1"/>
      <c r="H22" s="1"/>
      <c r="I22" s="1"/>
      <c r="J22" s="1"/>
      <c r="K22" s="1"/>
      <c r="L22" s="1"/>
      <c r="M22" s="1"/>
      <c r="N22" s="91" t="s">
        <v>128</v>
      </c>
      <c r="O22" s="92" t="s">
        <v>46</v>
      </c>
      <c r="P22" s="1"/>
      <c r="Q22" s="1"/>
      <c r="R22" s="1"/>
    </row>
    <row r="23" ht="15.75" customHeight="1">
      <c r="A23" s="1"/>
      <c r="B23" s="80">
        <v>4.0</v>
      </c>
      <c r="C23" s="86"/>
      <c r="D23" s="87"/>
      <c r="E23" s="77"/>
      <c r="F23" s="1"/>
      <c r="G23" s="1"/>
      <c r="H23" s="1"/>
      <c r="I23" s="1"/>
      <c r="J23" s="1"/>
      <c r="K23" s="1"/>
      <c r="L23" s="1"/>
      <c r="M23" s="1"/>
      <c r="N23" s="93" t="s">
        <v>131</v>
      </c>
      <c r="O23" s="85" t="s">
        <v>65</v>
      </c>
      <c r="P23" s="1"/>
      <c r="Q23" s="1"/>
      <c r="R23" s="1"/>
    </row>
    <row r="24" ht="15.75" customHeight="1">
      <c r="A24" s="1"/>
      <c r="B24" s="74">
        <v>5.0</v>
      </c>
      <c r="C24" s="89"/>
      <c r="D24" s="90"/>
      <c r="E24" s="77"/>
      <c r="F24" s="1"/>
      <c r="G24" s="1"/>
      <c r="H24" s="1"/>
      <c r="I24" s="1"/>
      <c r="J24" s="1"/>
      <c r="K24" s="1"/>
      <c r="L24" s="1"/>
      <c r="M24" s="1"/>
      <c r="N24" s="97"/>
      <c r="O24" s="1"/>
      <c r="P24" s="1"/>
      <c r="Q24" s="1"/>
      <c r="R24" s="1"/>
    </row>
    <row r="25" ht="15.75" customHeight="1">
      <c r="A25" s="1"/>
      <c r="B25" s="80">
        <v>6.0</v>
      </c>
      <c r="C25" s="86"/>
      <c r="D25" s="87"/>
      <c r="E25" s="77"/>
      <c r="F25" s="96"/>
      <c r="G25" s="1"/>
      <c r="H25" s="1"/>
      <c r="I25" s="1"/>
      <c r="J25" s="1"/>
      <c r="K25" s="98" t="s">
        <v>134</v>
      </c>
      <c r="Q25" s="1"/>
      <c r="R25" s="1"/>
    </row>
    <row r="26" ht="15.75" customHeight="1">
      <c r="A26" s="1"/>
      <c r="B26" s="74">
        <v>7.0</v>
      </c>
      <c r="C26" s="75"/>
      <c r="D26" s="76"/>
      <c r="E26" s="77"/>
      <c r="F26" s="96"/>
      <c r="G26" s="1"/>
      <c r="H26" s="1"/>
      <c r="I26" s="1"/>
      <c r="J26" s="1"/>
      <c r="K26" s="99" t="s">
        <v>2</v>
      </c>
      <c r="L26" s="99" t="s">
        <v>137</v>
      </c>
      <c r="M26" s="99" t="s">
        <v>138</v>
      </c>
      <c r="N26" s="99" t="s">
        <v>139</v>
      </c>
      <c r="O26" s="99" t="s">
        <v>140</v>
      </c>
      <c r="P26" s="99" t="s">
        <v>141</v>
      </c>
      <c r="Q26" s="1"/>
      <c r="R26" s="1"/>
      <c r="AC26" s="100" t="s">
        <v>143</v>
      </c>
      <c r="AD26" s="100" t="s">
        <v>144</v>
      </c>
      <c r="AE26" s="100" t="s">
        <v>145</v>
      </c>
      <c r="AF26" s="100" t="s">
        <v>146</v>
      </c>
      <c r="AG26" s="100" t="s">
        <v>148</v>
      </c>
    </row>
    <row r="27" ht="15.75" customHeight="1">
      <c r="A27" s="1"/>
      <c r="B27" s="80">
        <v>8.0</v>
      </c>
      <c r="C27" s="94"/>
      <c r="D27" s="95"/>
      <c r="E27" s="77"/>
      <c r="F27" s="1"/>
      <c r="G27" s="1"/>
      <c r="H27" s="1"/>
      <c r="I27" s="1"/>
      <c r="J27" s="1"/>
      <c r="K27" s="102" t="str">
        <f t="shared" ref="K27:K30" si="1">IF(O20="","",O20)</f>
        <v>AMEL</v>
      </c>
      <c r="L27" s="103">
        <v>5.0</v>
      </c>
      <c r="M27" s="103">
        <v>5.0</v>
      </c>
      <c r="N27" s="103">
        <v>5.0</v>
      </c>
      <c r="O27" s="103">
        <v>5.0</v>
      </c>
      <c r="P27" s="103">
        <v>5.0</v>
      </c>
      <c r="Q27" s="1"/>
      <c r="R27" s="1"/>
      <c r="AC27" s="100">
        <f t="shared" ref="AC27:AC32" si="2">IF(AG27="","",IF(COUNT(L27:P27)&lt;5,"",L27/5*20+M27/5*25+N27/5*25+O27/5*15+P27/5*15))</f>
        <v>100</v>
      </c>
      <c r="AD27" s="100" t="str">
        <f t="shared" ref="AD27:AD32" si="3">IF(AC27="","",IF(AC27&gt;=90,"Sangat Baik",IF(AC27&gt;=80,"Baik",IF(AC27&gt;=70,"Coaching","Underperform"))))</f>
        <v>Sangat Baik</v>
      </c>
      <c r="AE27" s="100" t="str">
        <f t="shared" ref="AE27:AE32" si="4">IF(AG27="","",IF(OR(AG27="INDAH",AG27="ADDEL",AG27="AMEL",AG27="PENTIL",AG27="JIJANG"),"Admin/CS","Fotografer"))</f>
        <v>Admin/CS</v>
      </c>
      <c r="AF27" s="100">
        <f t="shared" ref="AF27:AF32" si="5">IF(OR(AG27="",COUNT(L27:P27)&lt;5),"",1)</f>
        <v>1</v>
      </c>
      <c r="AG27" s="100" t="str">
        <f t="shared" ref="AG27:AG32" si="6">IFERROR(K27,"")</f>
        <v>AMEL</v>
      </c>
    </row>
    <row r="28" ht="15.75" customHeight="1">
      <c r="A28" s="1"/>
      <c r="B28" s="74">
        <v>9.0</v>
      </c>
      <c r="C28" s="75"/>
      <c r="D28" s="76"/>
      <c r="E28" s="77"/>
      <c r="F28" s="1"/>
      <c r="G28" s="1"/>
      <c r="H28" s="1"/>
      <c r="I28" s="1"/>
      <c r="J28" s="1"/>
      <c r="K28" s="102" t="str">
        <f t="shared" si="1"/>
        <v>INDAH</v>
      </c>
      <c r="L28" s="103">
        <v>5.0</v>
      </c>
      <c r="M28" s="103">
        <v>5.0</v>
      </c>
      <c r="N28" s="103">
        <v>5.0</v>
      </c>
      <c r="O28" s="103">
        <v>5.0</v>
      </c>
      <c r="P28" s="103">
        <v>5.0</v>
      </c>
      <c r="Q28" s="1"/>
      <c r="R28" s="1"/>
      <c r="AC28" s="100">
        <f t="shared" si="2"/>
        <v>100</v>
      </c>
      <c r="AD28" s="100" t="str">
        <f t="shared" si="3"/>
        <v>Sangat Baik</v>
      </c>
      <c r="AE28" s="100" t="str">
        <f t="shared" si="4"/>
        <v>Admin/CS</v>
      </c>
      <c r="AF28" s="100">
        <f t="shared" si="5"/>
        <v>1</v>
      </c>
      <c r="AG28" s="100" t="str">
        <f t="shared" si="6"/>
        <v>INDAH</v>
      </c>
    </row>
    <row r="29" ht="15.75" customHeight="1">
      <c r="A29" s="1"/>
      <c r="B29" s="80">
        <v>10.0</v>
      </c>
      <c r="C29" s="94"/>
      <c r="D29" s="95"/>
      <c r="E29" s="77"/>
      <c r="F29" s="1"/>
      <c r="G29" s="1"/>
      <c r="H29" s="1"/>
      <c r="I29" s="1"/>
      <c r="J29" s="1"/>
      <c r="K29" s="102" t="str">
        <f t="shared" si="1"/>
        <v>ADIF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1"/>
      <c r="R29" s="1"/>
      <c r="AC29" s="100">
        <f t="shared" si="2"/>
        <v>100</v>
      </c>
      <c r="AD29" s="100" t="str">
        <f t="shared" si="3"/>
        <v>Sangat Baik</v>
      </c>
      <c r="AE29" s="100" t="str">
        <f t="shared" si="4"/>
        <v>Fotografer</v>
      </c>
      <c r="AF29" s="100">
        <f t="shared" si="5"/>
        <v>1</v>
      </c>
      <c r="AG29" s="100" t="str">
        <f t="shared" si="6"/>
        <v>ADIF</v>
      </c>
    </row>
    <row r="30" ht="15.75" customHeight="1">
      <c r="A30" s="1"/>
      <c r="B30" s="110">
        <v>11.0</v>
      </c>
      <c r="C30" s="111"/>
      <c r="D30" s="112"/>
      <c r="E30" s="77"/>
      <c r="F30" s="1"/>
      <c r="G30" s="1"/>
      <c r="H30" s="1"/>
      <c r="I30" s="1"/>
      <c r="J30" s="1"/>
      <c r="K30" s="102" t="str">
        <f t="shared" si="1"/>
        <v>SAKA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1"/>
      <c r="R30" s="1"/>
      <c r="AC30" s="100">
        <f t="shared" si="2"/>
        <v>100</v>
      </c>
      <c r="AD30" s="100" t="str">
        <f t="shared" si="3"/>
        <v>Sangat Baik</v>
      </c>
      <c r="AE30" s="100" t="str">
        <f t="shared" si="4"/>
        <v>Fotografer</v>
      </c>
      <c r="AF30" s="100">
        <f t="shared" si="5"/>
        <v>1</v>
      </c>
      <c r="AG30" s="100" t="str">
        <f t="shared" si="6"/>
        <v>SAKA</v>
      </c>
    </row>
    <row r="31" ht="15.75" customHeight="1">
      <c r="A31" s="1"/>
      <c r="B31" s="1"/>
      <c r="C31" s="3"/>
      <c r="D31" s="115">
        <f>SUM(D20:D30)</f>
        <v>0</v>
      </c>
      <c r="E31" s="1"/>
      <c r="F31" s="1"/>
      <c r="G31" s="1"/>
      <c r="H31" s="1"/>
      <c r="I31" s="1"/>
      <c r="J31" s="1"/>
      <c r="K31" s="102"/>
      <c r="L31" s="117"/>
      <c r="M31" s="117"/>
      <c r="N31" s="117"/>
      <c r="O31" s="117"/>
      <c r="P31" s="117"/>
      <c r="Q31" s="1"/>
      <c r="R31" s="1"/>
      <c r="AC31" s="100" t="str">
        <f t="shared" si="2"/>
        <v/>
      </c>
      <c r="AD31" s="100" t="str">
        <f t="shared" si="3"/>
        <v/>
      </c>
      <c r="AE31" s="100" t="str">
        <f t="shared" si="4"/>
        <v/>
      </c>
      <c r="AF31" s="100" t="str">
        <f t="shared" si="5"/>
        <v/>
      </c>
      <c r="AG31" s="100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2"/>
      <c r="L32" s="117"/>
      <c r="M32" s="117"/>
      <c r="N32" s="117"/>
      <c r="O32" s="117"/>
      <c r="P32" s="117"/>
      <c r="Q32" s="1"/>
      <c r="R32" s="1"/>
      <c r="AC32" s="100" t="str">
        <f t="shared" si="2"/>
        <v/>
      </c>
      <c r="AD32" s="100" t="str">
        <f t="shared" si="3"/>
        <v/>
      </c>
      <c r="AE32" s="100" t="str">
        <f t="shared" si="4"/>
        <v/>
      </c>
      <c r="AF32" s="100" t="str">
        <f t="shared" si="5"/>
        <v/>
      </c>
      <c r="AG32" s="100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186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187</v>
      </c>
      <c r="N35" s="1"/>
      <c r="O35" s="1"/>
      <c r="P35" s="1"/>
      <c r="Q35" s="1"/>
      <c r="R35" s="1"/>
    </row>
    <row r="36" ht="15.75" customHeight="1">
      <c r="K36" s="121" t="s">
        <v>8</v>
      </c>
      <c r="L36" s="121" t="s">
        <v>189</v>
      </c>
      <c r="M36" s="121" t="s">
        <v>190</v>
      </c>
    </row>
    <row r="37" ht="15.75" customHeight="1">
      <c r="K37" s="123" t="str">
        <f t="shared" ref="K37:K38" si="7">IF(O20="","",O20)</f>
        <v>AMEL</v>
      </c>
      <c r="L37" s="124">
        <v>3.0</v>
      </c>
      <c r="M37" s="127"/>
    </row>
    <row r="38" ht="15.75" customHeight="1">
      <c r="K38" s="123" t="str">
        <f t="shared" si="7"/>
        <v>INDAH</v>
      </c>
      <c r="L38" s="124">
        <v>2.0</v>
      </c>
      <c r="M38" s="127"/>
    </row>
    <row r="39" ht="15.75" customHeight="1"/>
    <row r="40" ht="19.5" customHeight="1">
      <c r="K40" s="129" t="s">
        <v>194</v>
      </c>
    </row>
    <row r="41" ht="19.5" customHeight="1">
      <c r="K41" s="130" t="s">
        <v>196</v>
      </c>
      <c r="M41" s="124">
        <v>39.0</v>
      </c>
    </row>
    <row r="42" ht="19.5" customHeight="1">
      <c r="K42" s="131" t="s">
        <v>197</v>
      </c>
      <c r="M42" s="132">
        <f>COUNTIF($I$4:$I$18,"DP")</f>
        <v>4</v>
      </c>
    </row>
    <row r="43" ht="19.5" customHeight="1">
      <c r="K43" s="131" t="s">
        <v>199</v>
      </c>
      <c r="M43" s="132">
        <f>COUNTIFS($I$4:$I$18,"&lt;&gt;DP",$I$4:$I$18,"&lt;&gt;")</f>
        <v>8</v>
      </c>
    </row>
    <row r="44" ht="19.5" customHeight="1">
      <c r="K44" s="133" t="s">
        <v>201</v>
      </c>
      <c r="M44" s="132">
        <f>M42+M43</f>
        <v>12</v>
      </c>
    </row>
    <row r="45" ht="19.5" customHeight="1">
      <c r="K45" s="130" t="s">
        <v>202</v>
      </c>
      <c r="M45" s="134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1" t="s">
        <v>21</v>
      </c>
      <c r="D4" s="21" t="s">
        <v>23</v>
      </c>
      <c r="E4" s="24"/>
      <c r="F4" s="26" t="s">
        <v>25</v>
      </c>
      <c r="G4" s="27"/>
      <c r="H4" s="29">
        <v>100000.0</v>
      </c>
      <c r="I4" s="33" t="s">
        <v>27</v>
      </c>
      <c r="J4" s="18"/>
      <c r="K4" s="18"/>
      <c r="L4" s="33" t="s">
        <v>29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1" t="s">
        <v>33</v>
      </c>
      <c r="D5" s="21" t="s">
        <v>23</v>
      </c>
      <c r="E5" s="24"/>
      <c r="F5" s="26" t="s">
        <v>38</v>
      </c>
      <c r="G5" s="27"/>
      <c r="H5" s="29">
        <v>100000.0</v>
      </c>
      <c r="I5" s="33" t="s">
        <v>27</v>
      </c>
      <c r="J5" s="18"/>
      <c r="K5" s="18"/>
      <c r="L5" s="33" t="s">
        <v>29</v>
      </c>
      <c r="M5" s="18"/>
      <c r="N5" s="35"/>
      <c r="O5" s="35"/>
      <c r="P5" s="36"/>
      <c r="Q5" s="1"/>
      <c r="R5" s="1"/>
    </row>
    <row r="6" ht="15.75" customHeight="1">
      <c r="A6" s="1"/>
      <c r="B6" s="18">
        <v>3.0</v>
      </c>
      <c r="C6" s="21" t="s">
        <v>45</v>
      </c>
      <c r="D6" s="21" t="s">
        <v>23</v>
      </c>
      <c r="E6" s="24"/>
      <c r="F6" s="26" t="s">
        <v>42</v>
      </c>
      <c r="G6" s="27"/>
      <c r="H6" s="29">
        <v>250000.0</v>
      </c>
      <c r="I6" s="33" t="s">
        <v>28</v>
      </c>
      <c r="J6" s="33" t="s">
        <v>30</v>
      </c>
      <c r="K6" s="33" t="s">
        <v>31</v>
      </c>
      <c r="L6" s="33" t="s">
        <v>29</v>
      </c>
      <c r="M6" s="33" t="s">
        <v>46</v>
      </c>
      <c r="N6" s="35"/>
      <c r="O6" s="35"/>
      <c r="P6" s="36"/>
      <c r="Q6" s="1"/>
      <c r="R6" s="1"/>
    </row>
    <row r="7" ht="15.75" customHeight="1">
      <c r="A7" s="1"/>
      <c r="B7" s="18">
        <v>4.0</v>
      </c>
      <c r="C7" s="21" t="s">
        <v>52</v>
      </c>
      <c r="D7" s="21" t="s">
        <v>23</v>
      </c>
      <c r="E7" s="24"/>
      <c r="F7" s="26" t="s">
        <v>42</v>
      </c>
      <c r="G7" s="46">
        <v>250000.0</v>
      </c>
      <c r="H7" s="47"/>
      <c r="I7" s="33" t="s">
        <v>28</v>
      </c>
      <c r="J7" s="33" t="s">
        <v>30</v>
      </c>
      <c r="K7" s="33" t="s">
        <v>31</v>
      </c>
      <c r="L7" s="33" t="s">
        <v>29</v>
      </c>
      <c r="M7" s="33" t="s">
        <v>59</v>
      </c>
      <c r="N7" s="35"/>
      <c r="O7" s="35"/>
      <c r="P7" s="36"/>
      <c r="Q7" s="1"/>
      <c r="R7" s="1"/>
    </row>
    <row r="8" ht="15.75" customHeight="1">
      <c r="A8" s="1"/>
      <c r="B8" s="18">
        <v>5.0</v>
      </c>
      <c r="C8" s="21" t="s">
        <v>61</v>
      </c>
      <c r="D8" s="21" t="s">
        <v>24</v>
      </c>
      <c r="E8" s="24"/>
      <c r="F8" s="26" t="s">
        <v>42</v>
      </c>
      <c r="G8" s="46">
        <v>400000.0</v>
      </c>
      <c r="H8" s="47"/>
      <c r="I8" s="33" t="s">
        <v>28</v>
      </c>
      <c r="J8" s="33" t="s">
        <v>30</v>
      </c>
      <c r="K8" s="33" t="s">
        <v>31</v>
      </c>
      <c r="L8" s="33" t="s">
        <v>29</v>
      </c>
      <c r="M8" s="33" t="s">
        <v>65</v>
      </c>
      <c r="N8" s="35"/>
      <c r="O8" s="35"/>
      <c r="P8" s="36"/>
      <c r="Q8" s="1"/>
      <c r="R8" s="1"/>
    </row>
    <row r="9" ht="15.75" customHeight="1">
      <c r="A9" s="1"/>
      <c r="B9" s="18">
        <v>6.0</v>
      </c>
      <c r="C9" s="51" t="s">
        <v>69</v>
      </c>
      <c r="D9" s="21" t="s">
        <v>23</v>
      </c>
      <c r="E9" s="24"/>
      <c r="F9" s="26" t="s">
        <v>42</v>
      </c>
      <c r="G9" s="46">
        <v>250000.0</v>
      </c>
      <c r="H9" s="47"/>
      <c r="I9" s="33" t="s">
        <v>28</v>
      </c>
      <c r="J9" s="33" t="s">
        <v>30</v>
      </c>
      <c r="K9" s="18"/>
      <c r="L9" s="33" t="s">
        <v>29</v>
      </c>
      <c r="M9" s="33" t="s">
        <v>46</v>
      </c>
      <c r="N9" s="35"/>
      <c r="O9" s="35"/>
      <c r="P9" s="36"/>
      <c r="Q9" s="1"/>
      <c r="R9" s="1"/>
    </row>
    <row r="10" ht="15.75" customHeight="1">
      <c r="A10" s="1"/>
      <c r="B10" s="18">
        <v>7.0</v>
      </c>
      <c r="C10" s="54" t="s">
        <v>74</v>
      </c>
      <c r="D10" s="21" t="s">
        <v>24</v>
      </c>
      <c r="E10" s="24"/>
      <c r="F10" s="17"/>
      <c r="G10" s="46">
        <v>400000.0</v>
      </c>
      <c r="H10" s="47"/>
      <c r="I10" s="33" t="s">
        <v>28</v>
      </c>
      <c r="J10" s="33" t="s">
        <v>30</v>
      </c>
      <c r="K10" s="18"/>
      <c r="L10" s="18"/>
      <c r="M10" s="33" t="s">
        <v>59</v>
      </c>
      <c r="N10" s="35"/>
      <c r="O10" s="35"/>
      <c r="P10" s="36"/>
      <c r="Q10" s="1"/>
      <c r="R10" s="1"/>
    </row>
    <row r="11" ht="15.75" customHeight="1">
      <c r="A11" s="1"/>
      <c r="B11" s="18">
        <v>8.0</v>
      </c>
      <c r="C11" s="21" t="s">
        <v>78</v>
      </c>
      <c r="D11" s="21" t="s">
        <v>23</v>
      </c>
      <c r="E11" s="24"/>
      <c r="F11" s="17"/>
      <c r="G11" s="46">
        <v>290000.0</v>
      </c>
      <c r="H11" s="47"/>
      <c r="I11" s="33" t="s">
        <v>28</v>
      </c>
      <c r="J11" s="18"/>
      <c r="K11" s="18"/>
      <c r="L11" s="18"/>
      <c r="M11" s="33" t="s">
        <v>59</v>
      </c>
      <c r="N11" s="35"/>
      <c r="O11" s="35"/>
      <c r="P11" s="36"/>
      <c r="Q11" s="1"/>
      <c r="R11" s="1"/>
    </row>
    <row r="12" ht="15.75" customHeight="1">
      <c r="A12" s="1"/>
      <c r="B12" s="18">
        <v>9.0</v>
      </c>
      <c r="C12" s="21" t="s">
        <v>82</v>
      </c>
      <c r="D12" s="21" t="s">
        <v>23</v>
      </c>
      <c r="E12" s="24"/>
      <c r="F12" s="17"/>
      <c r="G12" s="46">
        <v>350000.0</v>
      </c>
      <c r="H12" s="47"/>
      <c r="I12" s="33" t="s">
        <v>28</v>
      </c>
      <c r="J12" s="18"/>
      <c r="K12" s="18"/>
      <c r="L12" s="18"/>
      <c r="M12" s="33" t="s">
        <v>46</v>
      </c>
      <c r="N12" s="35"/>
      <c r="O12" s="35"/>
      <c r="P12" s="36"/>
      <c r="Q12" s="1"/>
      <c r="R12" s="1"/>
    </row>
    <row r="13" ht="15.75" customHeight="1">
      <c r="A13" s="1"/>
      <c r="B13" s="18">
        <v>10.0</v>
      </c>
      <c r="C13" s="21" t="s">
        <v>85</v>
      </c>
      <c r="D13" s="21" t="s">
        <v>23</v>
      </c>
      <c r="E13" s="24"/>
      <c r="F13" s="17"/>
      <c r="G13" s="46">
        <v>250000.0</v>
      </c>
      <c r="H13" s="47"/>
      <c r="I13" s="33" t="s">
        <v>28</v>
      </c>
      <c r="J13" s="18"/>
      <c r="K13" s="18"/>
      <c r="L13" s="18"/>
      <c r="M13" s="33" t="s">
        <v>87</v>
      </c>
      <c r="N13" s="35"/>
      <c r="O13" s="35"/>
      <c r="P13" s="36"/>
      <c r="Q13" s="1"/>
      <c r="R13" s="1"/>
    </row>
    <row r="14" ht="15.75" customHeight="1">
      <c r="A14" s="1"/>
      <c r="B14" s="18">
        <v>11.0</v>
      </c>
      <c r="C14" s="21" t="s">
        <v>91</v>
      </c>
      <c r="D14" s="21" t="s">
        <v>23</v>
      </c>
      <c r="E14" s="24"/>
      <c r="F14" s="17"/>
      <c r="G14" s="46"/>
      <c r="H14" s="29">
        <v>310000.0</v>
      </c>
      <c r="I14" s="33" t="s">
        <v>28</v>
      </c>
      <c r="J14" s="18"/>
      <c r="K14" s="18"/>
      <c r="L14" s="18"/>
      <c r="M14" s="33" t="s">
        <v>65</v>
      </c>
      <c r="N14" s="35"/>
      <c r="O14" s="35"/>
      <c r="P14" s="36"/>
      <c r="Q14" s="1"/>
      <c r="R14" s="1"/>
    </row>
    <row r="15" ht="15.75" customHeight="1">
      <c r="A15" s="1"/>
      <c r="B15" s="18">
        <v>12.0</v>
      </c>
      <c r="C15" s="60" t="s">
        <v>95</v>
      </c>
      <c r="D15" s="21" t="s">
        <v>23</v>
      </c>
      <c r="E15" s="24"/>
      <c r="F15" s="17"/>
      <c r="G15" s="27"/>
      <c r="H15" s="29">
        <v>290000.0</v>
      </c>
      <c r="I15" s="33" t="s">
        <v>28</v>
      </c>
      <c r="J15" s="33" t="s">
        <v>30</v>
      </c>
      <c r="K15" s="33" t="s">
        <v>31</v>
      </c>
      <c r="L15" s="18"/>
      <c r="M15" s="33" t="s">
        <v>59</v>
      </c>
      <c r="N15" s="35"/>
      <c r="O15" s="35"/>
      <c r="P15" s="36"/>
      <c r="Q15" s="1"/>
      <c r="R15" s="1"/>
    </row>
    <row r="16" ht="15.75" customHeight="1">
      <c r="A16" s="1"/>
      <c r="B16" s="18">
        <v>13.0</v>
      </c>
      <c r="C16" s="21" t="s">
        <v>98</v>
      </c>
      <c r="D16" s="21" t="s">
        <v>23</v>
      </c>
      <c r="E16" s="24"/>
      <c r="F16" s="17"/>
      <c r="G16" s="27"/>
      <c r="H16" s="29">
        <v>250000.0</v>
      </c>
      <c r="I16" s="33" t="s">
        <v>28</v>
      </c>
      <c r="J16" s="33" t="s">
        <v>30</v>
      </c>
      <c r="K16" s="33" t="s">
        <v>31</v>
      </c>
      <c r="L16" s="18"/>
      <c r="M16" s="33" t="s">
        <v>87</v>
      </c>
      <c r="N16" s="35"/>
      <c r="O16" s="35"/>
      <c r="P16" s="36"/>
      <c r="Q16" s="1"/>
      <c r="R16" s="1"/>
    </row>
    <row r="17" ht="15.75" customHeight="1">
      <c r="A17" s="1"/>
      <c r="B17" s="18">
        <v>14.0</v>
      </c>
      <c r="C17" s="21" t="s">
        <v>102</v>
      </c>
      <c r="D17" s="21" t="s">
        <v>24</v>
      </c>
      <c r="E17" s="24"/>
      <c r="F17" s="17"/>
      <c r="G17" s="27"/>
      <c r="H17" s="29">
        <v>450000.0</v>
      </c>
      <c r="I17" s="33" t="s">
        <v>28</v>
      </c>
      <c r="J17" s="33" t="s">
        <v>30</v>
      </c>
      <c r="K17" s="33" t="s">
        <v>31</v>
      </c>
      <c r="L17" s="18"/>
      <c r="M17" s="33" t="s">
        <v>59</v>
      </c>
      <c r="N17" s="35"/>
      <c r="O17" s="35"/>
      <c r="P17" s="36"/>
      <c r="Q17" s="1"/>
      <c r="R17" s="1"/>
    </row>
    <row r="18" ht="15.75" customHeight="1">
      <c r="A18" s="1"/>
      <c r="B18" s="18">
        <v>15.0</v>
      </c>
      <c r="C18" s="21" t="s">
        <v>105</v>
      </c>
      <c r="D18" s="21" t="s">
        <v>23</v>
      </c>
      <c r="E18" s="24"/>
      <c r="F18" s="17"/>
      <c r="G18" s="46">
        <v>250000.0</v>
      </c>
      <c r="H18" s="47"/>
      <c r="I18" s="33" t="s">
        <v>28</v>
      </c>
      <c r="J18" s="18"/>
      <c r="K18" s="18"/>
      <c r="L18" s="18"/>
      <c r="M18" s="33" t="s">
        <v>46</v>
      </c>
      <c r="N18" s="35"/>
      <c r="O18" s="35"/>
      <c r="P18" s="36"/>
      <c r="Q18" s="1"/>
      <c r="R18" s="1"/>
    </row>
    <row r="19" ht="15.75" customHeight="1">
      <c r="A19" s="1"/>
      <c r="B19" s="18">
        <v>16.0</v>
      </c>
      <c r="C19" s="21" t="s">
        <v>106</v>
      </c>
      <c r="D19" s="21" t="s">
        <v>23</v>
      </c>
      <c r="E19" s="24"/>
      <c r="F19" s="26" t="s">
        <v>42</v>
      </c>
      <c r="G19" s="46">
        <v>290000.0</v>
      </c>
      <c r="H19" s="47"/>
      <c r="I19" s="33" t="s">
        <v>28</v>
      </c>
      <c r="J19" s="33" t="s">
        <v>30</v>
      </c>
      <c r="K19" s="33" t="s">
        <v>31</v>
      </c>
      <c r="L19" s="18"/>
      <c r="M19" s="33" t="s">
        <v>65</v>
      </c>
      <c r="N19" s="35"/>
      <c r="O19" s="35"/>
      <c r="P19" s="36"/>
      <c r="Q19" s="1"/>
      <c r="R19" s="1"/>
    </row>
    <row r="20" ht="15.75" customHeight="1">
      <c r="A20" s="1"/>
      <c r="B20" s="18">
        <v>17.0</v>
      </c>
      <c r="C20" s="68" t="s">
        <v>108</v>
      </c>
      <c r="D20" s="21" t="s">
        <v>23</v>
      </c>
      <c r="E20" s="24"/>
      <c r="F20" s="17"/>
      <c r="G20" s="27"/>
      <c r="H20" s="29">
        <v>260000.0</v>
      </c>
      <c r="I20" s="33" t="s">
        <v>28</v>
      </c>
      <c r="J20" s="18"/>
      <c r="K20" s="18"/>
      <c r="L20" s="18"/>
      <c r="M20" s="33" t="s">
        <v>87</v>
      </c>
      <c r="N20" s="35"/>
      <c r="O20" s="35"/>
      <c r="P20" s="36"/>
      <c r="Q20" s="1"/>
      <c r="R20" s="1"/>
    </row>
    <row r="21" ht="15.75" customHeight="1">
      <c r="A21" s="1"/>
      <c r="B21" s="18">
        <v>18.0</v>
      </c>
      <c r="C21" s="21" t="s">
        <v>110</v>
      </c>
      <c r="D21" s="21" t="s">
        <v>23</v>
      </c>
      <c r="E21" s="24"/>
      <c r="G21" s="27"/>
      <c r="H21" s="29">
        <v>250000.0</v>
      </c>
      <c r="I21" s="33" t="s">
        <v>28</v>
      </c>
      <c r="J21" s="18"/>
      <c r="K21" s="18"/>
      <c r="L21" s="18"/>
      <c r="M21" s="33" t="s">
        <v>46</v>
      </c>
      <c r="N21" s="35"/>
      <c r="O21" s="35"/>
      <c r="P21" s="36"/>
      <c r="Q21" s="1"/>
      <c r="R21" s="1"/>
    </row>
    <row r="22" ht="15.75" customHeight="1">
      <c r="A22" s="1"/>
      <c r="B22" s="18">
        <v>19.0</v>
      </c>
      <c r="C22" s="61" t="s">
        <v>113</v>
      </c>
      <c r="D22" s="21" t="s">
        <v>24</v>
      </c>
      <c r="E22" s="24"/>
      <c r="F22" s="17"/>
      <c r="G22" s="27"/>
      <c r="H22" s="29">
        <v>440000.0</v>
      </c>
      <c r="I22" s="33" t="s">
        <v>28</v>
      </c>
      <c r="J22" s="18"/>
      <c r="K22" s="18"/>
      <c r="L22" s="18"/>
      <c r="M22" s="33" t="s">
        <v>65</v>
      </c>
      <c r="N22" s="35"/>
      <c r="O22" s="35"/>
      <c r="P22" s="36"/>
      <c r="Q22" s="1"/>
      <c r="R22" s="1"/>
    </row>
    <row r="23" ht="15.75" customHeight="1">
      <c r="A23" s="1"/>
      <c r="B23" s="18">
        <v>20.0</v>
      </c>
      <c r="C23" s="21" t="s">
        <v>117</v>
      </c>
      <c r="D23" s="21" t="s">
        <v>23</v>
      </c>
      <c r="E23" s="24"/>
      <c r="F23" s="17"/>
      <c r="G23" s="46">
        <v>290000.0</v>
      </c>
      <c r="H23" s="47"/>
      <c r="I23" s="33" t="s">
        <v>28</v>
      </c>
      <c r="J23" s="18"/>
      <c r="K23" s="18"/>
      <c r="L23" s="18"/>
      <c r="M23" s="33" t="s">
        <v>59</v>
      </c>
      <c r="N23" s="35"/>
      <c r="O23" s="35"/>
      <c r="P23" s="36"/>
      <c r="Q23" s="1"/>
      <c r="R23" s="1"/>
    </row>
    <row r="24" ht="15.75" customHeight="1">
      <c r="A24" s="1"/>
      <c r="B24" s="18">
        <v>21.0</v>
      </c>
      <c r="C24" s="21" t="s">
        <v>120</v>
      </c>
      <c r="D24" s="21" t="s">
        <v>23</v>
      </c>
      <c r="E24" s="24"/>
      <c r="F24" s="17"/>
      <c r="G24" s="27"/>
      <c r="H24" s="29">
        <v>570000.0</v>
      </c>
      <c r="I24" s="33" t="s">
        <v>28</v>
      </c>
      <c r="J24" s="18"/>
      <c r="K24" s="18"/>
      <c r="L24" s="18"/>
      <c r="M24" s="33" t="s">
        <v>46</v>
      </c>
      <c r="N24" s="35"/>
      <c r="O24" s="35"/>
      <c r="P24" s="36"/>
      <c r="Q24" s="1"/>
      <c r="R24" s="1"/>
    </row>
    <row r="25" ht="15.75" customHeight="1">
      <c r="A25" s="1"/>
      <c r="B25" s="18">
        <v>22.0</v>
      </c>
      <c r="C25" s="21" t="s">
        <v>121</v>
      </c>
      <c r="D25" s="21" t="s">
        <v>23</v>
      </c>
      <c r="E25" s="24"/>
      <c r="F25" s="17"/>
      <c r="G25" s="27"/>
      <c r="H25" s="29">
        <v>330000.0</v>
      </c>
      <c r="I25" s="33" t="s">
        <v>28</v>
      </c>
      <c r="J25" s="18"/>
      <c r="K25" s="18"/>
      <c r="L25" s="18"/>
      <c r="M25" s="33" t="s">
        <v>46</v>
      </c>
      <c r="N25" s="35"/>
      <c r="O25" s="35"/>
      <c r="P25" s="36"/>
      <c r="Q25" s="1"/>
      <c r="R25" s="1"/>
    </row>
    <row r="26" ht="15.75" customHeight="1">
      <c r="A26" s="1"/>
      <c r="B26" s="18">
        <v>23.0</v>
      </c>
      <c r="C26" s="21" t="s">
        <v>124</v>
      </c>
      <c r="D26" s="21" t="s">
        <v>23</v>
      </c>
      <c r="E26" s="24"/>
      <c r="F26" s="17"/>
      <c r="G26" s="27"/>
      <c r="H26" s="29">
        <v>290000.0</v>
      </c>
      <c r="I26" s="33" t="s">
        <v>28</v>
      </c>
      <c r="J26" s="33" t="s">
        <v>30</v>
      </c>
      <c r="K26" s="18"/>
      <c r="L26" s="18"/>
      <c r="M26" s="33" t="s">
        <v>65</v>
      </c>
      <c r="N26" s="35"/>
      <c r="O26" s="35"/>
      <c r="P26" s="36"/>
      <c r="Q26" s="1"/>
      <c r="R26" s="1"/>
    </row>
    <row r="27" ht="15.75" customHeight="1">
      <c r="A27" s="1"/>
      <c r="B27" s="18">
        <v>24.0</v>
      </c>
      <c r="C27" s="21" t="s">
        <v>127</v>
      </c>
      <c r="D27" s="21" t="s">
        <v>49</v>
      </c>
      <c r="E27" s="24"/>
      <c r="F27" s="53">
        <v>46299.0</v>
      </c>
      <c r="G27" s="27"/>
      <c r="H27" s="29">
        <v>100000.0</v>
      </c>
      <c r="I27" s="33" t="s">
        <v>28</v>
      </c>
      <c r="J27" s="18"/>
      <c r="K27" s="18"/>
      <c r="L27" s="33" t="s">
        <v>32</v>
      </c>
      <c r="M27" s="18"/>
      <c r="N27" s="35"/>
      <c r="O27" s="35"/>
      <c r="P27" s="36"/>
      <c r="Q27" s="1"/>
      <c r="R27" s="1"/>
    </row>
    <row r="28" ht="15.75" customHeight="1">
      <c r="A28" s="1"/>
      <c r="B28" s="18">
        <v>25.0</v>
      </c>
      <c r="C28" s="21" t="s">
        <v>130</v>
      </c>
      <c r="D28" s="21" t="s">
        <v>23</v>
      </c>
      <c r="E28" s="24"/>
      <c r="F28" s="17"/>
      <c r="G28" s="27"/>
      <c r="H28" s="29">
        <v>250000.0</v>
      </c>
      <c r="I28" s="33" t="s">
        <v>28</v>
      </c>
      <c r="J28" s="18"/>
      <c r="K28" s="18"/>
      <c r="L28" s="18"/>
      <c r="M28" s="33" t="s">
        <v>59</v>
      </c>
      <c r="N28" s="35"/>
      <c r="O28" s="35"/>
      <c r="P28" s="36"/>
      <c r="Q28" s="1"/>
      <c r="R28" s="1"/>
    </row>
    <row r="29" ht="15.75" customHeight="1">
      <c r="A29" s="1"/>
      <c r="B29" s="18">
        <v>26.0</v>
      </c>
      <c r="C29" s="21" t="s">
        <v>132</v>
      </c>
      <c r="D29" s="21" t="s">
        <v>23</v>
      </c>
      <c r="E29" s="24"/>
      <c r="F29" s="17"/>
      <c r="G29" s="27"/>
      <c r="H29" s="29">
        <v>250000.0</v>
      </c>
      <c r="I29" s="33" t="s">
        <v>28</v>
      </c>
      <c r="J29" s="18"/>
      <c r="K29" s="18"/>
      <c r="L29" s="18"/>
      <c r="M29" s="18"/>
      <c r="N29" s="35"/>
      <c r="O29" s="35"/>
      <c r="P29" s="36"/>
      <c r="Q29" s="1"/>
      <c r="R29" s="1"/>
    </row>
    <row r="30" ht="15.75" customHeight="1">
      <c r="A30" s="1"/>
      <c r="B30" s="18">
        <v>27.0</v>
      </c>
      <c r="C30" s="21" t="s">
        <v>135</v>
      </c>
      <c r="D30" s="21" t="s">
        <v>23</v>
      </c>
      <c r="E30" s="24"/>
      <c r="F30" s="17"/>
      <c r="G30" s="27"/>
      <c r="H30" s="29">
        <v>250000.0</v>
      </c>
      <c r="I30" s="33" t="s">
        <v>28</v>
      </c>
      <c r="J30" s="18"/>
      <c r="K30" s="18"/>
      <c r="L30" s="18"/>
      <c r="M30" s="33" t="s">
        <v>46</v>
      </c>
      <c r="N30" s="35"/>
      <c r="O30" s="35"/>
      <c r="P30" s="36"/>
      <c r="Q30" s="1"/>
      <c r="R30" s="1"/>
    </row>
    <row r="31" ht="15.75" customHeight="1">
      <c r="A31" s="1"/>
      <c r="B31" s="18">
        <v>28.0</v>
      </c>
      <c r="C31" s="81" t="s">
        <v>142</v>
      </c>
      <c r="D31" s="21" t="s">
        <v>23</v>
      </c>
      <c r="E31" s="24"/>
      <c r="F31" s="17"/>
      <c r="G31" s="46">
        <v>250000.0</v>
      </c>
      <c r="H31" s="47"/>
      <c r="I31" s="33" t="s">
        <v>28</v>
      </c>
      <c r="J31" s="18"/>
      <c r="K31" s="18"/>
      <c r="L31" s="33" t="s">
        <v>29</v>
      </c>
      <c r="M31" s="33" t="s">
        <v>87</v>
      </c>
      <c r="N31" s="35"/>
      <c r="O31" s="35"/>
      <c r="P31" s="36"/>
      <c r="Q31" s="1"/>
      <c r="R31" s="1"/>
    </row>
    <row r="32" ht="15.75" customHeight="1">
      <c r="A32" s="1"/>
      <c r="B32" s="18">
        <v>29.0</v>
      </c>
      <c r="C32" s="101" t="s">
        <v>149</v>
      </c>
      <c r="D32" s="21" t="s">
        <v>23</v>
      </c>
      <c r="E32" s="24"/>
      <c r="F32" s="17"/>
      <c r="G32" s="46"/>
      <c r="H32" s="29">
        <v>330000.0</v>
      </c>
      <c r="I32" s="33" t="s">
        <v>28</v>
      </c>
      <c r="J32" s="18"/>
      <c r="K32" s="18"/>
      <c r="L32" s="33" t="s">
        <v>29</v>
      </c>
      <c r="M32" s="33" t="s">
        <v>59</v>
      </c>
      <c r="N32" s="35"/>
      <c r="O32" s="35"/>
      <c r="P32" s="36"/>
      <c r="Q32" s="1"/>
      <c r="R32" s="1"/>
    </row>
    <row r="33" ht="15.75" customHeight="1">
      <c r="A33" s="1"/>
      <c r="B33" s="18">
        <v>30.0</v>
      </c>
      <c r="C33" s="104" t="s">
        <v>151</v>
      </c>
      <c r="D33" s="21" t="s">
        <v>23</v>
      </c>
      <c r="E33" s="24"/>
      <c r="F33" s="17"/>
      <c r="G33" s="46">
        <v>270000.0</v>
      </c>
      <c r="H33" s="47"/>
      <c r="I33" s="33" t="s">
        <v>28</v>
      </c>
      <c r="J33" s="18"/>
      <c r="K33" s="18"/>
      <c r="L33" s="33" t="s">
        <v>32</v>
      </c>
      <c r="M33" s="33" t="s">
        <v>65</v>
      </c>
      <c r="N33" s="35"/>
      <c r="O33" s="35"/>
      <c r="P33" s="36"/>
      <c r="Q33" s="1"/>
      <c r="R33" s="1"/>
    </row>
    <row r="34" ht="15.75" customHeight="1">
      <c r="A34" s="1"/>
      <c r="B34" s="18">
        <v>31.0</v>
      </c>
      <c r="C34" s="21" t="s">
        <v>153</v>
      </c>
      <c r="D34" s="21" t="s">
        <v>23</v>
      </c>
      <c r="E34" s="24"/>
      <c r="F34" s="17"/>
      <c r="G34" s="46">
        <v>250000.0</v>
      </c>
      <c r="H34" s="47"/>
      <c r="I34" s="33" t="s">
        <v>28</v>
      </c>
      <c r="J34" s="18"/>
      <c r="K34" s="18"/>
      <c r="L34" s="18"/>
      <c r="M34" s="33" t="s">
        <v>59</v>
      </c>
      <c r="N34" s="35"/>
      <c r="O34" s="35"/>
      <c r="P34" s="36"/>
      <c r="Q34" s="1"/>
      <c r="R34" s="1"/>
    </row>
    <row r="35" ht="15.75" customHeight="1">
      <c r="A35" s="1"/>
      <c r="B35" s="18">
        <v>32.0</v>
      </c>
      <c r="C35" s="21" t="s">
        <v>155</v>
      </c>
      <c r="D35" s="21" t="s">
        <v>23</v>
      </c>
      <c r="E35" s="24"/>
      <c r="F35" s="26"/>
      <c r="G35" s="46" t="s">
        <v>44</v>
      </c>
      <c r="H35" s="29" t="s">
        <v>44</v>
      </c>
      <c r="I35" s="33" t="s">
        <v>28</v>
      </c>
      <c r="J35" s="18"/>
      <c r="K35" s="18"/>
      <c r="L35" s="33" t="s">
        <v>29</v>
      </c>
      <c r="M35" s="33" t="s">
        <v>65</v>
      </c>
      <c r="N35" s="35"/>
      <c r="O35" s="35"/>
      <c r="P35" s="36"/>
      <c r="Q35" s="1"/>
      <c r="R35" s="1"/>
    </row>
    <row r="36" ht="15.75" customHeight="1">
      <c r="A36" s="1"/>
      <c r="B36" s="18">
        <v>33.0</v>
      </c>
      <c r="C36" s="21" t="s">
        <v>157</v>
      </c>
      <c r="D36" s="21" t="s">
        <v>23</v>
      </c>
      <c r="E36" s="24"/>
      <c r="F36" s="17"/>
      <c r="G36" s="27"/>
      <c r="H36" s="29">
        <v>250000.0</v>
      </c>
      <c r="I36" s="33" t="s">
        <v>28</v>
      </c>
      <c r="J36" s="18"/>
      <c r="K36" s="18"/>
      <c r="L36" s="33" t="s">
        <v>29</v>
      </c>
      <c r="M36" s="33" t="s">
        <v>87</v>
      </c>
      <c r="N36" s="35"/>
      <c r="O36" s="35"/>
      <c r="P36" s="36"/>
      <c r="Q36" s="1"/>
      <c r="R36" s="1"/>
    </row>
    <row r="37" ht="15.75" customHeight="1">
      <c r="A37" s="1"/>
      <c r="B37" s="18">
        <v>34.0</v>
      </c>
      <c r="C37" s="106" t="s">
        <v>159</v>
      </c>
      <c r="D37" s="21" t="s">
        <v>23</v>
      </c>
      <c r="E37" s="24"/>
      <c r="F37" s="17"/>
      <c r="G37" s="46">
        <v>250000.0</v>
      </c>
      <c r="H37" s="47"/>
      <c r="I37" s="33" t="s">
        <v>28</v>
      </c>
      <c r="J37" s="18"/>
      <c r="K37" s="18"/>
      <c r="L37" s="33" t="s">
        <v>29</v>
      </c>
      <c r="M37" s="33" t="s">
        <v>46</v>
      </c>
      <c r="N37" s="35"/>
      <c r="O37" s="35"/>
      <c r="P37" s="36"/>
      <c r="Q37" s="1"/>
      <c r="R37" s="1"/>
    </row>
    <row r="38" ht="15.75" customHeight="1">
      <c r="A38" s="1"/>
      <c r="B38" s="18">
        <v>35.0</v>
      </c>
      <c r="C38" s="21" t="s">
        <v>161</v>
      </c>
      <c r="D38" s="21" t="s">
        <v>23</v>
      </c>
      <c r="E38" s="24"/>
      <c r="F38" s="17"/>
      <c r="G38" s="46">
        <v>310000.0</v>
      </c>
      <c r="H38" s="47"/>
      <c r="I38" s="33" t="s">
        <v>28</v>
      </c>
      <c r="J38" s="18"/>
      <c r="K38" s="18"/>
      <c r="L38" s="33" t="s">
        <v>29</v>
      </c>
      <c r="M38" s="33" t="s">
        <v>65</v>
      </c>
      <c r="N38" s="35"/>
      <c r="O38" s="35"/>
      <c r="P38" s="36"/>
      <c r="Q38" s="1"/>
      <c r="R38" s="1"/>
    </row>
    <row r="39" ht="15.75" customHeight="1">
      <c r="A39" s="1"/>
      <c r="B39" s="18">
        <v>36.0</v>
      </c>
      <c r="C39" s="61" t="s">
        <v>58</v>
      </c>
      <c r="D39" s="21" t="s">
        <v>23</v>
      </c>
      <c r="E39" s="24"/>
      <c r="F39" s="17"/>
      <c r="G39" s="107"/>
      <c r="H39" s="34">
        <v>330000.0</v>
      </c>
      <c r="I39" s="33" t="s">
        <v>28</v>
      </c>
      <c r="J39" s="18"/>
      <c r="K39" s="18"/>
      <c r="L39" s="18"/>
      <c r="M39" s="33" t="s">
        <v>59</v>
      </c>
      <c r="N39" s="18"/>
      <c r="O39" s="18"/>
      <c r="P39" s="108"/>
      <c r="Q39" s="1"/>
      <c r="R39" s="1"/>
    </row>
    <row r="40" ht="15.75" customHeight="1">
      <c r="A40" s="1"/>
      <c r="B40" s="18">
        <v>37.0</v>
      </c>
      <c r="C40" s="21" t="s">
        <v>164</v>
      </c>
      <c r="D40" s="21" t="s">
        <v>23</v>
      </c>
      <c r="E40" s="24"/>
      <c r="F40" s="17"/>
      <c r="G40" s="107"/>
      <c r="H40" s="34">
        <v>290000.0</v>
      </c>
      <c r="I40" s="33" t="s">
        <v>28</v>
      </c>
      <c r="J40" s="18"/>
      <c r="K40" s="18"/>
      <c r="L40" s="33" t="s">
        <v>29</v>
      </c>
      <c r="M40" s="33" t="s">
        <v>46</v>
      </c>
      <c r="N40" s="18"/>
      <c r="O40" s="18"/>
      <c r="P40" s="108"/>
      <c r="Q40" s="1"/>
      <c r="R40" s="1"/>
    </row>
    <row r="41" ht="15.75" customHeight="1">
      <c r="A41" s="1"/>
      <c r="B41" s="18">
        <v>38.0</v>
      </c>
      <c r="C41" s="21" t="s">
        <v>166</v>
      </c>
      <c r="D41" s="21" t="s">
        <v>23</v>
      </c>
      <c r="E41" s="24"/>
      <c r="F41" s="17"/>
      <c r="G41" s="107"/>
      <c r="H41" s="34">
        <v>250000.0</v>
      </c>
      <c r="I41" s="33" t="s">
        <v>28</v>
      </c>
      <c r="J41" s="18"/>
      <c r="K41" s="18"/>
      <c r="L41" s="18"/>
      <c r="M41" s="33" t="s">
        <v>87</v>
      </c>
      <c r="N41" s="18"/>
      <c r="O41" s="18"/>
      <c r="P41" s="18"/>
      <c r="Q41" s="1"/>
      <c r="R41" s="1"/>
    </row>
    <row r="42" ht="15.75" customHeight="1">
      <c r="A42" s="1"/>
      <c r="B42" s="18">
        <v>39.0</v>
      </c>
      <c r="C42" s="21" t="s">
        <v>168</v>
      </c>
      <c r="D42" s="21" t="s">
        <v>23</v>
      </c>
      <c r="E42" s="24"/>
      <c r="F42" s="17"/>
      <c r="G42" s="42">
        <v>250000.0</v>
      </c>
      <c r="H42" s="40"/>
      <c r="I42" s="33" t="s">
        <v>28</v>
      </c>
      <c r="J42" s="18"/>
      <c r="K42" s="18"/>
      <c r="L42" s="18"/>
      <c r="M42" s="33" t="s">
        <v>65</v>
      </c>
      <c r="N42" s="18"/>
      <c r="O42" s="18"/>
      <c r="P42" s="18"/>
      <c r="Q42" s="1"/>
      <c r="R42" s="1"/>
    </row>
    <row r="43" ht="15.75" customHeight="1">
      <c r="A43" s="1"/>
      <c r="B43" s="18">
        <v>40.0</v>
      </c>
      <c r="C43" s="21" t="s">
        <v>170</v>
      </c>
      <c r="D43" s="21" t="s">
        <v>23</v>
      </c>
      <c r="E43" s="24"/>
      <c r="F43" s="17"/>
      <c r="G43" s="107"/>
      <c r="H43" s="34">
        <v>250000.0</v>
      </c>
      <c r="I43" s="33" t="s">
        <v>28</v>
      </c>
      <c r="J43" s="18"/>
      <c r="K43" s="18"/>
      <c r="L43" s="18"/>
      <c r="M43" s="33" t="s">
        <v>46</v>
      </c>
      <c r="N43" s="18"/>
      <c r="O43" s="18"/>
      <c r="P43" s="18"/>
      <c r="Q43" s="1"/>
      <c r="R43" s="1"/>
    </row>
    <row r="44" ht="15.75" customHeight="1">
      <c r="A44" s="1"/>
      <c r="B44" s="18">
        <v>41.0</v>
      </c>
      <c r="C44" s="21" t="s">
        <v>172</v>
      </c>
      <c r="D44" s="21" t="s">
        <v>23</v>
      </c>
      <c r="E44" s="39"/>
      <c r="F44" s="17"/>
      <c r="G44" s="109"/>
      <c r="H44" s="42">
        <v>290000.0</v>
      </c>
      <c r="I44" s="33" t="s">
        <v>28</v>
      </c>
      <c r="J44" s="18"/>
      <c r="K44" s="18"/>
      <c r="L44" s="18"/>
      <c r="M44" s="33" t="s">
        <v>65</v>
      </c>
      <c r="N44" s="18"/>
      <c r="O44" s="18"/>
      <c r="P44" s="18"/>
      <c r="Q44" s="1"/>
      <c r="R44" s="1"/>
    </row>
    <row r="45" ht="15.75" customHeight="1">
      <c r="A45" s="1"/>
      <c r="B45" s="18">
        <v>42.0</v>
      </c>
      <c r="C45" s="21" t="s">
        <v>64</v>
      </c>
      <c r="D45" s="21" t="s">
        <v>23</v>
      </c>
      <c r="E45" s="17"/>
      <c r="F45" s="18"/>
      <c r="G45" s="113"/>
      <c r="H45" s="31">
        <v>250000.0</v>
      </c>
      <c r="I45" s="33" t="s">
        <v>28</v>
      </c>
      <c r="J45" s="18"/>
      <c r="K45" s="18"/>
      <c r="L45" s="33" t="s">
        <v>29</v>
      </c>
      <c r="M45" s="33" t="s">
        <v>65</v>
      </c>
      <c r="N45" s="18"/>
      <c r="O45" s="18"/>
      <c r="P45" s="18"/>
      <c r="Q45" s="1"/>
      <c r="R45" s="1"/>
    </row>
    <row r="46" ht="15.75" customHeight="1">
      <c r="A46" s="1"/>
      <c r="B46" s="18">
        <v>43.0</v>
      </c>
      <c r="C46" s="21" t="s">
        <v>175</v>
      </c>
      <c r="D46" s="21" t="s">
        <v>23</v>
      </c>
      <c r="E46" s="17"/>
      <c r="F46" s="18"/>
      <c r="G46" s="113"/>
      <c r="H46" s="31">
        <v>610000.0</v>
      </c>
      <c r="I46" s="33" t="s">
        <v>28</v>
      </c>
      <c r="J46" s="18"/>
      <c r="K46" s="18"/>
      <c r="L46" s="33" t="s">
        <v>29</v>
      </c>
      <c r="M46" s="33" t="s">
        <v>59</v>
      </c>
      <c r="N46" s="18"/>
      <c r="O46" s="18"/>
      <c r="P46" s="18"/>
      <c r="Q46" s="1"/>
      <c r="R46" s="1"/>
    </row>
    <row r="47" ht="15.75" customHeight="1">
      <c r="A47" s="1"/>
      <c r="B47" s="18">
        <v>44.0</v>
      </c>
      <c r="C47" s="21" t="s">
        <v>177</v>
      </c>
      <c r="D47" s="21" t="s">
        <v>23</v>
      </c>
      <c r="E47" s="17"/>
      <c r="F47" s="18"/>
      <c r="G47" s="113"/>
      <c r="H47" s="31">
        <v>250000.0</v>
      </c>
      <c r="I47" s="33" t="s">
        <v>28</v>
      </c>
      <c r="J47" s="18"/>
      <c r="K47" s="18"/>
      <c r="L47" s="33" t="s">
        <v>29</v>
      </c>
      <c r="M47" s="33" t="s">
        <v>46</v>
      </c>
      <c r="N47" s="18"/>
      <c r="O47" s="18"/>
      <c r="P47" s="18"/>
      <c r="Q47" s="1"/>
      <c r="R47" s="1"/>
    </row>
    <row r="48" ht="15.75" customHeight="1">
      <c r="A48" s="1"/>
      <c r="B48" s="18">
        <v>45.0</v>
      </c>
      <c r="C48" s="21" t="s">
        <v>179</v>
      </c>
      <c r="D48" s="21" t="s">
        <v>23</v>
      </c>
      <c r="E48" s="17"/>
      <c r="F48" s="18"/>
      <c r="G48" s="116">
        <v>290000.0</v>
      </c>
      <c r="H48" s="63"/>
      <c r="I48" s="33" t="s">
        <v>28</v>
      </c>
      <c r="J48" s="18"/>
      <c r="K48" s="18"/>
      <c r="L48" s="33" t="s">
        <v>32</v>
      </c>
      <c r="M48" s="33" t="s">
        <v>65</v>
      </c>
      <c r="N48" s="18"/>
      <c r="O48" s="18"/>
      <c r="P48" s="18"/>
      <c r="Q48" s="1"/>
      <c r="R48" s="1"/>
    </row>
    <row r="49" ht="15.75" customHeight="1">
      <c r="A49" s="1"/>
      <c r="B49" s="18">
        <v>46.0</v>
      </c>
      <c r="C49" s="21" t="s">
        <v>181</v>
      </c>
      <c r="D49" s="21" t="s">
        <v>23</v>
      </c>
      <c r="E49" s="17"/>
      <c r="F49" s="33" t="s">
        <v>51</v>
      </c>
      <c r="G49" s="113"/>
      <c r="H49" s="31">
        <v>100000.0</v>
      </c>
      <c r="I49" s="33" t="s">
        <v>27</v>
      </c>
      <c r="J49" s="18"/>
      <c r="K49" s="18"/>
      <c r="L49" s="33" t="s">
        <v>29</v>
      </c>
      <c r="M49" s="18"/>
      <c r="N49" s="18"/>
      <c r="O49" s="18"/>
      <c r="P49" s="18"/>
      <c r="Q49" s="1"/>
      <c r="R49" s="1"/>
    </row>
    <row r="50" ht="15.75" customHeight="1">
      <c r="A50" s="1"/>
      <c r="B50" s="18">
        <v>47.0</v>
      </c>
      <c r="C50" s="21" t="s">
        <v>183</v>
      </c>
      <c r="D50" s="21" t="s">
        <v>184</v>
      </c>
      <c r="E50" s="17"/>
      <c r="F50" s="33" t="s">
        <v>42</v>
      </c>
      <c r="G50" s="113"/>
      <c r="H50" s="31">
        <v>200000.0</v>
      </c>
      <c r="I50" s="33" t="s">
        <v>28</v>
      </c>
      <c r="J50" s="33" t="s">
        <v>30</v>
      </c>
      <c r="K50" s="18"/>
      <c r="L50" s="33" t="s">
        <v>29</v>
      </c>
      <c r="M50" s="33" t="s">
        <v>46</v>
      </c>
      <c r="N50" s="18"/>
      <c r="O50" s="18"/>
      <c r="P50" s="18"/>
      <c r="Q50" s="1"/>
      <c r="R50" s="1"/>
    </row>
    <row r="51" ht="15.75" customHeight="1">
      <c r="A51" s="1"/>
      <c r="B51" s="18">
        <v>48.0</v>
      </c>
      <c r="C51" s="21"/>
      <c r="D51" s="21"/>
      <c r="E51" s="17"/>
      <c r="F51" s="33"/>
      <c r="G51" s="113"/>
      <c r="H51" s="63"/>
      <c r="I51" s="18"/>
      <c r="J51" s="18"/>
      <c r="K51" s="18"/>
      <c r="L51" s="18"/>
      <c r="M51" s="18"/>
      <c r="N51" s="18"/>
      <c r="O51" s="18"/>
      <c r="P51" s="18"/>
      <c r="Q51" s="1"/>
      <c r="R51" s="1"/>
    </row>
    <row r="52" ht="15.75" customHeight="1">
      <c r="A52" s="1"/>
      <c r="B52" s="18">
        <v>49.0</v>
      </c>
      <c r="C52" s="88"/>
      <c r="D52" s="88"/>
      <c r="E52" s="17"/>
      <c r="F52" s="18"/>
      <c r="G52" s="113"/>
      <c r="H52" s="63"/>
      <c r="I52" s="18"/>
      <c r="J52" s="18"/>
      <c r="K52" s="18"/>
      <c r="L52" s="18"/>
      <c r="M52" s="18"/>
      <c r="N52" s="18"/>
      <c r="O52" s="18"/>
      <c r="P52" s="18"/>
      <c r="Q52" s="1"/>
      <c r="R52" s="1"/>
    </row>
    <row r="53" ht="15.75" customHeight="1">
      <c r="A53" s="1"/>
      <c r="B53" s="18">
        <v>50.0</v>
      </c>
      <c r="C53" s="88"/>
      <c r="D53" s="88"/>
      <c r="E53" s="17"/>
      <c r="F53" s="18"/>
      <c r="G53" s="113"/>
      <c r="H53" s="63"/>
      <c r="I53" s="18"/>
      <c r="J53" s="18"/>
      <c r="K53" s="18"/>
      <c r="L53" s="18"/>
      <c r="M53" s="18"/>
      <c r="N53" s="18"/>
      <c r="O53" s="18"/>
      <c r="P53" s="18"/>
      <c r="Q53" s="1"/>
      <c r="R53" s="1"/>
    </row>
    <row r="54" ht="15.75" customHeight="1">
      <c r="A54" s="1"/>
      <c r="B54" s="18"/>
      <c r="C54" s="88"/>
      <c r="D54" s="88"/>
      <c r="E54" s="17"/>
      <c r="F54" s="18"/>
      <c r="G54" s="113"/>
      <c r="H54" s="63"/>
      <c r="I54" s="18"/>
      <c r="J54" s="18"/>
      <c r="K54" s="18"/>
      <c r="L54" s="18"/>
      <c r="M54" s="18"/>
      <c r="N54" s="18"/>
      <c r="O54" s="18"/>
      <c r="P54" s="18"/>
      <c r="Q54" s="1"/>
      <c r="R54" s="1"/>
    </row>
    <row r="55" ht="15.75" customHeight="1">
      <c r="A55" s="1"/>
      <c r="B55" s="18"/>
      <c r="C55" s="88"/>
      <c r="D55" s="88"/>
      <c r="E55" s="125"/>
      <c r="F55" s="18"/>
      <c r="G55" s="113"/>
      <c r="H55" s="63"/>
      <c r="I55" s="18"/>
      <c r="J55" s="18"/>
      <c r="K55" s="18"/>
      <c r="L55" s="18"/>
      <c r="M55" s="18"/>
      <c r="N55" s="18"/>
      <c r="O55" s="18"/>
      <c r="P55" s="18"/>
      <c r="Q55" s="1"/>
      <c r="R55" s="1"/>
    </row>
    <row r="56" ht="15.75" customHeight="1">
      <c r="A56" s="1"/>
      <c r="B56" s="18"/>
      <c r="C56" s="88"/>
      <c r="D56" s="88"/>
      <c r="E56" s="125"/>
      <c r="F56" s="18"/>
      <c r="G56" s="113"/>
      <c r="H56" s="63"/>
      <c r="I56" s="18"/>
      <c r="J56" s="18"/>
      <c r="K56" s="18"/>
      <c r="L56" s="18"/>
      <c r="M56" s="18"/>
      <c r="N56" s="18"/>
      <c r="O56" s="18"/>
      <c r="P56" s="18"/>
      <c r="Q56" s="1"/>
      <c r="R56" s="1"/>
    </row>
    <row r="57" ht="15.75" customHeight="1">
      <c r="A57" s="1"/>
      <c r="B57" s="18"/>
      <c r="C57" s="88"/>
      <c r="D57" s="88"/>
      <c r="E57" s="125"/>
      <c r="F57" s="18"/>
      <c r="G57" s="113"/>
      <c r="H57" s="63"/>
      <c r="I57" s="18"/>
      <c r="J57" s="18"/>
      <c r="K57" s="18"/>
      <c r="L57" s="18"/>
      <c r="M57" s="18"/>
      <c r="N57" s="18"/>
      <c r="O57" s="18"/>
      <c r="P57" s="18"/>
      <c r="Q57" s="1"/>
      <c r="R57" s="1"/>
    </row>
    <row r="58" ht="15.75" customHeight="1">
      <c r="A58" s="1"/>
      <c r="B58" s="18"/>
      <c r="C58" s="88"/>
      <c r="D58" s="88"/>
      <c r="E58" s="125"/>
      <c r="F58" s="18"/>
      <c r="G58" s="113"/>
      <c r="H58" s="63"/>
      <c r="I58" s="18"/>
      <c r="J58" s="18"/>
      <c r="K58" s="18"/>
      <c r="L58" s="18"/>
      <c r="M58" s="18"/>
      <c r="N58" s="18"/>
      <c r="O58" s="18"/>
      <c r="P58" s="18"/>
      <c r="Q58" s="1"/>
      <c r="R58" s="1"/>
    </row>
    <row r="59" ht="15.75" customHeight="1">
      <c r="A59" s="1"/>
      <c r="B59" s="18"/>
      <c r="C59" s="88"/>
      <c r="D59" s="88"/>
      <c r="E59" s="125"/>
      <c r="F59" s="18"/>
      <c r="G59" s="113"/>
      <c r="H59" s="63"/>
      <c r="I59" s="18"/>
      <c r="J59" s="18"/>
      <c r="K59" s="18"/>
      <c r="L59" s="18"/>
      <c r="M59" s="18"/>
      <c r="N59" s="18"/>
      <c r="O59" s="18"/>
      <c r="P59" s="18"/>
      <c r="Q59" s="1"/>
      <c r="R59" s="1"/>
    </row>
    <row r="60" ht="15.75" customHeight="1">
      <c r="A60" s="1"/>
      <c r="B60" s="18"/>
      <c r="C60" s="88"/>
      <c r="D60" s="88"/>
      <c r="E60" s="125"/>
      <c r="F60" s="18"/>
      <c r="G60" s="113"/>
      <c r="H60" s="63"/>
      <c r="I60" s="18"/>
      <c r="J60" s="18"/>
      <c r="K60" s="18"/>
      <c r="L60" s="18"/>
      <c r="M60" s="18"/>
      <c r="N60" s="18"/>
      <c r="O60" s="18"/>
      <c r="P60" s="18"/>
      <c r="Q60" s="1"/>
      <c r="R60" s="1"/>
    </row>
    <row r="61" ht="15.75" customHeight="1">
      <c r="A61" s="1"/>
      <c r="B61" s="18"/>
      <c r="C61" s="88"/>
      <c r="D61" s="88"/>
      <c r="E61" s="125"/>
      <c r="F61" s="18"/>
      <c r="G61" s="113"/>
      <c r="H61" s="63"/>
      <c r="I61" s="18"/>
      <c r="J61" s="18"/>
      <c r="K61" s="18"/>
      <c r="L61" s="18"/>
      <c r="M61" s="18"/>
      <c r="N61" s="18"/>
      <c r="O61" s="18"/>
      <c r="P61" s="18"/>
      <c r="Q61" s="1"/>
      <c r="R61" s="1"/>
    </row>
    <row r="62" ht="15.75" customHeight="1">
      <c r="A62" s="1"/>
      <c r="B62" s="18"/>
      <c r="C62" s="88"/>
      <c r="D62" s="88"/>
      <c r="E62" s="17"/>
      <c r="F62" s="18"/>
      <c r="G62" s="113"/>
      <c r="H62" s="63"/>
      <c r="I62" s="18"/>
      <c r="J62" s="18"/>
      <c r="K62" s="18"/>
      <c r="L62" s="18"/>
      <c r="M62" s="18"/>
      <c r="N62" s="18"/>
      <c r="O62" s="18"/>
      <c r="P62" s="18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5">
        <f t="shared" ref="G63:H63" si="1">SUM(G4:G62)</f>
        <v>4890000</v>
      </c>
      <c r="H63" s="71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0" t="s">
        <v>1</v>
      </c>
      <c r="C66" s="73" t="s">
        <v>7</v>
      </c>
      <c r="D66" s="73" t="s">
        <v>112</v>
      </c>
      <c r="E66" s="1"/>
      <c r="F66" s="1"/>
      <c r="G66" s="1"/>
      <c r="H66" s="1"/>
      <c r="I66" s="1"/>
      <c r="J66" s="1"/>
      <c r="K66" s="1"/>
      <c r="L66" s="1"/>
      <c r="M66" s="1"/>
      <c r="N66" s="73" t="s">
        <v>114</v>
      </c>
      <c r="O66" s="73" t="s">
        <v>2</v>
      </c>
      <c r="P66" s="1"/>
      <c r="Q66" s="1"/>
      <c r="R66" s="1"/>
    </row>
    <row r="67" ht="15.75" customHeight="1">
      <c r="A67" s="1"/>
      <c r="B67" s="74">
        <v>1.0</v>
      </c>
      <c r="C67" s="74" t="s">
        <v>115</v>
      </c>
      <c r="D67" s="136">
        <f>SUM(G63)</f>
        <v>4890000</v>
      </c>
      <c r="E67" s="77"/>
      <c r="F67" s="1"/>
      <c r="G67" s="1"/>
      <c r="H67" s="1"/>
      <c r="I67" s="1"/>
      <c r="J67" s="1"/>
      <c r="K67" s="1"/>
      <c r="L67" s="1"/>
      <c r="M67" s="1"/>
      <c r="N67" s="78" t="s">
        <v>119</v>
      </c>
      <c r="O67" s="79" t="s">
        <v>32</v>
      </c>
      <c r="P67" s="1"/>
      <c r="Q67" s="1"/>
      <c r="R67" s="1"/>
    </row>
    <row r="68" ht="15.75" customHeight="1">
      <c r="A68" s="1"/>
      <c r="B68" s="80">
        <v>2.0</v>
      </c>
      <c r="C68" s="137" t="s">
        <v>211</v>
      </c>
      <c r="D68" s="138">
        <v>-255000.0</v>
      </c>
      <c r="E68" s="77"/>
      <c r="F68" s="1"/>
      <c r="G68" s="1"/>
      <c r="H68" s="1"/>
      <c r="I68" s="1"/>
      <c r="J68" s="1"/>
      <c r="K68" s="1"/>
      <c r="L68" s="1"/>
      <c r="M68" s="1"/>
      <c r="N68" s="84" t="s">
        <v>125</v>
      </c>
      <c r="O68" s="85" t="s">
        <v>29</v>
      </c>
      <c r="P68" s="1"/>
      <c r="Q68" s="1"/>
      <c r="R68" s="1"/>
    </row>
    <row r="69" ht="15.75" customHeight="1">
      <c r="A69" s="1"/>
      <c r="B69" s="74">
        <v>3.0</v>
      </c>
      <c r="C69" s="139" t="s">
        <v>212</v>
      </c>
      <c r="D69" s="140">
        <v>-15000.0</v>
      </c>
      <c r="E69" s="77"/>
      <c r="F69" s="1"/>
      <c r="G69" s="1"/>
      <c r="H69" s="1"/>
      <c r="I69" s="1"/>
      <c r="J69" s="1"/>
      <c r="K69" s="1"/>
      <c r="L69" s="1"/>
      <c r="M69" s="1"/>
      <c r="N69" s="91" t="s">
        <v>128</v>
      </c>
      <c r="O69" s="92" t="s">
        <v>46</v>
      </c>
      <c r="P69" s="1"/>
      <c r="Q69" s="1"/>
      <c r="R69" s="1"/>
    </row>
    <row r="70" ht="15.75" customHeight="1">
      <c r="A70" s="1"/>
      <c r="B70" s="80">
        <v>4.0</v>
      </c>
      <c r="C70" s="80"/>
      <c r="D70" s="138"/>
      <c r="E70" s="77"/>
      <c r="F70" s="1"/>
      <c r="G70" s="1"/>
      <c r="H70" s="1"/>
      <c r="I70" s="1"/>
      <c r="J70" s="1"/>
      <c r="K70" s="1"/>
      <c r="L70" s="1"/>
      <c r="M70" s="1"/>
      <c r="N70" s="93" t="s">
        <v>131</v>
      </c>
      <c r="O70" s="85" t="s">
        <v>65</v>
      </c>
      <c r="P70" s="1"/>
      <c r="Q70" s="1"/>
      <c r="R70" s="1"/>
    </row>
    <row r="71" ht="15.75" customHeight="1">
      <c r="A71" s="1"/>
      <c r="B71" s="74">
        <v>5.0</v>
      </c>
      <c r="C71" s="74"/>
      <c r="D71" s="136"/>
      <c r="E71" s="77"/>
      <c r="F71" s="1"/>
      <c r="G71" s="1"/>
      <c r="H71" s="1"/>
      <c r="I71" s="1"/>
      <c r="J71" s="1"/>
      <c r="K71" s="1"/>
      <c r="L71" s="1"/>
      <c r="M71" s="1"/>
      <c r="N71" s="97"/>
      <c r="O71" s="1"/>
      <c r="P71" s="1"/>
      <c r="Q71" s="1"/>
      <c r="R71" s="1"/>
    </row>
    <row r="72" ht="15.75" customHeight="1">
      <c r="A72" s="1"/>
      <c r="B72" s="80">
        <v>6.0</v>
      </c>
      <c r="C72" s="80"/>
      <c r="D72" s="141"/>
      <c r="E72" s="77"/>
      <c r="F72" s="1"/>
      <c r="G72" s="1"/>
      <c r="H72" s="1"/>
      <c r="I72" s="1"/>
      <c r="J72" s="1"/>
      <c r="K72" s="98" t="s">
        <v>134</v>
      </c>
      <c r="Q72" s="1"/>
      <c r="R72" s="1"/>
    </row>
    <row r="73" ht="15.75" customHeight="1">
      <c r="A73" s="1"/>
      <c r="B73" s="74">
        <v>7.0</v>
      </c>
      <c r="C73" s="74"/>
      <c r="D73" s="136"/>
      <c r="E73" s="77"/>
      <c r="F73" s="1"/>
      <c r="G73" s="1"/>
      <c r="H73" s="1"/>
      <c r="I73" s="1"/>
      <c r="J73" s="1"/>
      <c r="K73" s="99" t="s">
        <v>2</v>
      </c>
      <c r="L73" s="99" t="s">
        <v>137</v>
      </c>
      <c r="M73" s="99" t="s">
        <v>138</v>
      </c>
      <c r="N73" s="99" t="s">
        <v>139</v>
      </c>
      <c r="O73" s="99" t="s">
        <v>140</v>
      </c>
      <c r="P73" s="99" t="s">
        <v>141</v>
      </c>
      <c r="Q73" s="1"/>
      <c r="R73" s="1"/>
      <c r="AC73" s="100" t="s">
        <v>143</v>
      </c>
      <c r="AD73" s="100" t="s">
        <v>144</v>
      </c>
      <c r="AE73" s="100" t="s">
        <v>145</v>
      </c>
      <c r="AF73" s="100" t="s">
        <v>146</v>
      </c>
      <c r="AG73" s="100" t="s">
        <v>148</v>
      </c>
    </row>
    <row r="74" ht="15.75" customHeight="1">
      <c r="A74" s="1"/>
      <c r="B74" s="80">
        <v>8.0</v>
      </c>
      <c r="C74" s="80"/>
      <c r="D74" s="141"/>
      <c r="E74" s="77"/>
      <c r="F74" s="1"/>
      <c r="G74" s="1"/>
      <c r="H74" s="1"/>
      <c r="I74" s="1"/>
      <c r="J74" s="1"/>
      <c r="K74" s="102" t="str">
        <f t="shared" ref="K74:K77" si="2">IF(O67="","",O67)</f>
        <v>INDAH</v>
      </c>
      <c r="L74" s="103">
        <v>5.0</v>
      </c>
      <c r="M74" s="103">
        <v>5.0</v>
      </c>
      <c r="N74" s="103">
        <v>5.0</v>
      </c>
      <c r="O74" s="103">
        <v>5.0</v>
      </c>
      <c r="P74" s="103">
        <v>5.0</v>
      </c>
      <c r="Q74" s="1"/>
      <c r="R74" s="1"/>
      <c r="AC74" s="100">
        <f t="shared" ref="AC74:AC79" si="3">IF(AG74="","",IF(COUNT(L74:P74)&lt;5,"",L74/5*20+M74/5*25+N74/5*25+O74/5*15+P74/5*15))</f>
        <v>100</v>
      </c>
      <c r="AD74" s="100" t="str">
        <f t="shared" ref="AD74:AD79" si="4">IF(AC74="","",IF(AC74&gt;=90,"Sangat Baik",IF(AC74&gt;=80,"Baik",IF(AC74&gt;=70,"Coaching","Underperform"))))</f>
        <v>Sangat Baik</v>
      </c>
      <c r="AE74" s="100" t="str">
        <f t="shared" ref="AE74:AE79" si="5">IF(AG74="","",IF(OR(AG74="INDAH",AG74="ADDEL",AG74="AMEL",AG74="PENTIL",AG74="JIJANG"),"Admin/CS","Fotografer"))</f>
        <v>Admin/CS</v>
      </c>
      <c r="AF74" s="100">
        <f t="shared" ref="AF74:AF79" si="6">IF(OR(AG74="",COUNT(L74:P74)&lt;5),"",1)</f>
        <v>1</v>
      </c>
      <c r="AG74" s="100" t="str">
        <f t="shared" ref="AG74:AG79" si="7">IFERROR(K74,"")</f>
        <v>INDAH</v>
      </c>
    </row>
    <row r="75" ht="15.75" customHeight="1">
      <c r="A75" s="1"/>
      <c r="B75" s="74">
        <v>9.0</v>
      </c>
      <c r="C75" s="74"/>
      <c r="D75" s="136"/>
      <c r="E75" s="77"/>
      <c r="F75" s="1"/>
      <c r="G75" s="1"/>
      <c r="H75" s="1"/>
      <c r="I75" s="1"/>
      <c r="J75" s="1"/>
      <c r="K75" s="102" t="str">
        <f t="shared" si="2"/>
        <v>AMEL</v>
      </c>
      <c r="L75" s="103">
        <v>5.0</v>
      </c>
      <c r="M75" s="103">
        <v>5.0</v>
      </c>
      <c r="N75" s="103">
        <v>5.0</v>
      </c>
      <c r="O75" s="103">
        <v>5.0</v>
      </c>
      <c r="P75" s="103">
        <v>5.0</v>
      </c>
      <c r="Q75" s="1"/>
      <c r="R75" s="1"/>
      <c r="AC75" s="100">
        <f t="shared" si="3"/>
        <v>100</v>
      </c>
      <c r="AD75" s="100" t="str">
        <f t="shared" si="4"/>
        <v>Sangat Baik</v>
      </c>
      <c r="AE75" s="100" t="str">
        <f t="shared" si="5"/>
        <v>Admin/CS</v>
      </c>
      <c r="AF75" s="100">
        <f t="shared" si="6"/>
        <v>1</v>
      </c>
      <c r="AG75" s="100" t="str">
        <f t="shared" si="7"/>
        <v>AMEL</v>
      </c>
    </row>
    <row r="76" ht="15.75" customHeight="1">
      <c r="A76" s="1"/>
      <c r="B76" s="80">
        <v>10.0</v>
      </c>
      <c r="C76" s="80"/>
      <c r="D76" s="141"/>
      <c r="E76" s="77"/>
      <c r="F76" s="1"/>
      <c r="G76" s="1"/>
      <c r="H76" s="1"/>
      <c r="I76" s="1"/>
      <c r="J76" s="1"/>
      <c r="K76" s="102" t="str">
        <f t="shared" si="2"/>
        <v>ADIF</v>
      </c>
      <c r="L76" s="103">
        <v>5.0</v>
      </c>
      <c r="M76" s="103">
        <v>5.0</v>
      </c>
      <c r="N76" s="103">
        <v>5.0</v>
      </c>
      <c r="O76" s="103">
        <v>5.0</v>
      </c>
      <c r="P76" s="103">
        <v>5.0</v>
      </c>
      <c r="Q76" s="1"/>
      <c r="R76" s="1"/>
      <c r="AC76" s="100">
        <f t="shared" si="3"/>
        <v>100</v>
      </c>
      <c r="AD76" s="100" t="str">
        <f t="shared" si="4"/>
        <v>Sangat Baik</v>
      </c>
      <c r="AE76" s="100" t="str">
        <f t="shared" si="5"/>
        <v>Fotografer</v>
      </c>
      <c r="AF76" s="100">
        <f t="shared" si="6"/>
        <v>1</v>
      </c>
      <c r="AG76" s="100" t="str">
        <f t="shared" si="7"/>
        <v>ADIF</v>
      </c>
    </row>
    <row r="77" ht="15.75" customHeight="1">
      <c r="A77" s="1"/>
      <c r="B77" s="110">
        <v>11.0</v>
      </c>
      <c r="C77" s="110"/>
      <c r="D77" s="142"/>
      <c r="E77" s="77"/>
      <c r="F77" s="1"/>
      <c r="G77" s="1"/>
      <c r="H77" s="1"/>
      <c r="I77" s="1"/>
      <c r="J77" s="1"/>
      <c r="K77" s="102" t="str">
        <f t="shared" si="2"/>
        <v>SAKA</v>
      </c>
      <c r="L77" s="103">
        <v>5.0</v>
      </c>
      <c r="M77" s="103">
        <v>5.0</v>
      </c>
      <c r="N77" s="103">
        <v>5.0</v>
      </c>
      <c r="O77" s="103">
        <v>5.0</v>
      </c>
      <c r="P77" s="103">
        <v>5.0</v>
      </c>
      <c r="Q77" s="1"/>
      <c r="R77" s="1"/>
      <c r="AC77" s="100">
        <f t="shared" si="3"/>
        <v>100</v>
      </c>
      <c r="AD77" s="100" t="str">
        <f t="shared" si="4"/>
        <v>Sangat Baik</v>
      </c>
      <c r="AE77" s="100" t="str">
        <f t="shared" si="5"/>
        <v>Fotografer</v>
      </c>
      <c r="AF77" s="100">
        <f t="shared" si="6"/>
        <v>1</v>
      </c>
      <c r="AG77" s="100" t="str">
        <f t="shared" si="7"/>
        <v>SAKA</v>
      </c>
    </row>
    <row r="78" ht="15.75" customHeight="1">
      <c r="A78" s="1"/>
      <c r="B78" s="1"/>
      <c r="C78" s="3"/>
      <c r="D78" s="115">
        <f>SUM(D67:D77)</f>
        <v>4620000</v>
      </c>
      <c r="E78" s="1"/>
      <c r="F78" s="1"/>
      <c r="G78" s="1"/>
      <c r="H78" s="1"/>
      <c r="I78" s="1"/>
      <c r="J78" s="1"/>
      <c r="K78" s="102"/>
      <c r="L78" s="117"/>
      <c r="M78" s="117"/>
      <c r="N78" s="117"/>
      <c r="O78" s="117"/>
      <c r="P78" s="117"/>
      <c r="Q78" s="1"/>
      <c r="R78" s="1"/>
      <c r="AC78" s="100" t="str">
        <f t="shared" si="3"/>
        <v/>
      </c>
      <c r="AD78" s="100" t="str">
        <f t="shared" si="4"/>
        <v/>
      </c>
      <c r="AE78" s="100" t="str">
        <f t="shared" si="5"/>
        <v/>
      </c>
      <c r="AF78" s="100" t="str">
        <f t="shared" si="6"/>
        <v/>
      </c>
      <c r="AG78" s="100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2"/>
      <c r="L79" s="117"/>
      <c r="M79" s="117"/>
      <c r="N79" s="117"/>
      <c r="O79" s="117"/>
      <c r="P79" s="117"/>
      <c r="Q79" s="1"/>
      <c r="R79" s="1"/>
      <c r="AC79" s="100" t="str">
        <f t="shared" si="3"/>
        <v/>
      </c>
      <c r="AD79" s="100" t="str">
        <f t="shared" si="4"/>
        <v/>
      </c>
      <c r="AE79" s="100" t="str">
        <f t="shared" si="5"/>
        <v/>
      </c>
      <c r="AF79" s="100" t="str">
        <f t="shared" si="6"/>
        <v/>
      </c>
      <c r="AG79" s="100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8" t="s">
        <v>186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9" t="s">
        <v>187</v>
      </c>
      <c r="N82" s="1"/>
      <c r="O82" s="1"/>
      <c r="P82" s="1"/>
      <c r="Q82" s="1"/>
      <c r="R82" s="1"/>
    </row>
    <row r="83" ht="15.75" customHeight="1">
      <c r="C83" s="143"/>
      <c r="D83" s="143"/>
      <c r="I83" s="145"/>
      <c r="J83" s="145"/>
      <c r="K83" s="121" t="s">
        <v>8</v>
      </c>
      <c r="L83" s="121" t="s">
        <v>189</v>
      </c>
      <c r="M83" s="121" t="s">
        <v>190</v>
      </c>
    </row>
    <row r="84" ht="15.75" customHeight="1">
      <c r="C84" s="143"/>
      <c r="D84" s="143"/>
      <c r="I84" s="145"/>
      <c r="J84" s="145"/>
      <c r="K84" s="123" t="str">
        <f t="shared" ref="K84:K85" si="8">IF(O67="","",O67)</f>
        <v>INDAH</v>
      </c>
      <c r="L84" s="127"/>
      <c r="M84" s="127"/>
    </row>
    <row r="85" ht="15.75" customHeight="1">
      <c r="C85" s="143"/>
      <c r="D85" s="143"/>
      <c r="I85" s="145"/>
      <c r="J85" s="145"/>
      <c r="K85" s="123" t="str">
        <f t="shared" si="8"/>
        <v>AMEL</v>
      </c>
      <c r="L85" s="124">
        <v>3.0</v>
      </c>
      <c r="M85" s="127"/>
    </row>
    <row r="86" ht="15.75" customHeight="1">
      <c r="C86" s="143"/>
      <c r="D86" s="143"/>
      <c r="I86" s="145"/>
      <c r="J86" s="145"/>
      <c r="K86" s="145"/>
      <c r="L86" s="145"/>
      <c r="M86" s="145"/>
    </row>
    <row r="87" ht="19.5" customHeight="1">
      <c r="C87" s="143"/>
      <c r="D87" s="143"/>
      <c r="I87" s="145"/>
      <c r="J87" s="145"/>
      <c r="K87" s="129" t="s">
        <v>194</v>
      </c>
    </row>
    <row r="88" ht="19.5" customHeight="1">
      <c r="C88" s="143"/>
      <c r="D88" s="143"/>
      <c r="I88" s="145"/>
      <c r="J88" s="145"/>
      <c r="K88" s="147" t="s">
        <v>196</v>
      </c>
      <c r="M88" s="124">
        <v>40.0</v>
      </c>
    </row>
    <row r="89" ht="19.5" customHeight="1">
      <c r="C89" s="143"/>
      <c r="D89" s="143"/>
      <c r="I89" s="145"/>
      <c r="J89" s="145"/>
      <c r="K89" s="148" t="s">
        <v>197</v>
      </c>
      <c r="M89" s="149">
        <v>3.0</v>
      </c>
      <c r="O89" s="150" t="s">
        <v>214</v>
      </c>
    </row>
    <row r="90" ht="19.5" customHeight="1">
      <c r="C90" s="143"/>
      <c r="D90" s="143"/>
      <c r="I90" s="145"/>
      <c r="J90" s="145"/>
      <c r="K90" s="148" t="s">
        <v>199</v>
      </c>
      <c r="M90" s="132">
        <f>COUNTIFS($I$40:$I$65,"&lt;&gt;DP",$I$40:$I$65,"&lt;&gt;")</f>
        <v>10</v>
      </c>
      <c r="O90" s="150" t="s">
        <v>215</v>
      </c>
    </row>
    <row r="91" ht="19.5" customHeight="1">
      <c r="C91" s="143"/>
      <c r="D91" s="143"/>
      <c r="I91" s="145"/>
      <c r="J91" s="145"/>
      <c r="K91" s="151" t="s">
        <v>201</v>
      </c>
      <c r="M91" s="132">
        <f>M89+M90</f>
        <v>13</v>
      </c>
      <c r="O91" s="150" t="s">
        <v>216</v>
      </c>
    </row>
    <row r="92" ht="19.5" customHeight="1">
      <c r="C92" s="143"/>
      <c r="D92" s="143"/>
      <c r="I92" s="145"/>
      <c r="J92" s="145"/>
      <c r="K92" s="147" t="s">
        <v>202</v>
      </c>
      <c r="M92" s="134">
        <f>IF(OR(M88="",M88=0),"",M89/M88)</f>
        <v>0.075</v>
      </c>
    </row>
    <row r="93" ht="15.75" customHeight="1">
      <c r="C93" s="143"/>
      <c r="D93" s="143"/>
      <c r="I93" s="145"/>
      <c r="J93" s="145"/>
      <c r="K93" s="145"/>
      <c r="L93" s="145"/>
      <c r="M93" s="145"/>
    </row>
    <row r="94" ht="15.75" customHeight="1">
      <c r="C94" s="143"/>
      <c r="D94" s="143"/>
      <c r="I94" s="145"/>
      <c r="J94" s="145"/>
      <c r="K94" s="145"/>
      <c r="L94" s="145"/>
      <c r="M94" s="145"/>
    </row>
    <row r="95" ht="15.75" customHeight="1">
      <c r="C95" s="143"/>
      <c r="D95" s="143"/>
      <c r="I95" s="145"/>
      <c r="J95" s="145"/>
      <c r="K95" s="145"/>
      <c r="L95" s="145"/>
      <c r="M95" s="145"/>
    </row>
    <row r="96" ht="15.75" customHeight="1">
      <c r="C96" s="143"/>
      <c r="D96" s="143"/>
      <c r="I96" s="145"/>
      <c r="J96" s="145"/>
      <c r="K96" s="145"/>
      <c r="L96" s="145"/>
      <c r="M96" s="145"/>
    </row>
    <row r="97" ht="15.75" customHeight="1">
      <c r="C97" s="143"/>
      <c r="D97" s="143"/>
      <c r="I97" s="145"/>
      <c r="J97" s="145"/>
      <c r="K97" s="145"/>
      <c r="L97" s="145"/>
      <c r="M97" s="145"/>
    </row>
    <row r="98" ht="15.75" customHeight="1">
      <c r="C98" s="143"/>
      <c r="D98" s="143"/>
      <c r="I98" s="145"/>
      <c r="J98" s="145"/>
      <c r="K98" s="145"/>
      <c r="L98" s="145"/>
      <c r="M98" s="145"/>
    </row>
    <row r="99" ht="15.75" customHeight="1">
      <c r="C99" s="143"/>
      <c r="D99" s="143"/>
      <c r="I99" s="145"/>
      <c r="J99" s="145"/>
      <c r="K99" s="145"/>
      <c r="L99" s="145"/>
      <c r="M99" s="145"/>
    </row>
    <row r="100" ht="15.75" customHeight="1">
      <c r="C100" s="143"/>
      <c r="D100" s="143"/>
      <c r="I100" s="145"/>
      <c r="J100" s="145"/>
      <c r="K100" s="145"/>
      <c r="L100" s="145"/>
      <c r="M100" s="145"/>
    </row>
    <row r="101" ht="15.75" customHeight="1">
      <c r="C101" s="143"/>
      <c r="D101" s="143"/>
      <c r="I101" s="145"/>
      <c r="J101" s="145"/>
      <c r="K101" s="145"/>
      <c r="L101" s="145"/>
      <c r="M101" s="145"/>
    </row>
    <row r="102" ht="15.75" customHeight="1">
      <c r="C102" s="143"/>
      <c r="D102" s="143"/>
      <c r="I102" s="145"/>
      <c r="J102" s="145"/>
      <c r="K102" s="145"/>
      <c r="L102" s="145"/>
      <c r="M102" s="145"/>
    </row>
    <row r="103" ht="15.75" customHeight="1">
      <c r="C103" s="143"/>
      <c r="D103" s="143"/>
      <c r="I103" s="145"/>
      <c r="J103" s="145"/>
      <c r="K103" s="145"/>
      <c r="L103" s="145"/>
      <c r="M103" s="145"/>
    </row>
    <row r="104" ht="15.75" customHeight="1">
      <c r="C104" s="143"/>
      <c r="D104" s="143"/>
      <c r="I104" s="145"/>
      <c r="J104" s="145"/>
      <c r="K104" s="145"/>
      <c r="L104" s="145"/>
      <c r="M104" s="145"/>
    </row>
    <row r="105" ht="15.75" customHeight="1">
      <c r="C105" s="143"/>
      <c r="D105" s="143"/>
      <c r="I105" s="145"/>
      <c r="J105" s="145"/>
      <c r="K105" s="145"/>
      <c r="L105" s="145"/>
      <c r="M105" s="145"/>
    </row>
    <row r="106" ht="15.75" customHeight="1">
      <c r="C106" s="143"/>
      <c r="D106" s="143"/>
      <c r="I106" s="145"/>
      <c r="J106" s="145"/>
      <c r="K106" s="145"/>
      <c r="L106" s="145"/>
      <c r="M106" s="145"/>
    </row>
    <row r="107" ht="15.75" customHeight="1">
      <c r="C107" s="143"/>
      <c r="D107" s="143"/>
      <c r="I107" s="145"/>
      <c r="J107" s="145"/>
      <c r="K107" s="145"/>
      <c r="L107" s="145"/>
      <c r="M107" s="145"/>
    </row>
    <row r="108" ht="15.75" customHeight="1">
      <c r="C108" s="143"/>
      <c r="D108" s="143"/>
      <c r="I108" s="145"/>
      <c r="J108" s="145"/>
      <c r="K108" s="145"/>
      <c r="L108" s="145"/>
      <c r="M108" s="145"/>
    </row>
    <row r="109" ht="15.75" customHeight="1">
      <c r="C109" s="143"/>
      <c r="D109" s="143"/>
      <c r="I109" s="145"/>
      <c r="J109" s="145"/>
      <c r="K109" s="145"/>
      <c r="L109" s="145"/>
      <c r="M109" s="145"/>
    </row>
    <row r="110" ht="15.75" customHeight="1">
      <c r="C110" s="143"/>
      <c r="D110" s="143"/>
      <c r="I110" s="145"/>
      <c r="J110" s="145"/>
      <c r="K110" s="145"/>
      <c r="L110" s="145"/>
      <c r="M110" s="145"/>
    </row>
    <row r="111" ht="15.75" customHeight="1">
      <c r="C111" s="143"/>
      <c r="D111" s="143"/>
      <c r="I111" s="145"/>
      <c r="J111" s="145"/>
      <c r="K111" s="145"/>
      <c r="L111" s="145"/>
      <c r="M111" s="145"/>
    </row>
    <row r="112" ht="15.75" customHeight="1">
      <c r="C112" s="143"/>
      <c r="D112" s="143"/>
      <c r="I112" s="145"/>
      <c r="J112" s="145"/>
      <c r="K112" s="145"/>
      <c r="L112" s="145"/>
      <c r="M112" s="145"/>
    </row>
    <row r="113" ht="15.75" customHeight="1">
      <c r="C113" s="143"/>
      <c r="D113" s="143"/>
      <c r="I113" s="145"/>
      <c r="J113" s="145"/>
      <c r="K113" s="145"/>
      <c r="L113" s="145"/>
      <c r="M113" s="145"/>
    </row>
    <row r="114" ht="15.75" customHeight="1">
      <c r="C114" s="143"/>
      <c r="D114" s="143"/>
      <c r="I114" s="145"/>
      <c r="J114" s="145"/>
      <c r="K114" s="145"/>
      <c r="L114" s="145"/>
      <c r="M114" s="145"/>
    </row>
    <row r="115" ht="15.75" customHeight="1">
      <c r="C115" s="143"/>
      <c r="D115" s="143"/>
      <c r="I115" s="145"/>
      <c r="J115" s="145"/>
      <c r="K115" s="145"/>
      <c r="L115" s="145"/>
      <c r="M115" s="145"/>
    </row>
    <row r="116" ht="15.75" customHeight="1">
      <c r="C116" s="143"/>
      <c r="D116" s="143"/>
      <c r="I116" s="145"/>
      <c r="J116" s="145"/>
      <c r="K116" s="145"/>
      <c r="L116" s="145"/>
      <c r="M116" s="145"/>
    </row>
    <row r="117" ht="15.75" customHeight="1">
      <c r="C117" s="143"/>
      <c r="D117" s="143"/>
      <c r="I117" s="145"/>
      <c r="J117" s="145"/>
      <c r="K117" s="145"/>
      <c r="L117" s="145"/>
      <c r="M117" s="145"/>
    </row>
    <row r="118" ht="15.75" customHeight="1">
      <c r="C118" s="143"/>
      <c r="D118" s="143"/>
      <c r="I118" s="145"/>
      <c r="J118" s="145"/>
      <c r="K118" s="145"/>
      <c r="L118" s="145"/>
      <c r="M118" s="145"/>
    </row>
    <row r="119" ht="15.75" customHeight="1">
      <c r="C119" s="143"/>
      <c r="D119" s="143"/>
      <c r="I119" s="145"/>
      <c r="J119" s="145"/>
      <c r="K119" s="145"/>
      <c r="L119" s="145"/>
      <c r="M119" s="145"/>
    </row>
    <row r="120" ht="15.75" customHeight="1">
      <c r="C120" s="143"/>
      <c r="D120" s="143"/>
      <c r="I120" s="145"/>
      <c r="J120" s="145"/>
      <c r="K120" s="145"/>
      <c r="L120" s="145"/>
      <c r="M120" s="145"/>
    </row>
    <row r="121" ht="15.75" customHeight="1">
      <c r="C121" s="143"/>
      <c r="D121" s="143"/>
      <c r="I121" s="145"/>
      <c r="J121" s="145"/>
      <c r="K121" s="145"/>
      <c r="L121" s="145"/>
      <c r="M121" s="145"/>
    </row>
    <row r="122" ht="15.75" customHeight="1">
      <c r="C122" s="143"/>
      <c r="D122" s="143"/>
      <c r="I122" s="145"/>
      <c r="J122" s="145"/>
      <c r="K122" s="145"/>
      <c r="L122" s="145"/>
      <c r="M122" s="145"/>
    </row>
    <row r="123" ht="15.75" customHeight="1">
      <c r="C123" s="143"/>
      <c r="D123" s="143"/>
      <c r="I123" s="145"/>
      <c r="J123" s="145"/>
      <c r="K123" s="145"/>
      <c r="L123" s="145"/>
      <c r="M123" s="145"/>
    </row>
    <row r="124" ht="15.75" customHeight="1">
      <c r="C124" s="143"/>
      <c r="D124" s="143"/>
      <c r="I124" s="145"/>
      <c r="J124" s="145"/>
      <c r="K124" s="145"/>
      <c r="L124" s="145"/>
      <c r="M124" s="145"/>
    </row>
    <row r="125" ht="15.75" customHeight="1">
      <c r="C125" s="143"/>
      <c r="D125" s="143"/>
      <c r="I125" s="145"/>
      <c r="J125" s="145"/>
      <c r="K125" s="145"/>
      <c r="L125" s="145"/>
      <c r="M125" s="145"/>
    </row>
    <row r="126" ht="15.75" customHeight="1">
      <c r="C126" s="143"/>
      <c r="D126" s="143"/>
      <c r="I126" s="145"/>
      <c r="J126" s="145"/>
      <c r="K126" s="145"/>
      <c r="L126" s="145"/>
      <c r="M126" s="145"/>
    </row>
    <row r="127" ht="15.75" customHeight="1">
      <c r="C127" s="143"/>
      <c r="D127" s="143"/>
      <c r="I127" s="145"/>
      <c r="J127" s="145"/>
      <c r="K127" s="145"/>
      <c r="L127" s="145"/>
      <c r="M127" s="145"/>
    </row>
    <row r="128" ht="15.75" customHeight="1">
      <c r="C128" s="143"/>
      <c r="D128" s="143"/>
      <c r="I128" s="145"/>
      <c r="J128" s="145"/>
      <c r="K128" s="145"/>
      <c r="L128" s="145"/>
      <c r="M128" s="145"/>
    </row>
    <row r="129" ht="15.75" customHeight="1">
      <c r="C129" s="143"/>
      <c r="D129" s="143"/>
      <c r="I129" s="145"/>
      <c r="J129" s="145"/>
      <c r="K129" s="145"/>
      <c r="L129" s="145"/>
      <c r="M129" s="145"/>
    </row>
    <row r="130" ht="15.75" customHeight="1">
      <c r="C130" s="143"/>
      <c r="D130" s="143"/>
      <c r="I130" s="145"/>
      <c r="J130" s="145"/>
      <c r="K130" s="145"/>
      <c r="L130" s="145"/>
      <c r="M130" s="145"/>
    </row>
    <row r="131" ht="15.75" customHeight="1">
      <c r="C131" s="143"/>
      <c r="D131" s="143"/>
      <c r="I131" s="145"/>
      <c r="J131" s="145"/>
      <c r="K131" s="145"/>
      <c r="L131" s="145"/>
      <c r="M131" s="145"/>
    </row>
    <row r="132" ht="15.75" customHeight="1">
      <c r="C132" s="143"/>
      <c r="D132" s="143"/>
      <c r="I132" s="145"/>
      <c r="J132" s="145"/>
      <c r="K132" s="145"/>
      <c r="L132" s="145"/>
      <c r="M132" s="145"/>
    </row>
    <row r="133" ht="15.75" customHeight="1">
      <c r="C133" s="143"/>
      <c r="D133" s="143"/>
      <c r="I133" s="145"/>
      <c r="J133" s="145"/>
      <c r="K133" s="145"/>
      <c r="L133" s="145"/>
      <c r="M133" s="145"/>
    </row>
    <row r="134" ht="15.75" customHeight="1">
      <c r="C134" s="143"/>
      <c r="D134" s="143"/>
      <c r="I134" s="145"/>
      <c r="J134" s="145"/>
      <c r="K134" s="145"/>
      <c r="L134" s="145"/>
      <c r="M134" s="145"/>
    </row>
    <row r="135" ht="15.75" customHeight="1">
      <c r="C135" s="143"/>
      <c r="D135" s="143"/>
      <c r="I135" s="145"/>
      <c r="J135" s="145"/>
      <c r="K135" s="145"/>
      <c r="L135" s="145"/>
      <c r="M135" s="145"/>
    </row>
    <row r="136" ht="15.75" customHeight="1">
      <c r="C136" s="143"/>
      <c r="D136" s="143"/>
      <c r="I136" s="145"/>
      <c r="J136" s="145"/>
      <c r="K136" s="145"/>
      <c r="L136" s="145"/>
      <c r="M136" s="145"/>
    </row>
    <row r="137" ht="15.75" customHeight="1">
      <c r="C137" s="143"/>
      <c r="D137" s="143"/>
      <c r="I137" s="145"/>
      <c r="J137" s="145"/>
      <c r="K137" s="145"/>
      <c r="L137" s="145"/>
      <c r="M137" s="145"/>
    </row>
    <row r="138" ht="15.75" customHeight="1">
      <c r="C138" s="143"/>
      <c r="D138" s="143"/>
      <c r="I138" s="145"/>
      <c r="J138" s="145"/>
      <c r="K138" s="145"/>
      <c r="L138" s="145"/>
      <c r="M138" s="145"/>
    </row>
    <row r="139" ht="15.75" customHeight="1">
      <c r="C139" s="143"/>
      <c r="D139" s="143"/>
      <c r="I139" s="145"/>
      <c r="J139" s="145"/>
      <c r="K139" s="145"/>
      <c r="L139" s="145"/>
      <c r="M139" s="145"/>
    </row>
    <row r="140" ht="15.75" customHeight="1">
      <c r="C140" s="143"/>
      <c r="D140" s="143"/>
      <c r="I140" s="145"/>
      <c r="J140" s="145"/>
      <c r="K140" s="145"/>
      <c r="L140" s="145"/>
      <c r="M140" s="145"/>
    </row>
    <row r="141" ht="15.75" customHeight="1">
      <c r="C141" s="143"/>
      <c r="D141" s="143"/>
      <c r="I141" s="145"/>
      <c r="J141" s="145"/>
      <c r="K141" s="145"/>
      <c r="L141" s="145"/>
      <c r="M141" s="145"/>
    </row>
    <row r="142" ht="15.75" customHeight="1">
      <c r="C142" s="143"/>
      <c r="D142" s="143"/>
      <c r="I142" s="145"/>
      <c r="J142" s="145"/>
      <c r="K142" s="145"/>
      <c r="L142" s="145"/>
      <c r="M142" s="145"/>
    </row>
    <row r="143" ht="15.75" customHeight="1">
      <c r="C143" s="143"/>
      <c r="D143" s="143"/>
      <c r="I143" s="145"/>
      <c r="J143" s="145"/>
      <c r="K143" s="145"/>
      <c r="L143" s="145"/>
      <c r="M143" s="145"/>
    </row>
    <row r="144" ht="15.75" customHeight="1">
      <c r="C144" s="143"/>
      <c r="D144" s="143"/>
      <c r="I144" s="145"/>
      <c r="J144" s="145"/>
      <c r="K144" s="145"/>
      <c r="L144" s="145"/>
      <c r="M144" s="145"/>
    </row>
    <row r="145" ht="15.75" customHeight="1">
      <c r="C145" s="143"/>
      <c r="D145" s="143"/>
      <c r="I145" s="145"/>
      <c r="J145" s="145"/>
      <c r="K145" s="145"/>
      <c r="L145" s="145"/>
      <c r="M145" s="145"/>
    </row>
    <row r="146" ht="15.75" customHeight="1">
      <c r="C146" s="143"/>
      <c r="D146" s="143"/>
      <c r="I146" s="145"/>
      <c r="J146" s="145"/>
      <c r="K146" s="145"/>
      <c r="L146" s="145"/>
      <c r="M146" s="145"/>
    </row>
    <row r="147" ht="15.75" customHeight="1">
      <c r="C147" s="143"/>
      <c r="D147" s="143"/>
      <c r="I147" s="145"/>
      <c r="J147" s="145"/>
      <c r="K147" s="145"/>
      <c r="L147" s="145"/>
      <c r="M147" s="145"/>
    </row>
    <row r="148" ht="15.75" customHeight="1">
      <c r="C148" s="143"/>
      <c r="D148" s="143"/>
      <c r="I148" s="145"/>
      <c r="J148" s="145"/>
      <c r="K148" s="145"/>
      <c r="L148" s="145"/>
      <c r="M148" s="145"/>
    </row>
    <row r="149" ht="15.75" customHeight="1">
      <c r="C149" s="143"/>
      <c r="D149" s="143"/>
      <c r="I149" s="145"/>
      <c r="J149" s="145"/>
      <c r="K149" s="145"/>
      <c r="L149" s="145"/>
      <c r="M149" s="145"/>
    </row>
    <row r="150" ht="15.75" customHeight="1">
      <c r="C150" s="143"/>
      <c r="D150" s="143"/>
      <c r="I150" s="145"/>
      <c r="J150" s="145"/>
      <c r="K150" s="145"/>
      <c r="L150" s="145"/>
      <c r="M150" s="145"/>
    </row>
    <row r="151" ht="15.75" customHeight="1">
      <c r="C151" s="143"/>
      <c r="D151" s="143"/>
      <c r="I151" s="145"/>
      <c r="J151" s="145"/>
      <c r="K151" s="145"/>
      <c r="L151" s="145"/>
      <c r="M151" s="145"/>
    </row>
    <row r="152" ht="15.75" customHeight="1">
      <c r="C152" s="143"/>
      <c r="D152" s="143"/>
      <c r="I152" s="145"/>
      <c r="J152" s="145"/>
      <c r="K152" s="145"/>
      <c r="L152" s="145"/>
      <c r="M152" s="145"/>
    </row>
    <row r="153" ht="15.75" customHeight="1">
      <c r="C153" s="143"/>
      <c r="D153" s="143"/>
      <c r="I153" s="145"/>
      <c r="J153" s="145"/>
      <c r="K153" s="145"/>
      <c r="L153" s="145"/>
      <c r="M153" s="145"/>
    </row>
    <row r="154" ht="15.75" customHeight="1">
      <c r="C154" s="143"/>
      <c r="D154" s="143"/>
      <c r="I154" s="145"/>
      <c r="J154" s="145"/>
      <c r="K154" s="145"/>
      <c r="L154" s="145"/>
      <c r="M154" s="145"/>
    </row>
    <row r="155" ht="15.75" customHeight="1">
      <c r="C155" s="143"/>
      <c r="D155" s="143"/>
      <c r="I155" s="145"/>
      <c r="J155" s="145"/>
      <c r="K155" s="145"/>
      <c r="L155" s="145"/>
      <c r="M155" s="145"/>
    </row>
    <row r="156" ht="15.75" customHeight="1">
      <c r="C156" s="143"/>
      <c r="D156" s="143"/>
      <c r="I156" s="145"/>
      <c r="J156" s="145"/>
      <c r="K156" s="145"/>
      <c r="L156" s="145"/>
      <c r="M156" s="145"/>
    </row>
    <row r="157" ht="15.75" customHeight="1">
      <c r="C157" s="143"/>
      <c r="D157" s="143"/>
      <c r="I157" s="145"/>
      <c r="J157" s="145"/>
      <c r="K157" s="145"/>
      <c r="L157" s="145"/>
      <c r="M157" s="145"/>
    </row>
    <row r="158" ht="15.75" customHeight="1">
      <c r="C158" s="143"/>
      <c r="D158" s="143"/>
      <c r="I158" s="145"/>
      <c r="J158" s="145"/>
      <c r="K158" s="145"/>
      <c r="L158" s="145"/>
      <c r="M158" s="145"/>
    </row>
    <row r="159" ht="15.75" customHeight="1">
      <c r="C159" s="143"/>
      <c r="D159" s="143"/>
      <c r="I159" s="145"/>
      <c r="J159" s="145"/>
      <c r="K159" s="145"/>
      <c r="L159" s="145"/>
      <c r="M159" s="145"/>
    </row>
    <row r="160" ht="15.75" customHeight="1">
      <c r="C160" s="143"/>
      <c r="D160" s="143"/>
      <c r="I160" s="145"/>
      <c r="J160" s="145"/>
      <c r="K160" s="145"/>
      <c r="L160" s="145"/>
      <c r="M160" s="145"/>
    </row>
    <row r="161" ht="15.75" customHeight="1">
      <c r="C161" s="143"/>
      <c r="D161" s="143"/>
      <c r="I161" s="145"/>
      <c r="J161" s="145"/>
      <c r="K161" s="145"/>
      <c r="L161" s="145"/>
      <c r="M161" s="145"/>
    </row>
    <row r="162" ht="15.75" customHeight="1">
      <c r="C162" s="143"/>
      <c r="D162" s="143"/>
      <c r="I162" s="145"/>
      <c r="J162" s="145"/>
      <c r="K162" s="145"/>
      <c r="L162" s="145"/>
      <c r="M162" s="145"/>
    </row>
    <row r="163" ht="15.75" customHeight="1">
      <c r="C163" s="143"/>
      <c r="D163" s="143"/>
      <c r="I163" s="145"/>
      <c r="J163" s="145"/>
      <c r="K163" s="145"/>
      <c r="L163" s="145"/>
      <c r="M163" s="145"/>
    </row>
    <row r="164" ht="15.75" customHeight="1">
      <c r="C164" s="143"/>
      <c r="D164" s="143"/>
      <c r="I164" s="145"/>
      <c r="J164" s="145"/>
      <c r="K164" s="145"/>
      <c r="L164" s="145"/>
      <c r="M164" s="145"/>
    </row>
    <row r="165" ht="15.75" customHeight="1">
      <c r="C165" s="143"/>
      <c r="D165" s="143"/>
      <c r="I165" s="145"/>
      <c r="J165" s="145"/>
      <c r="K165" s="145"/>
      <c r="L165" s="145"/>
      <c r="M165" s="145"/>
    </row>
    <row r="166" ht="15.75" customHeight="1">
      <c r="C166" s="143"/>
      <c r="D166" s="143"/>
      <c r="I166" s="145"/>
      <c r="J166" s="145"/>
      <c r="K166" s="145"/>
      <c r="L166" s="145"/>
      <c r="M166" s="145"/>
    </row>
    <row r="167" ht="15.75" customHeight="1">
      <c r="C167" s="143"/>
      <c r="D167" s="143"/>
      <c r="I167" s="145"/>
      <c r="J167" s="145"/>
      <c r="K167" s="145"/>
      <c r="L167" s="145"/>
      <c r="M167" s="145"/>
    </row>
    <row r="168" ht="15.75" customHeight="1">
      <c r="C168" s="143"/>
      <c r="D168" s="143"/>
      <c r="I168" s="145"/>
      <c r="J168" s="145"/>
      <c r="K168" s="145"/>
      <c r="L168" s="145"/>
      <c r="M168" s="145"/>
    </row>
    <row r="169" ht="15.75" customHeight="1">
      <c r="C169" s="143"/>
      <c r="D169" s="143"/>
      <c r="I169" s="145"/>
      <c r="J169" s="145"/>
      <c r="K169" s="145"/>
      <c r="L169" s="145"/>
      <c r="M169" s="145"/>
    </row>
    <row r="170" ht="15.75" customHeight="1">
      <c r="C170" s="143"/>
      <c r="D170" s="143"/>
      <c r="I170" s="145"/>
      <c r="J170" s="145"/>
      <c r="K170" s="145"/>
      <c r="L170" s="145"/>
      <c r="M170" s="145"/>
    </row>
    <row r="171" ht="15.75" customHeight="1">
      <c r="C171" s="143"/>
      <c r="D171" s="143"/>
      <c r="I171" s="145"/>
      <c r="J171" s="145"/>
      <c r="K171" s="145"/>
      <c r="L171" s="145"/>
      <c r="M171" s="145"/>
    </row>
    <row r="172" ht="15.75" customHeight="1">
      <c r="C172" s="143"/>
      <c r="D172" s="143"/>
      <c r="I172" s="145"/>
      <c r="J172" s="145"/>
      <c r="K172" s="145"/>
      <c r="L172" s="145"/>
      <c r="M172" s="145"/>
    </row>
    <row r="173" ht="15.75" customHeight="1">
      <c r="C173" s="143"/>
      <c r="D173" s="143"/>
      <c r="I173" s="145"/>
      <c r="J173" s="145"/>
      <c r="K173" s="145"/>
      <c r="L173" s="145"/>
      <c r="M173" s="145"/>
    </row>
    <row r="174" ht="15.75" customHeight="1">
      <c r="C174" s="143"/>
      <c r="D174" s="143"/>
      <c r="I174" s="145"/>
      <c r="J174" s="145"/>
      <c r="K174" s="145"/>
      <c r="L174" s="145"/>
      <c r="M174" s="145"/>
    </row>
    <row r="175" ht="15.75" customHeight="1">
      <c r="C175" s="143"/>
      <c r="D175" s="143"/>
      <c r="I175" s="145"/>
      <c r="J175" s="145"/>
      <c r="K175" s="145"/>
      <c r="L175" s="145"/>
      <c r="M175" s="145"/>
    </row>
    <row r="176" ht="15.75" customHeight="1">
      <c r="C176" s="143"/>
      <c r="D176" s="143"/>
      <c r="I176" s="145"/>
      <c r="J176" s="145"/>
      <c r="K176" s="145"/>
      <c r="L176" s="145"/>
      <c r="M176" s="145"/>
    </row>
    <row r="177" ht="15.75" customHeight="1">
      <c r="C177" s="143"/>
      <c r="D177" s="143"/>
      <c r="I177" s="145"/>
      <c r="J177" s="145"/>
      <c r="K177" s="145"/>
      <c r="L177" s="145"/>
      <c r="M177" s="145"/>
    </row>
    <row r="178" ht="15.75" customHeight="1">
      <c r="C178" s="143"/>
      <c r="D178" s="143"/>
      <c r="I178" s="145"/>
      <c r="J178" s="145"/>
      <c r="K178" s="145"/>
      <c r="L178" s="145"/>
      <c r="M178" s="145"/>
    </row>
    <row r="179" ht="15.75" customHeight="1">
      <c r="C179" s="143"/>
      <c r="D179" s="143"/>
      <c r="I179" s="145"/>
      <c r="J179" s="145"/>
      <c r="K179" s="145"/>
      <c r="L179" s="145"/>
      <c r="M179" s="145"/>
    </row>
    <row r="180" ht="15.75" customHeight="1">
      <c r="C180" s="143"/>
      <c r="D180" s="143"/>
      <c r="I180" s="145"/>
      <c r="J180" s="145"/>
      <c r="K180" s="145"/>
      <c r="L180" s="145"/>
      <c r="M180" s="145"/>
    </row>
    <row r="181" ht="15.75" customHeight="1">
      <c r="C181" s="143"/>
      <c r="D181" s="143"/>
      <c r="I181" s="145"/>
      <c r="J181" s="145"/>
      <c r="K181" s="145"/>
      <c r="L181" s="145"/>
      <c r="M181" s="145"/>
    </row>
    <row r="182" ht="15.75" customHeight="1">
      <c r="C182" s="143"/>
      <c r="D182" s="143"/>
      <c r="I182" s="145"/>
      <c r="J182" s="145"/>
      <c r="K182" s="145"/>
      <c r="L182" s="145"/>
      <c r="M182" s="145"/>
    </row>
    <row r="183" ht="15.75" customHeight="1">
      <c r="C183" s="143"/>
      <c r="D183" s="143"/>
      <c r="I183" s="145"/>
      <c r="J183" s="145"/>
      <c r="K183" s="145"/>
      <c r="L183" s="145"/>
      <c r="M183" s="145"/>
    </row>
    <row r="184" ht="15.75" customHeight="1">
      <c r="C184" s="143"/>
      <c r="D184" s="143"/>
      <c r="I184" s="145"/>
      <c r="J184" s="145"/>
      <c r="K184" s="145"/>
      <c r="L184" s="145"/>
      <c r="M184" s="145"/>
    </row>
    <row r="185" ht="15.75" customHeight="1">
      <c r="C185" s="143"/>
      <c r="D185" s="143"/>
      <c r="I185" s="145"/>
      <c r="J185" s="145"/>
      <c r="K185" s="145"/>
      <c r="L185" s="145"/>
      <c r="M185" s="145"/>
    </row>
    <row r="186" ht="15.75" customHeight="1">
      <c r="C186" s="143"/>
      <c r="D186" s="143"/>
      <c r="I186" s="145"/>
      <c r="J186" s="145"/>
      <c r="K186" s="145"/>
      <c r="L186" s="145"/>
      <c r="M186" s="145"/>
    </row>
    <row r="187" ht="15.75" customHeight="1">
      <c r="C187" s="143"/>
      <c r="D187" s="143"/>
      <c r="I187" s="145"/>
      <c r="J187" s="145"/>
      <c r="K187" s="145"/>
      <c r="L187" s="145"/>
      <c r="M187" s="145"/>
    </row>
    <row r="188" ht="15.75" customHeight="1">
      <c r="C188" s="143"/>
      <c r="D188" s="143"/>
      <c r="I188" s="145"/>
      <c r="J188" s="145"/>
      <c r="K188" s="145"/>
      <c r="L188" s="145"/>
      <c r="M188" s="145"/>
    </row>
    <row r="189" ht="15.75" customHeight="1">
      <c r="C189" s="143"/>
      <c r="D189" s="143"/>
      <c r="I189" s="145"/>
      <c r="J189" s="145"/>
      <c r="K189" s="145"/>
      <c r="L189" s="145"/>
      <c r="M189" s="145"/>
    </row>
    <row r="190" ht="15.75" customHeight="1">
      <c r="C190" s="143"/>
      <c r="D190" s="143"/>
      <c r="I190" s="145"/>
      <c r="J190" s="145"/>
      <c r="K190" s="145"/>
      <c r="L190" s="145"/>
      <c r="M190" s="145"/>
    </row>
    <row r="191" ht="15.75" customHeight="1">
      <c r="C191" s="143"/>
      <c r="D191" s="143"/>
      <c r="I191" s="145"/>
      <c r="J191" s="145"/>
      <c r="K191" s="145"/>
      <c r="L191" s="145"/>
      <c r="M191" s="145"/>
    </row>
    <row r="192" ht="15.75" customHeight="1">
      <c r="C192" s="143"/>
      <c r="D192" s="143"/>
      <c r="I192" s="145"/>
      <c r="J192" s="145"/>
      <c r="K192" s="145"/>
      <c r="L192" s="145"/>
      <c r="M192" s="145"/>
    </row>
    <row r="193" ht="15.75" customHeight="1">
      <c r="C193" s="143"/>
      <c r="D193" s="143"/>
      <c r="I193" s="145"/>
      <c r="J193" s="145"/>
      <c r="K193" s="145"/>
      <c r="L193" s="145"/>
      <c r="M193" s="145"/>
    </row>
    <row r="194" ht="15.75" customHeight="1">
      <c r="C194" s="143"/>
      <c r="D194" s="143"/>
      <c r="I194" s="145"/>
      <c r="J194" s="145"/>
      <c r="K194" s="145"/>
      <c r="L194" s="145"/>
      <c r="M194" s="145"/>
    </row>
    <row r="195" ht="15.75" customHeight="1">
      <c r="C195" s="143"/>
      <c r="D195" s="143"/>
      <c r="I195" s="145"/>
      <c r="J195" s="145"/>
      <c r="K195" s="145"/>
      <c r="L195" s="145"/>
      <c r="M195" s="145"/>
    </row>
    <row r="196" ht="15.75" customHeight="1">
      <c r="C196" s="143"/>
      <c r="D196" s="143"/>
      <c r="I196" s="145"/>
      <c r="J196" s="145"/>
      <c r="K196" s="145"/>
      <c r="L196" s="145"/>
      <c r="M196" s="145"/>
    </row>
    <row r="197" ht="15.75" customHeight="1">
      <c r="C197" s="143"/>
      <c r="D197" s="143"/>
      <c r="I197" s="145"/>
      <c r="J197" s="145"/>
      <c r="K197" s="145"/>
      <c r="L197" s="145"/>
      <c r="M197" s="145"/>
    </row>
    <row r="198" ht="15.75" customHeight="1">
      <c r="C198" s="143"/>
      <c r="D198" s="143"/>
      <c r="I198" s="145"/>
      <c r="J198" s="145"/>
      <c r="K198" s="145"/>
      <c r="L198" s="145"/>
      <c r="M198" s="145"/>
    </row>
    <row r="199" ht="15.75" customHeight="1">
      <c r="C199" s="143"/>
      <c r="D199" s="143"/>
      <c r="I199" s="145"/>
      <c r="J199" s="145"/>
      <c r="K199" s="145"/>
      <c r="L199" s="145"/>
      <c r="M199" s="145"/>
    </row>
    <row r="200" ht="15.75" customHeight="1">
      <c r="C200" s="143"/>
      <c r="D200" s="143"/>
      <c r="I200" s="145"/>
      <c r="J200" s="145"/>
      <c r="K200" s="145"/>
      <c r="L200" s="145"/>
      <c r="M200" s="145"/>
    </row>
    <row r="201" ht="15.75" customHeight="1">
      <c r="C201" s="143"/>
      <c r="D201" s="143"/>
      <c r="I201" s="145"/>
      <c r="J201" s="145"/>
      <c r="K201" s="145"/>
      <c r="L201" s="145"/>
      <c r="M201" s="145"/>
    </row>
    <row r="202" ht="15.75" customHeight="1">
      <c r="C202" s="143"/>
      <c r="D202" s="143"/>
      <c r="I202" s="145"/>
      <c r="J202" s="145"/>
      <c r="K202" s="145"/>
      <c r="L202" s="145"/>
      <c r="M202" s="145"/>
    </row>
    <row r="203" ht="15.75" customHeight="1">
      <c r="C203" s="143"/>
      <c r="D203" s="143"/>
      <c r="I203" s="145"/>
      <c r="J203" s="145"/>
      <c r="K203" s="145"/>
      <c r="L203" s="145"/>
      <c r="M203" s="145"/>
    </row>
    <row r="204" ht="15.75" customHeight="1">
      <c r="C204" s="143"/>
      <c r="D204" s="143"/>
      <c r="I204" s="145"/>
      <c r="J204" s="145"/>
      <c r="K204" s="145"/>
      <c r="L204" s="145"/>
      <c r="M204" s="145"/>
    </row>
    <row r="205" ht="15.75" customHeight="1">
      <c r="C205" s="143"/>
      <c r="D205" s="143"/>
      <c r="I205" s="145"/>
      <c r="J205" s="145"/>
      <c r="K205" s="145"/>
      <c r="L205" s="145"/>
      <c r="M205" s="145"/>
    </row>
    <row r="206" ht="15.75" customHeight="1">
      <c r="C206" s="143"/>
      <c r="D206" s="143"/>
      <c r="I206" s="145"/>
      <c r="J206" s="145"/>
      <c r="K206" s="145"/>
      <c r="L206" s="145"/>
      <c r="M206" s="145"/>
    </row>
    <row r="207" ht="15.75" customHeight="1">
      <c r="C207" s="143"/>
      <c r="D207" s="143"/>
      <c r="I207" s="145"/>
      <c r="J207" s="145"/>
      <c r="K207" s="145"/>
      <c r="L207" s="145"/>
      <c r="M207" s="145"/>
    </row>
    <row r="208" ht="15.75" customHeight="1">
      <c r="C208" s="143"/>
      <c r="D208" s="143"/>
      <c r="I208" s="145"/>
      <c r="J208" s="145"/>
      <c r="K208" s="145"/>
      <c r="L208" s="145"/>
      <c r="M208" s="145"/>
    </row>
    <row r="209" ht="15.75" customHeight="1">
      <c r="C209" s="143"/>
      <c r="D209" s="143"/>
      <c r="I209" s="145"/>
      <c r="J209" s="145"/>
      <c r="K209" s="145"/>
      <c r="L209" s="145"/>
      <c r="M209" s="145"/>
    </row>
    <row r="210" ht="15.75" customHeight="1">
      <c r="C210" s="143"/>
      <c r="D210" s="143"/>
      <c r="I210" s="145"/>
      <c r="J210" s="145"/>
      <c r="K210" s="145"/>
      <c r="L210" s="145"/>
      <c r="M210" s="145"/>
    </row>
    <row r="211" ht="15.75" customHeight="1">
      <c r="C211" s="143"/>
      <c r="D211" s="143"/>
      <c r="I211" s="145"/>
      <c r="J211" s="145"/>
      <c r="K211" s="145"/>
      <c r="L211" s="145"/>
      <c r="M211" s="145"/>
    </row>
    <row r="212" ht="15.75" customHeight="1">
      <c r="C212" s="143"/>
      <c r="D212" s="143"/>
      <c r="I212" s="145"/>
      <c r="J212" s="145"/>
      <c r="K212" s="145"/>
      <c r="L212" s="145"/>
      <c r="M212" s="145"/>
    </row>
    <row r="213" ht="15.75" customHeight="1">
      <c r="C213" s="143"/>
      <c r="D213" s="143"/>
      <c r="I213" s="145"/>
      <c r="J213" s="145"/>
      <c r="K213" s="145"/>
      <c r="L213" s="145"/>
      <c r="M213" s="145"/>
    </row>
    <row r="214" ht="15.75" customHeight="1">
      <c r="C214" s="143"/>
      <c r="D214" s="143"/>
      <c r="I214" s="145"/>
      <c r="J214" s="145"/>
      <c r="K214" s="145"/>
      <c r="L214" s="145"/>
      <c r="M214" s="145"/>
    </row>
    <row r="215" ht="15.75" customHeight="1">
      <c r="C215" s="143"/>
      <c r="D215" s="143"/>
      <c r="I215" s="145"/>
      <c r="J215" s="145"/>
      <c r="K215" s="145"/>
      <c r="L215" s="145"/>
      <c r="M215" s="145"/>
    </row>
    <row r="216" ht="15.75" customHeight="1">
      <c r="C216" s="143"/>
      <c r="D216" s="143"/>
      <c r="I216" s="145"/>
      <c r="J216" s="145"/>
      <c r="K216" s="145"/>
      <c r="L216" s="145"/>
      <c r="M216" s="145"/>
    </row>
    <row r="217" ht="15.75" customHeight="1">
      <c r="C217" s="143"/>
      <c r="D217" s="143"/>
      <c r="I217" s="145"/>
      <c r="J217" s="145"/>
      <c r="K217" s="145"/>
      <c r="L217" s="145"/>
      <c r="M217" s="145"/>
    </row>
    <row r="218" ht="15.75" customHeight="1">
      <c r="C218" s="143"/>
      <c r="D218" s="143"/>
      <c r="I218" s="145"/>
      <c r="J218" s="145"/>
      <c r="K218" s="145"/>
      <c r="L218" s="145"/>
      <c r="M218" s="145"/>
    </row>
    <row r="219" ht="15.75" customHeight="1">
      <c r="C219" s="143"/>
      <c r="D219" s="143"/>
      <c r="I219" s="145"/>
      <c r="J219" s="145"/>
      <c r="K219" s="145"/>
      <c r="L219" s="145"/>
      <c r="M219" s="145"/>
    </row>
    <row r="220" ht="15.75" customHeight="1">
      <c r="C220" s="143"/>
      <c r="D220" s="143"/>
      <c r="I220" s="145"/>
      <c r="J220" s="145"/>
      <c r="K220" s="145"/>
      <c r="L220" s="145"/>
      <c r="M220" s="145"/>
    </row>
    <row r="221" ht="15.75" customHeight="1">
      <c r="C221" s="143"/>
      <c r="D221" s="143"/>
      <c r="I221" s="145"/>
      <c r="J221" s="145"/>
      <c r="K221" s="145"/>
      <c r="L221" s="145"/>
      <c r="M221" s="145"/>
    </row>
    <row r="222" ht="15.75" customHeight="1">
      <c r="C222" s="143"/>
      <c r="D222" s="143"/>
      <c r="I222" s="145"/>
      <c r="J222" s="145"/>
      <c r="K222" s="145"/>
      <c r="L222" s="145"/>
      <c r="M222" s="145"/>
    </row>
    <row r="223" ht="15.75" customHeight="1">
      <c r="C223" s="143"/>
      <c r="D223" s="143"/>
      <c r="I223" s="145"/>
      <c r="J223" s="145"/>
      <c r="K223" s="145"/>
      <c r="L223" s="145"/>
      <c r="M223" s="145"/>
    </row>
    <row r="224" ht="15.75" customHeight="1">
      <c r="C224" s="143"/>
      <c r="D224" s="143"/>
      <c r="I224" s="145"/>
      <c r="J224" s="145"/>
      <c r="K224" s="145"/>
      <c r="L224" s="145"/>
      <c r="M224" s="145"/>
    </row>
    <row r="225" ht="15.75" customHeight="1">
      <c r="C225" s="143"/>
      <c r="D225" s="143"/>
      <c r="I225" s="145"/>
      <c r="J225" s="145"/>
      <c r="K225" s="145"/>
      <c r="L225" s="145"/>
      <c r="M225" s="145"/>
    </row>
    <row r="226" ht="15.75" customHeight="1">
      <c r="C226" s="143"/>
      <c r="D226" s="143"/>
      <c r="I226" s="145"/>
      <c r="J226" s="145"/>
      <c r="K226" s="145"/>
      <c r="L226" s="145"/>
      <c r="M226" s="145"/>
    </row>
    <row r="227" ht="15.75" customHeight="1">
      <c r="C227" s="143"/>
      <c r="D227" s="143"/>
      <c r="I227" s="145"/>
      <c r="J227" s="145"/>
      <c r="K227" s="145"/>
      <c r="L227" s="145"/>
      <c r="M227" s="145"/>
    </row>
    <row r="228" ht="15.75" customHeight="1">
      <c r="C228" s="143"/>
      <c r="D228" s="143"/>
      <c r="I228" s="145"/>
      <c r="J228" s="145"/>
      <c r="K228" s="145"/>
      <c r="L228" s="145"/>
      <c r="M228" s="145"/>
    </row>
    <row r="229" ht="15.75" customHeight="1">
      <c r="C229" s="143"/>
      <c r="D229" s="143"/>
      <c r="I229" s="145"/>
      <c r="J229" s="145"/>
      <c r="K229" s="145"/>
      <c r="L229" s="145"/>
      <c r="M229" s="145"/>
    </row>
    <row r="230" ht="15.75" customHeight="1">
      <c r="C230" s="143"/>
      <c r="D230" s="143"/>
      <c r="I230" s="145"/>
      <c r="J230" s="145"/>
      <c r="K230" s="145"/>
      <c r="L230" s="145"/>
      <c r="M230" s="145"/>
    </row>
    <row r="231" ht="15.75" customHeight="1">
      <c r="C231" s="143"/>
      <c r="D231" s="143"/>
      <c r="I231" s="145"/>
      <c r="J231" s="145"/>
      <c r="K231" s="145"/>
      <c r="L231" s="145"/>
      <c r="M231" s="145"/>
    </row>
    <row r="232" ht="15.75" customHeight="1">
      <c r="C232" s="143"/>
      <c r="D232" s="143"/>
      <c r="I232" s="145"/>
      <c r="J232" s="145"/>
      <c r="K232" s="145"/>
      <c r="L232" s="145"/>
      <c r="M232" s="145"/>
    </row>
    <row r="233" ht="15.75" customHeight="1">
      <c r="C233" s="143"/>
      <c r="D233" s="143"/>
      <c r="I233" s="145"/>
      <c r="J233" s="145"/>
      <c r="K233" s="145"/>
      <c r="L233" s="145"/>
      <c r="M233" s="145"/>
    </row>
    <row r="234" ht="15.75" customHeight="1">
      <c r="C234" s="143"/>
      <c r="D234" s="143"/>
      <c r="I234" s="145"/>
      <c r="J234" s="145"/>
      <c r="K234" s="145"/>
      <c r="L234" s="145"/>
      <c r="M234" s="145"/>
    </row>
    <row r="235" ht="15.75" customHeight="1">
      <c r="C235" s="143"/>
      <c r="D235" s="143"/>
      <c r="I235" s="145"/>
      <c r="J235" s="145"/>
      <c r="K235" s="145"/>
      <c r="L235" s="145"/>
      <c r="M235" s="145"/>
    </row>
    <row r="236" ht="15.75" customHeight="1">
      <c r="C236" s="143"/>
      <c r="D236" s="143"/>
      <c r="I236" s="145"/>
      <c r="J236" s="145"/>
      <c r="K236" s="145"/>
      <c r="L236" s="145"/>
      <c r="M236" s="145"/>
    </row>
    <row r="237" ht="15.75" customHeight="1">
      <c r="C237" s="143"/>
      <c r="D237" s="143"/>
      <c r="I237" s="145"/>
      <c r="J237" s="145"/>
      <c r="K237" s="145"/>
      <c r="L237" s="145"/>
      <c r="M237" s="145"/>
    </row>
    <row r="238" ht="15.75" customHeight="1">
      <c r="C238" s="143"/>
      <c r="D238" s="143"/>
      <c r="I238" s="145"/>
      <c r="J238" s="145"/>
      <c r="K238" s="145"/>
      <c r="L238" s="145"/>
      <c r="M238" s="145"/>
    </row>
    <row r="239" ht="15.75" customHeight="1">
      <c r="C239" s="143"/>
      <c r="D239" s="143"/>
      <c r="I239" s="145"/>
      <c r="J239" s="145"/>
      <c r="K239" s="145"/>
      <c r="L239" s="145"/>
      <c r="M239" s="145"/>
    </row>
    <row r="240" ht="15.75" customHeight="1">
      <c r="C240" s="143"/>
      <c r="D240" s="143"/>
      <c r="I240" s="145"/>
      <c r="J240" s="145"/>
      <c r="K240" s="145"/>
      <c r="L240" s="145"/>
      <c r="M240" s="145"/>
    </row>
    <row r="241" ht="15.75" customHeight="1">
      <c r="C241" s="143"/>
      <c r="D241" s="143"/>
      <c r="I241" s="145"/>
      <c r="J241" s="145"/>
      <c r="K241" s="145"/>
      <c r="L241" s="145"/>
      <c r="M241" s="145"/>
    </row>
    <row r="242" ht="15.75" customHeight="1">
      <c r="C242" s="143"/>
      <c r="D242" s="143"/>
      <c r="I242" s="145"/>
      <c r="J242" s="145"/>
      <c r="K242" s="145"/>
      <c r="L242" s="145"/>
      <c r="M242" s="145"/>
    </row>
    <row r="243" ht="15.75" customHeight="1">
      <c r="C243" s="143"/>
      <c r="D243" s="143"/>
      <c r="I243" s="145"/>
      <c r="J243" s="145"/>
      <c r="K243" s="145"/>
      <c r="L243" s="145"/>
      <c r="M243" s="145"/>
    </row>
    <row r="244" ht="15.75" customHeight="1">
      <c r="C244" s="143"/>
      <c r="D244" s="143"/>
      <c r="I244" s="145"/>
      <c r="J244" s="145"/>
      <c r="K244" s="145"/>
      <c r="L244" s="145"/>
      <c r="M244" s="145"/>
    </row>
    <row r="245" ht="15.75" customHeight="1">
      <c r="C245" s="143"/>
      <c r="D245" s="143"/>
      <c r="I245" s="145"/>
      <c r="J245" s="145"/>
      <c r="K245" s="145"/>
      <c r="L245" s="145"/>
      <c r="M245" s="145"/>
    </row>
    <row r="246" ht="15.75" customHeight="1">
      <c r="C246" s="143"/>
      <c r="D246" s="143"/>
      <c r="I246" s="145"/>
      <c r="J246" s="145"/>
      <c r="K246" s="145"/>
      <c r="L246" s="145"/>
      <c r="M246" s="145"/>
    </row>
    <row r="247" ht="15.75" customHeight="1">
      <c r="C247" s="143"/>
      <c r="D247" s="143"/>
      <c r="I247" s="145"/>
      <c r="J247" s="145"/>
      <c r="K247" s="145"/>
      <c r="L247" s="145"/>
      <c r="M247" s="145"/>
    </row>
    <row r="248" ht="15.75" customHeight="1">
      <c r="C248" s="143"/>
      <c r="D248" s="143"/>
      <c r="I248" s="145"/>
      <c r="J248" s="145"/>
      <c r="K248" s="145"/>
      <c r="L248" s="145"/>
      <c r="M248" s="145"/>
    </row>
    <row r="249" ht="15.75" customHeight="1">
      <c r="C249" s="143"/>
      <c r="D249" s="143"/>
      <c r="I249" s="145"/>
      <c r="J249" s="145"/>
      <c r="K249" s="145"/>
      <c r="L249" s="145"/>
      <c r="M249" s="145"/>
    </row>
    <row r="250" ht="15.75" customHeight="1">
      <c r="C250" s="143"/>
      <c r="D250" s="143"/>
      <c r="I250" s="145"/>
      <c r="J250" s="145"/>
      <c r="K250" s="145"/>
      <c r="L250" s="145"/>
      <c r="M250" s="145"/>
    </row>
    <row r="251" ht="15.75" customHeight="1">
      <c r="C251" s="143"/>
      <c r="D251" s="143"/>
      <c r="I251" s="145"/>
      <c r="J251" s="145"/>
      <c r="K251" s="145"/>
      <c r="L251" s="145"/>
      <c r="M251" s="145"/>
    </row>
    <row r="252" ht="15.75" customHeight="1">
      <c r="C252" s="143"/>
      <c r="D252" s="143"/>
      <c r="I252" s="145"/>
      <c r="J252" s="145"/>
      <c r="K252" s="145"/>
      <c r="L252" s="145"/>
      <c r="M252" s="145"/>
    </row>
    <row r="253" ht="15.75" customHeight="1">
      <c r="C253" s="143"/>
      <c r="D253" s="143"/>
      <c r="I253" s="145"/>
      <c r="J253" s="145"/>
      <c r="K253" s="145"/>
      <c r="L253" s="145"/>
      <c r="M253" s="145"/>
    </row>
    <row r="254" ht="15.75" customHeight="1">
      <c r="C254" s="143"/>
      <c r="D254" s="143"/>
      <c r="I254" s="145"/>
      <c r="J254" s="145"/>
      <c r="K254" s="145"/>
      <c r="L254" s="145"/>
      <c r="M254" s="145"/>
    </row>
    <row r="255" ht="15.75" customHeight="1">
      <c r="C255" s="143"/>
      <c r="D255" s="143"/>
      <c r="I255" s="145"/>
      <c r="J255" s="145"/>
      <c r="K255" s="145"/>
      <c r="L255" s="145"/>
      <c r="M255" s="145"/>
    </row>
    <row r="256" ht="15.75" customHeight="1">
      <c r="C256" s="143"/>
      <c r="D256" s="143"/>
      <c r="I256" s="145"/>
      <c r="J256" s="145"/>
      <c r="K256" s="145"/>
      <c r="L256" s="145"/>
      <c r="M256" s="145"/>
    </row>
    <row r="257" ht="15.75" customHeight="1">
      <c r="C257" s="143"/>
      <c r="D257" s="143"/>
      <c r="I257" s="145"/>
      <c r="J257" s="145"/>
      <c r="K257" s="145"/>
      <c r="L257" s="145"/>
      <c r="M257" s="145"/>
    </row>
    <row r="258" ht="15.75" customHeight="1">
      <c r="C258" s="143"/>
      <c r="D258" s="143"/>
      <c r="I258" s="145"/>
      <c r="J258" s="145"/>
      <c r="K258" s="145"/>
      <c r="L258" s="145"/>
      <c r="M258" s="145"/>
    </row>
    <row r="259" ht="15.75" customHeight="1">
      <c r="C259" s="143"/>
      <c r="D259" s="143"/>
      <c r="I259" s="145"/>
      <c r="J259" s="145"/>
      <c r="K259" s="145"/>
      <c r="L259" s="145"/>
      <c r="M259" s="145"/>
    </row>
    <row r="260" ht="15.75" customHeight="1">
      <c r="C260" s="143"/>
      <c r="D260" s="143"/>
      <c r="I260" s="145"/>
      <c r="J260" s="145"/>
      <c r="K260" s="145"/>
      <c r="L260" s="145"/>
      <c r="M260" s="145"/>
    </row>
    <row r="261" ht="15.75" customHeight="1">
      <c r="C261" s="143"/>
      <c r="D261" s="143"/>
      <c r="I261" s="145"/>
      <c r="J261" s="145"/>
      <c r="K261" s="145"/>
      <c r="L261" s="145"/>
      <c r="M261" s="145"/>
    </row>
    <row r="262" ht="15.75" customHeight="1">
      <c r="C262" s="143"/>
      <c r="D262" s="143"/>
      <c r="I262" s="145"/>
      <c r="J262" s="145"/>
      <c r="K262" s="145"/>
      <c r="L262" s="145"/>
      <c r="M262" s="145"/>
    </row>
    <row r="263" ht="15.75" customHeight="1">
      <c r="C263" s="143"/>
      <c r="D263" s="143"/>
      <c r="I263" s="145"/>
      <c r="J263" s="145"/>
      <c r="K263" s="145"/>
      <c r="L263" s="145"/>
      <c r="M263" s="145"/>
    </row>
    <row r="264" ht="15.75" customHeight="1">
      <c r="C264" s="143"/>
      <c r="D264" s="143"/>
      <c r="I264" s="145"/>
      <c r="J264" s="145"/>
      <c r="K264" s="145"/>
      <c r="L264" s="145"/>
      <c r="M264" s="145"/>
    </row>
    <row r="265" ht="15.75" customHeight="1">
      <c r="C265" s="143"/>
      <c r="D265" s="143"/>
      <c r="I265" s="145"/>
      <c r="J265" s="145"/>
      <c r="K265" s="145"/>
      <c r="L265" s="145"/>
      <c r="M265" s="145"/>
    </row>
    <row r="266" ht="15.75" customHeight="1">
      <c r="C266" s="143"/>
      <c r="D266" s="143"/>
      <c r="I266" s="145"/>
      <c r="J266" s="145"/>
      <c r="K266" s="145"/>
      <c r="L266" s="145"/>
      <c r="M266" s="145"/>
    </row>
    <row r="267" ht="15.75" customHeight="1">
      <c r="C267" s="143"/>
      <c r="D267" s="143"/>
      <c r="I267" s="145"/>
      <c r="J267" s="145"/>
      <c r="K267" s="145"/>
      <c r="L267" s="145"/>
      <c r="M267" s="145"/>
    </row>
    <row r="268" ht="15.75" customHeight="1">
      <c r="C268" s="143"/>
      <c r="D268" s="143"/>
      <c r="I268" s="145"/>
      <c r="J268" s="145"/>
      <c r="K268" s="145"/>
      <c r="L268" s="145"/>
      <c r="M268" s="145"/>
    </row>
    <row r="269" ht="15.75" customHeight="1">
      <c r="C269" s="143"/>
      <c r="D269" s="143"/>
      <c r="I269" s="145"/>
      <c r="J269" s="145"/>
      <c r="K269" s="145"/>
      <c r="L269" s="145"/>
      <c r="M269" s="145"/>
    </row>
    <row r="270" ht="15.75" customHeight="1">
      <c r="C270" s="143"/>
      <c r="D270" s="143"/>
      <c r="I270" s="145"/>
      <c r="J270" s="145"/>
      <c r="K270" s="145"/>
      <c r="L270" s="145"/>
      <c r="M270" s="145"/>
    </row>
    <row r="271" ht="15.75" customHeight="1">
      <c r="C271" s="143"/>
      <c r="D271" s="143"/>
      <c r="I271" s="145"/>
      <c r="J271" s="145"/>
      <c r="K271" s="145"/>
      <c r="L271" s="145"/>
      <c r="M271" s="145"/>
    </row>
    <row r="272" ht="15.75" customHeight="1">
      <c r="C272" s="143"/>
      <c r="D272" s="143"/>
      <c r="I272" s="145"/>
      <c r="J272" s="145"/>
      <c r="K272" s="145"/>
      <c r="L272" s="145"/>
      <c r="M272" s="145"/>
    </row>
    <row r="273" ht="15.75" customHeight="1">
      <c r="C273" s="143"/>
      <c r="D273" s="143"/>
      <c r="I273" s="145"/>
      <c r="J273" s="145"/>
      <c r="K273" s="145"/>
      <c r="L273" s="145"/>
      <c r="M273" s="145"/>
    </row>
    <row r="274" ht="15.75" customHeight="1">
      <c r="C274" s="143"/>
      <c r="D274" s="143"/>
      <c r="I274" s="145"/>
      <c r="J274" s="145"/>
      <c r="K274" s="145"/>
      <c r="L274" s="145"/>
      <c r="M274" s="145"/>
    </row>
    <row r="275" ht="15.75" customHeight="1">
      <c r="C275" s="143"/>
      <c r="D275" s="143"/>
      <c r="I275" s="145"/>
      <c r="J275" s="145"/>
      <c r="K275" s="145"/>
      <c r="L275" s="145"/>
      <c r="M275" s="145"/>
    </row>
    <row r="276" ht="15.75" customHeight="1">
      <c r="C276" s="143"/>
      <c r="D276" s="143"/>
      <c r="I276" s="145"/>
      <c r="J276" s="145"/>
      <c r="K276" s="145"/>
      <c r="L276" s="145"/>
      <c r="M276" s="145"/>
    </row>
    <row r="277" ht="15.75" customHeight="1">
      <c r="C277" s="143"/>
      <c r="D277" s="143"/>
      <c r="I277" s="145"/>
      <c r="J277" s="145"/>
      <c r="K277" s="145"/>
      <c r="L277" s="145"/>
      <c r="M277" s="145"/>
    </row>
    <row r="278" ht="15.75" customHeight="1">
      <c r="C278" s="143"/>
      <c r="D278" s="143"/>
      <c r="I278" s="145"/>
      <c r="J278" s="145"/>
      <c r="K278" s="145"/>
      <c r="L278" s="145"/>
      <c r="M278" s="145"/>
    </row>
    <row r="279" ht="15.75" customHeight="1">
      <c r="C279" s="143"/>
      <c r="D279" s="143"/>
      <c r="I279" s="145"/>
      <c r="J279" s="145"/>
      <c r="K279" s="145"/>
      <c r="L279" s="145"/>
      <c r="M279" s="145"/>
    </row>
    <row r="280" ht="15.75" customHeight="1">
      <c r="C280" s="143"/>
      <c r="D280" s="143"/>
      <c r="I280" s="145"/>
      <c r="J280" s="145"/>
      <c r="K280" s="145"/>
      <c r="L280" s="145"/>
      <c r="M280" s="145"/>
    </row>
    <row r="281" ht="15.75" customHeight="1">
      <c r="C281" s="143"/>
      <c r="D281" s="143"/>
      <c r="I281" s="145"/>
      <c r="J281" s="145"/>
      <c r="K281" s="145"/>
      <c r="L281" s="145"/>
      <c r="M281" s="145"/>
    </row>
    <row r="282" ht="15.75" customHeight="1">
      <c r="C282" s="143"/>
      <c r="D282" s="143"/>
      <c r="I282" s="145"/>
      <c r="J282" s="145"/>
      <c r="K282" s="145"/>
      <c r="L282" s="145"/>
      <c r="M282" s="145"/>
    </row>
    <row r="283" ht="15.75" customHeight="1">
      <c r="C283" s="143"/>
      <c r="D283" s="143"/>
      <c r="I283" s="145"/>
      <c r="J283" s="145"/>
      <c r="K283" s="145"/>
      <c r="L283" s="145"/>
      <c r="M283" s="145"/>
    </row>
    <row r="284" ht="15.75" customHeight="1">
      <c r="C284" s="143"/>
      <c r="D284" s="143"/>
      <c r="I284" s="145"/>
      <c r="J284" s="145"/>
      <c r="K284" s="145"/>
      <c r="L284" s="145"/>
      <c r="M284" s="145"/>
    </row>
    <row r="285" ht="15.75" customHeight="1">
      <c r="C285" s="143"/>
      <c r="D285" s="143"/>
      <c r="I285" s="145"/>
      <c r="J285" s="145"/>
      <c r="K285" s="145"/>
      <c r="L285" s="145"/>
      <c r="M285" s="145"/>
    </row>
    <row r="286" ht="15.75" customHeight="1">
      <c r="C286" s="143"/>
      <c r="D286" s="143"/>
      <c r="I286" s="145"/>
      <c r="J286" s="145"/>
      <c r="K286" s="145"/>
      <c r="L286" s="145"/>
      <c r="M286" s="145"/>
    </row>
    <row r="287" ht="15.75" customHeight="1">
      <c r="C287" s="143"/>
      <c r="D287" s="143"/>
      <c r="I287" s="145"/>
      <c r="J287" s="145"/>
      <c r="K287" s="145"/>
      <c r="L287" s="145"/>
      <c r="M287" s="145"/>
    </row>
    <row r="288" ht="15.75" customHeight="1">
      <c r="C288" s="143"/>
      <c r="D288" s="143"/>
      <c r="I288" s="145"/>
      <c r="J288" s="145"/>
      <c r="K288" s="145"/>
      <c r="L288" s="145"/>
      <c r="M288" s="145"/>
    </row>
    <row r="289" ht="15.75" customHeight="1">
      <c r="C289" s="143"/>
      <c r="D289" s="143"/>
      <c r="I289" s="145"/>
      <c r="J289" s="145"/>
      <c r="K289" s="145"/>
      <c r="L289" s="145"/>
      <c r="M289" s="145"/>
    </row>
    <row r="290" ht="15.75" customHeight="1">
      <c r="C290" s="143"/>
      <c r="D290" s="143"/>
      <c r="I290" s="145"/>
      <c r="J290" s="145"/>
      <c r="K290" s="145"/>
      <c r="L290" s="145"/>
      <c r="M290" s="145"/>
    </row>
    <row r="291" ht="15.75" customHeight="1">
      <c r="C291" s="143"/>
      <c r="D291" s="143"/>
      <c r="I291" s="145"/>
      <c r="J291" s="145"/>
      <c r="K291" s="145"/>
      <c r="L291" s="145"/>
      <c r="M291" s="145"/>
    </row>
    <row r="292" ht="15.75" customHeight="1">
      <c r="C292" s="143"/>
      <c r="D292" s="143"/>
      <c r="I292" s="145"/>
      <c r="J292" s="145"/>
      <c r="K292" s="145"/>
      <c r="L292" s="145"/>
      <c r="M292" s="145"/>
    </row>
    <row r="293" ht="15.75" customHeight="1">
      <c r="C293" s="143"/>
      <c r="D293" s="143"/>
      <c r="I293" s="145"/>
      <c r="J293" s="145"/>
      <c r="K293" s="145"/>
      <c r="L293" s="145"/>
      <c r="M293" s="145"/>
    </row>
    <row r="294" ht="15.75" customHeight="1">
      <c r="C294" s="143"/>
      <c r="D294" s="143"/>
      <c r="I294" s="145"/>
      <c r="J294" s="145"/>
      <c r="K294" s="145"/>
      <c r="L294" s="145"/>
      <c r="M294" s="145"/>
    </row>
    <row r="295" ht="15.75" customHeight="1">
      <c r="C295" s="143"/>
      <c r="D295" s="143"/>
      <c r="I295" s="145"/>
      <c r="J295" s="145"/>
      <c r="K295" s="145"/>
      <c r="L295" s="145"/>
      <c r="M295" s="145"/>
    </row>
    <row r="296" ht="15.75" customHeight="1">
      <c r="C296" s="143"/>
      <c r="D296" s="143"/>
      <c r="I296" s="145"/>
      <c r="J296" s="145"/>
      <c r="K296" s="145"/>
      <c r="L296" s="145"/>
      <c r="M296" s="145"/>
    </row>
    <row r="297" ht="15.75" customHeight="1">
      <c r="C297" s="143"/>
      <c r="D297" s="143"/>
      <c r="I297" s="145"/>
      <c r="J297" s="145"/>
      <c r="K297" s="145"/>
      <c r="L297" s="145"/>
      <c r="M297" s="145"/>
    </row>
    <row r="298" ht="15.75" customHeight="1">
      <c r="C298" s="143"/>
      <c r="D298" s="143"/>
      <c r="I298" s="145"/>
      <c r="J298" s="145"/>
      <c r="K298" s="145"/>
      <c r="L298" s="145"/>
      <c r="M298" s="145"/>
    </row>
    <row r="299" ht="15.75" customHeight="1">
      <c r="C299" s="143"/>
      <c r="D299" s="143"/>
      <c r="I299" s="145"/>
      <c r="J299" s="145"/>
      <c r="K299" s="145"/>
      <c r="L299" s="145"/>
      <c r="M299" s="145"/>
    </row>
    <row r="300" ht="15.75" customHeight="1">
      <c r="C300" s="143"/>
      <c r="D300" s="143"/>
      <c r="I300" s="145"/>
      <c r="J300" s="145"/>
      <c r="K300" s="145"/>
      <c r="L300" s="145"/>
      <c r="M300" s="145"/>
    </row>
    <row r="301" ht="15.75" customHeight="1">
      <c r="C301" s="143"/>
      <c r="D301" s="143"/>
      <c r="I301" s="145"/>
      <c r="J301" s="145"/>
      <c r="K301" s="145"/>
      <c r="L301" s="145"/>
      <c r="M301" s="145"/>
    </row>
    <row r="302" ht="15.75" customHeight="1">
      <c r="C302" s="143"/>
      <c r="D302" s="143"/>
      <c r="I302" s="145"/>
      <c r="J302" s="145"/>
      <c r="K302" s="145"/>
      <c r="L302" s="145"/>
      <c r="M302" s="145"/>
    </row>
    <row r="303" ht="15.75" customHeight="1">
      <c r="C303" s="143"/>
      <c r="D303" s="143"/>
      <c r="I303" s="145"/>
      <c r="J303" s="145"/>
      <c r="K303" s="145"/>
      <c r="L303" s="145"/>
      <c r="M303" s="145"/>
    </row>
    <row r="304" ht="15.75" customHeight="1">
      <c r="C304" s="143"/>
      <c r="D304" s="143"/>
      <c r="I304" s="145"/>
      <c r="J304" s="145"/>
      <c r="K304" s="145"/>
      <c r="L304" s="145"/>
      <c r="M304" s="145"/>
    </row>
    <row r="305" ht="15.75" customHeight="1">
      <c r="C305" s="143"/>
      <c r="D305" s="143"/>
      <c r="I305" s="145"/>
      <c r="J305" s="145"/>
      <c r="K305" s="145"/>
      <c r="L305" s="145"/>
      <c r="M305" s="145"/>
    </row>
    <row r="306" ht="15.75" customHeight="1">
      <c r="C306" s="143"/>
      <c r="D306" s="143"/>
      <c r="I306" s="145"/>
      <c r="J306" s="145"/>
      <c r="K306" s="145"/>
      <c r="L306" s="145"/>
      <c r="M306" s="145"/>
    </row>
    <row r="307" ht="15.75" customHeight="1">
      <c r="C307" s="143"/>
      <c r="D307" s="143"/>
      <c r="I307" s="145"/>
      <c r="J307" s="145"/>
      <c r="K307" s="145"/>
      <c r="L307" s="145"/>
      <c r="M307" s="145"/>
    </row>
    <row r="308" ht="15.75" customHeight="1">
      <c r="C308" s="143"/>
      <c r="D308" s="143"/>
      <c r="I308" s="145"/>
      <c r="J308" s="145"/>
      <c r="K308" s="145"/>
      <c r="L308" s="145"/>
      <c r="M308" s="145"/>
    </row>
    <row r="309" ht="15.75" customHeight="1">
      <c r="C309" s="143"/>
      <c r="D309" s="143"/>
      <c r="I309" s="145"/>
      <c r="J309" s="145"/>
      <c r="K309" s="145"/>
      <c r="L309" s="145"/>
      <c r="M309" s="145"/>
    </row>
    <row r="310" ht="15.75" customHeight="1">
      <c r="C310" s="143"/>
      <c r="D310" s="143"/>
      <c r="I310" s="145"/>
      <c r="J310" s="145"/>
      <c r="K310" s="145"/>
      <c r="L310" s="145"/>
      <c r="M310" s="145"/>
    </row>
    <row r="311" ht="15.75" customHeight="1">
      <c r="C311" s="143"/>
      <c r="D311" s="143"/>
      <c r="I311" s="145"/>
      <c r="J311" s="145"/>
      <c r="K311" s="145"/>
      <c r="L311" s="145"/>
      <c r="M311" s="145"/>
    </row>
    <row r="312" ht="15.75" customHeight="1">
      <c r="C312" s="143"/>
      <c r="D312" s="143"/>
      <c r="I312" s="145"/>
      <c r="J312" s="145"/>
      <c r="K312" s="145"/>
      <c r="L312" s="145"/>
      <c r="M312" s="145"/>
    </row>
    <row r="313" ht="15.75" customHeight="1">
      <c r="C313" s="143"/>
      <c r="D313" s="143"/>
      <c r="I313" s="145"/>
      <c r="J313" s="145"/>
      <c r="K313" s="145"/>
      <c r="L313" s="145"/>
      <c r="M313" s="145"/>
    </row>
    <row r="314" ht="15.75" customHeight="1">
      <c r="C314" s="143"/>
      <c r="D314" s="143"/>
      <c r="I314" s="145"/>
      <c r="J314" s="145"/>
      <c r="K314" s="145"/>
      <c r="L314" s="145"/>
      <c r="M314" s="145"/>
    </row>
    <row r="315" ht="15.75" customHeight="1">
      <c r="C315" s="143"/>
      <c r="D315" s="143"/>
      <c r="I315" s="145"/>
      <c r="J315" s="145"/>
      <c r="K315" s="145"/>
      <c r="L315" s="145"/>
      <c r="M315" s="145"/>
    </row>
    <row r="316" ht="15.75" customHeight="1">
      <c r="C316" s="143"/>
      <c r="D316" s="143"/>
      <c r="I316" s="145"/>
      <c r="J316" s="145"/>
      <c r="K316" s="145"/>
      <c r="L316" s="145"/>
      <c r="M316" s="145"/>
    </row>
    <row r="317" ht="15.75" customHeight="1">
      <c r="C317" s="143"/>
      <c r="D317" s="143"/>
      <c r="I317" s="145"/>
      <c r="J317" s="145"/>
      <c r="K317" s="145"/>
      <c r="L317" s="145"/>
      <c r="M317" s="145"/>
    </row>
    <row r="318" ht="15.75" customHeight="1">
      <c r="C318" s="143"/>
      <c r="D318" s="143"/>
      <c r="I318" s="145"/>
      <c r="J318" s="145"/>
      <c r="K318" s="145"/>
      <c r="L318" s="145"/>
      <c r="M318" s="145"/>
    </row>
    <row r="319" ht="15.75" customHeight="1">
      <c r="C319" s="143"/>
      <c r="D319" s="143"/>
      <c r="I319" s="145"/>
      <c r="J319" s="145"/>
      <c r="K319" s="145"/>
      <c r="L319" s="145"/>
      <c r="M319" s="145"/>
    </row>
    <row r="320" ht="15.75" customHeight="1">
      <c r="C320" s="143"/>
      <c r="D320" s="143"/>
      <c r="I320" s="145"/>
      <c r="J320" s="145"/>
      <c r="K320" s="145"/>
      <c r="L320" s="145"/>
      <c r="M320" s="145"/>
    </row>
    <row r="321" ht="15.75" customHeight="1">
      <c r="C321" s="143"/>
      <c r="D321" s="143"/>
      <c r="I321" s="145"/>
      <c r="J321" s="145"/>
      <c r="K321" s="145"/>
      <c r="L321" s="145"/>
      <c r="M321" s="145"/>
    </row>
    <row r="322" ht="15.75" customHeight="1">
      <c r="C322" s="143"/>
      <c r="D322" s="143"/>
      <c r="I322" s="145"/>
      <c r="J322" s="145"/>
      <c r="K322" s="145"/>
      <c r="L322" s="145"/>
      <c r="M322" s="145"/>
    </row>
    <row r="323" ht="15.75" customHeight="1">
      <c r="C323" s="143"/>
      <c r="D323" s="143"/>
      <c r="I323" s="145"/>
      <c r="J323" s="145"/>
      <c r="K323" s="145"/>
      <c r="L323" s="145"/>
      <c r="M323" s="145"/>
    </row>
    <row r="324" ht="15.75" customHeight="1">
      <c r="C324" s="143"/>
      <c r="D324" s="143"/>
      <c r="I324" s="145"/>
      <c r="J324" s="145"/>
      <c r="K324" s="145"/>
      <c r="L324" s="145"/>
      <c r="M324" s="145"/>
    </row>
    <row r="325" ht="15.75" customHeight="1">
      <c r="C325" s="143"/>
      <c r="D325" s="143"/>
      <c r="I325" s="145"/>
      <c r="J325" s="145"/>
      <c r="K325" s="145"/>
      <c r="L325" s="145"/>
      <c r="M325" s="145"/>
    </row>
    <row r="326" ht="15.75" customHeight="1">
      <c r="C326" s="143"/>
      <c r="D326" s="143"/>
      <c r="I326" s="145"/>
      <c r="J326" s="145"/>
      <c r="K326" s="145"/>
      <c r="L326" s="145"/>
      <c r="M326" s="145"/>
    </row>
    <row r="327" ht="15.75" customHeight="1">
      <c r="C327" s="143"/>
      <c r="D327" s="143"/>
      <c r="I327" s="145"/>
      <c r="J327" s="145"/>
      <c r="K327" s="145"/>
      <c r="L327" s="145"/>
      <c r="M327" s="145"/>
    </row>
    <row r="328" ht="15.75" customHeight="1">
      <c r="C328" s="143"/>
      <c r="D328" s="143"/>
      <c r="I328" s="145"/>
      <c r="J328" s="145"/>
      <c r="K328" s="145"/>
      <c r="L328" s="145"/>
      <c r="M328" s="145"/>
    </row>
    <row r="329" ht="15.75" customHeight="1">
      <c r="C329" s="143"/>
      <c r="D329" s="143"/>
      <c r="I329" s="145"/>
      <c r="J329" s="145"/>
      <c r="K329" s="145"/>
      <c r="L329" s="145"/>
      <c r="M329" s="145"/>
    </row>
    <row r="330" ht="15.75" customHeight="1">
      <c r="C330" s="143"/>
      <c r="D330" s="143"/>
      <c r="I330" s="145"/>
      <c r="J330" s="145"/>
      <c r="K330" s="145"/>
      <c r="L330" s="145"/>
      <c r="M330" s="145"/>
    </row>
    <row r="331" ht="15.75" customHeight="1">
      <c r="C331" s="143"/>
      <c r="D331" s="143"/>
      <c r="I331" s="145"/>
      <c r="J331" s="145"/>
      <c r="K331" s="145"/>
      <c r="L331" s="145"/>
      <c r="M331" s="145"/>
    </row>
    <row r="332" ht="15.75" customHeight="1">
      <c r="C332" s="143"/>
      <c r="D332" s="143"/>
      <c r="I332" s="145"/>
      <c r="J332" s="145"/>
      <c r="K332" s="145"/>
      <c r="L332" s="145"/>
      <c r="M332" s="145"/>
    </row>
    <row r="333" ht="15.75" customHeight="1">
      <c r="C333" s="143"/>
      <c r="D333" s="143"/>
      <c r="I333" s="145"/>
      <c r="J333" s="145"/>
      <c r="K333" s="145"/>
      <c r="L333" s="145"/>
      <c r="M333" s="145"/>
    </row>
    <row r="334" ht="15.75" customHeight="1">
      <c r="C334" s="143"/>
      <c r="D334" s="143"/>
      <c r="I334" s="145"/>
      <c r="J334" s="145"/>
      <c r="K334" s="145"/>
      <c r="L334" s="145"/>
      <c r="M334" s="145"/>
    </row>
    <row r="335" ht="15.75" customHeight="1">
      <c r="C335" s="143"/>
      <c r="D335" s="143"/>
      <c r="I335" s="145"/>
      <c r="J335" s="145"/>
      <c r="K335" s="145"/>
      <c r="L335" s="145"/>
      <c r="M335" s="145"/>
    </row>
    <row r="336" ht="15.75" customHeight="1">
      <c r="C336" s="143"/>
      <c r="D336" s="143"/>
      <c r="I336" s="145"/>
      <c r="J336" s="145"/>
      <c r="K336" s="145"/>
      <c r="L336" s="145"/>
      <c r="M336" s="145"/>
    </row>
    <row r="337" ht="15.75" customHeight="1">
      <c r="C337" s="143"/>
      <c r="D337" s="143"/>
      <c r="I337" s="145"/>
      <c r="J337" s="145"/>
      <c r="K337" s="145"/>
      <c r="L337" s="145"/>
      <c r="M337" s="145"/>
    </row>
    <row r="338" ht="15.75" customHeight="1">
      <c r="C338" s="143"/>
      <c r="D338" s="143"/>
      <c r="I338" s="145"/>
      <c r="J338" s="145"/>
      <c r="K338" s="145"/>
      <c r="L338" s="145"/>
      <c r="M338" s="145"/>
    </row>
    <row r="339" ht="15.75" customHeight="1">
      <c r="C339" s="143"/>
      <c r="D339" s="143"/>
      <c r="I339" s="145"/>
      <c r="J339" s="145"/>
      <c r="K339" s="145"/>
      <c r="L339" s="145"/>
      <c r="M339" s="145"/>
    </row>
    <row r="340" ht="15.75" customHeight="1">
      <c r="C340" s="143"/>
      <c r="D340" s="143"/>
      <c r="I340" s="145"/>
      <c r="J340" s="145"/>
      <c r="K340" s="145"/>
      <c r="L340" s="145"/>
      <c r="M340" s="145"/>
    </row>
    <row r="341" ht="15.75" customHeight="1">
      <c r="C341" s="143"/>
      <c r="D341" s="143"/>
      <c r="I341" s="145"/>
      <c r="J341" s="145"/>
      <c r="K341" s="145"/>
      <c r="L341" s="145"/>
      <c r="M341" s="145"/>
    </row>
    <row r="342" ht="15.75" customHeight="1">
      <c r="C342" s="143"/>
      <c r="D342" s="143"/>
      <c r="I342" s="145"/>
      <c r="J342" s="145"/>
      <c r="K342" s="145"/>
      <c r="L342" s="145"/>
      <c r="M342" s="145"/>
    </row>
    <row r="343" ht="15.75" customHeight="1">
      <c r="C343" s="143"/>
      <c r="D343" s="143"/>
      <c r="I343" s="145"/>
      <c r="J343" s="145"/>
      <c r="K343" s="145"/>
      <c r="L343" s="145"/>
      <c r="M343" s="145"/>
    </row>
    <row r="344" ht="15.75" customHeight="1">
      <c r="C344" s="143"/>
      <c r="D344" s="143"/>
      <c r="I344" s="145"/>
      <c r="J344" s="145"/>
      <c r="K344" s="145"/>
      <c r="L344" s="145"/>
      <c r="M344" s="145"/>
    </row>
    <row r="345" ht="15.75" customHeight="1">
      <c r="C345" s="143"/>
      <c r="D345" s="143"/>
      <c r="I345" s="145"/>
      <c r="J345" s="145"/>
      <c r="K345" s="145"/>
      <c r="L345" s="145"/>
      <c r="M345" s="145"/>
    </row>
    <row r="346" ht="15.75" customHeight="1">
      <c r="C346" s="143"/>
      <c r="D346" s="143"/>
      <c r="I346" s="145"/>
      <c r="J346" s="145"/>
      <c r="K346" s="145"/>
      <c r="L346" s="145"/>
      <c r="M346" s="145"/>
    </row>
    <row r="347" ht="15.75" customHeight="1">
      <c r="C347" s="143"/>
      <c r="D347" s="143"/>
      <c r="I347" s="145"/>
      <c r="J347" s="145"/>
      <c r="K347" s="145"/>
      <c r="L347" s="145"/>
      <c r="M347" s="145"/>
    </row>
    <row r="348" ht="15.75" customHeight="1">
      <c r="C348" s="143"/>
      <c r="D348" s="143"/>
      <c r="I348" s="145"/>
      <c r="J348" s="145"/>
      <c r="K348" s="145"/>
      <c r="L348" s="145"/>
      <c r="M348" s="145"/>
    </row>
    <row r="349" ht="15.75" customHeight="1">
      <c r="C349" s="143"/>
      <c r="D349" s="143"/>
      <c r="I349" s="145"/>
      <c r="J349" s="145"/>
      <c r="K349" s="145"/>
      <c r="L349" s="145"/>
      <c r="M349" s="145"/>
    </row>
    <row r="350" ht="15.75" customHeight="1">
      <c r="C350" s="143"/>
      <c r="D350" s="143"/>
      <c r="I350" s="145"/>
      <c r="J350" s="145"/>
      <c r="K350" s="145"/>
      <c r="L350" s="145"/>
      <c r="M350" s="145"/>
    </row>
    <row r="351" ht="15.75" customHeight="1">
      <c r="C351" s="143"/>
      <c r="D351" s="143"/>
      <c r="I351" s="145"/>
      <c r="J351" s="145"/>
      <c r="K351" s="145"/>
      <c r="L351" s="145"/>
      <c r="M351" s="145"/>
    </row>
    <row r="352" ht="15.75" customHeight="1">
      <c r="C352" s="143"/>
      <c r="D352" s="143"/>
      <c r="I352" s="145"/>
      <c r="J352" s="145"/>
      <c r="K352" s="145"/>
      <c r="L352" s="145"/>
      <c r="M352" s="145"/>
    </row>
    <row r="353" ht="15.75" customHeight="1">
      <c r="C353" s="143"/>
      <c r="D353" s="143"/>
      <c r="I353" s="145"/>
      <c r="J353" s="145"/>
      <c r="K353" s="145"/>
      <c r="L353" s="145"/>
      <c r="M353" s="145"/>
    </row>
    <row r="354" ht="15.75" customHeight="1">
      <c r="C354" s="143"/>
      <c r="D354" s="143"/>
      <c r="I354" s="145"/>
      <c r="J354" s="145"/>
      <c r="K354" s="145"/>
      <c r="L354" s="145"/>
      <c r="M354" s="145"/>
    </row>
    <row r="355" ht="15.75" customHeight="1">
      <c r="C355" s="143"/>
      <c r="D355" s="143"/>
      <c r="I355" s="145"/>
      <c r="J355" s="145"/>
      <c r="K355" s="145"/>
      <c r="L355" s="145"/>
      <c r="M355" s="145"/>
    </row>
    <row r="356" ht="15.75" customHeight="1">
      <c r="C356" s="143"/>
      <c r="D356" s="143"/>
      <c r="I356" s="145"/>
      <c r="J356" s="145"/>
      <c r="K356" s="145"/>
      <c r="L356" s="145"/>
      <c r="M356" s="145"/>
    </row>
    <row r="357" ht="15.75" customHeight="1">
      <c r="C357" s="143"/>
      <c r="D357" s="143"/>
      <c r="I357" s="145"/>
      <c r="J357" s="145"/>
      <c r="K357" s="145"/>
      <c r="L357" s="145"/>
      <c r="M357" s="145"/>
    </row>
    <row r="358" ht="15.75" customHeight="1">
      <c r="C358" s="143"/>
      <c r="D358" s="143"/>
      <c r="I358" s="145"/>
      <c r="J358" s="145"/>
      <c r="K358" s="145"/>
      <c r="L358" s="145"/>
      <c r="M358" s="145"/>
    </row>
    <row r="359" ht="15.75" customHeight="1">
      <c r="C359" s="143"/>
      <c r="D359" s="143"/>
      <c r="I359" s="145"/>
      <c r="J359" s="145"/>
      <c r="K359" s="145"/>
      <c r="L359" s="145"/>
      <c r="M359" s="145"/>
    </row>
    <row r="360" ht="15.75" customHeight="1">
      <c r="C360" s="143"/>
      <c r="D360" s="143"/>
      <c r="I360" s="145"/>
      <c r="J360" s="145"/>
      <c r="K360" s="145"/>
      <c r="L360" s="145"/>
      <c r="M360" s="145"/>
    </row>
    <row r="361" ht="15.75" customHeight="1">
      <c r="C361" s="143"/>
      <c r="D361" s="143"/>
      <c r="I361" s="145"/>
      <c r="J361" s="145"/>
      <c r="K361" s="145"/>
      <c r="L361" s="145"/>
      <c r="M361" s="145"/>
    </row>
    <row r="362" ht="15.75" customHeight="1">
      <c r="C362" s="143"/>
      <c r="D362" s="143"/>
      <c r="I362" s="145"/>
      <c r="J362" s="145"/>
      <c r="K362" s="145"/>
      <c r="L362" s="145"/>
      <c r="M362" s="145"/>
    </row>
    <row r="363" ht="15.75" customHeight="1">
      <c r="C363" s="143"/>
      <c r="D363" s="143"/>
      <c r="I363" s="145"/>
      <c r="J363" s="145"/>
      <c r="K363" s="145"/>
      <c r="L363" s="145"/>
      <c r="M363" s="145"/>
    </row>
    <row r="364" ht="15.75" customHeight="1">
      <c r="C364" s="143"/>
      <c r="D364" s="143"/>
      <c r="I364" s="145"/>
      <c r="J364" s="145"/>
      <c r="K364" s="145"/>
      <c r="L364" s="145"/>
      <c r="M364" s="145"/>
    </row>
    <row r="365" ht="15.75" customHeight="1">
      <c r="C365" s="143"/>
      <c r="D365" s="143"/>
      <c r="I365" s="145"/>
      <c r="J365" s="145"/>
      <c r="K365" s="145"/>
      <c r="L365" s="145"/>
      <c r="M365" s="145"/>
    </row>
    <row r="366" ht="15.75" customHeight="1">
      <c r="C366" s="143"/>
      <c r="D366" s="143"/>
      <c r="I366" s="145"/>
      <c r="J366" s="145"/>
      <c r="K366" s="145"/>
      <c r="L366" s="145"/>
      <c r="M366" s="145"/>
    </row>
    <row r="367" ht="15.75" customHeight="1">
      <c r="C367" s="143"/>
      <c r="D367" s="143"/>
      <c r="I367" s="145"/>
      <c r="J367" s="145"/>
      <c r="K367" s="145"/>
      <c r="L367" s="145"/>
      <c r="M367" s="145"/>
    </row>
    <row r="368" ht="15.75" customHeight="1">
      <c r="C368" s="143"/>
      <c r="D368" s="143"/>
      <c r="I368" s="145"/>
      <c r="J368" s="145"/>
      <c r="K368" s="145"/>
      <c r="L368" s="145"/>
      <c r="M368" s="145"/>
    </row>
    <row r="369" ht="15.75" customHeight="1">
      <c r="C369" s="143"/>
      <c r="D369" s="143"/>
      <c r="I369" s="145"/>
      <c r="J369" s="145"/>
      <c r="K369" s="145"/>
      <c r="L369" s="145"/>
      <c r="M369" s="145"/>
    </row>
    <row r="370" ht="15.75" customHeight="1">
      <c r="C370" s="143"/>
      <c r="D370" s="143"/>
      <c r="I370" s="145"/>
      <c r="J370" s="145"/>
      <c r="K370" s="145"/>
      <c r="L370" s="145"/>
      <c r="M370" s="145"/>
    </row>
    <row r="371" ht="15.75" customHeight="1">
      <c r="C371" s="143"/>
      <c r="D371" s="143"/>
      <c r="I371" s="145"/>
      <c r="J371" s="145"/>
      <c r="K371" s="145"/>
      <c r="L371" s="145"/>
      <c r="M371" s="145"/>
    </row>
    <row r="372" ht="15.75" customHeight="1">
      <c r="C372" s="143"/>
      <c r="D372" s="143"/>
      <c r="I372" s="145"/>
      <c r="J372" s="145"/>
      <c r="K372" s="145"/>
      <c r="L372" s="145"/>
      <c r="M372" s="145"/>
    </row>
    <row r="373" ht="15.75" customHeight="1">
      <c r="C373" s="143"/>
      <c r="D373" s="143"/>
      <c r="I373" s="145"/>
      <c r="J373" s="145"/>
      <c r="K373" s="145"/>
      <c r="L373" s="145"/>
      <c r="M373" s="145"/>
    </row>
    <row r="374" ht="15.75" customHeight="1">
      <c r="C374" s="143"/>
      <c r="D374" s="143"/>
      <c r="I374" s="145"/>
      <c r="J374" s="145"/>
      <c r="K374" s="145"/>
      <c r="L374" s="145"/>
      <c r="M374" s="145"/>
    </row>
    <row r="375" ht="15.75" customHeight="1">
      <c r="C375" s="143"/>
      <c r="D375" s="143"/>
      <c r="I375" s="145"/>
      <c r="J375" s="145"/>
      <c r="K375" s="145"/>
      <c r="L375" s="145"/>
      <c r="M375" s="145"/>
    </row>
    <row r="376" ht="15.75" customHeight="1">
      <c r="C376" s="143"/>
      <c r="D376" s="143"/>
      <c r="I376" s="145"/>
      <c r="J376" s="145"/>
      <c r="K376" s="145"/>
      <c r="L376" s="145"/>
      <c r="M376" s="145"/>
    </row>
    <row r="377" ht="15.75" customHeight="1">
      <c r="C377" s="143"/>
      <c r="D377" s="143"/>
      <c r="I377" s="145"/>
      <c r="J377" s="145"/>
      <c r="K377" s="145"/>
      <c r="L377" s="145"/>
      <c r="M377" s="145"/>
    </row>
    <row r="378" ht="15.75" customHeight="1">
      <c r="C378" s="143"/>
      <c r="D378" s="143"/>
      <c r="I378" s="145"/>
      <c r="J378" s="145"/>
      <c r="K378" s="145"/>
      <c r="L378" s="145"/>
      <c r="M378" s="145"/>
    </row>
    <row r="379" ht="15.75" customHeight="1">
      <c r="C379" s="143"/>
      <c r="D379" s="143"/>
      <c r="I379" s="145"/>
      <c r="J379" s="145"/>
      <c r="K379" s="145"/>
      <c r="L379" s="145"/>
      <c r="M379" s="145"/>
    </row>
    <row r="380" ht="15.75" customHeight="1">
      <c r="C380" s="143"/>
      <c r="D380" s="143"/>
      <c r="I380" s="145"/>
      <c r="J380" s="145"/>
      <c r="K380" s="145"/>
      <c r="L380" s="145"/>
      <c r="M380" s="145"/>
    </row>
    <row r="381" ht="15.75" customHeight="1">
      <c r="C381" s="143"/>
      <c r="D381" s="143"/>
      <c r="I381" s="145"/>
      <c r="J381" s="145"/>
      <c r="K381" s="145"/>
      <c r="L381" s="145"/>
      <c r="M381" s="145"/>
    </row>
    <row r="382" ht="15.75" customHeight="1">
      <c r="C382" s="143"/>
      <c r="D382" s="143"/>
      <c r="I382" s="145"/>
      <c r="J382" s="145"/>
      <c r="K382" s="145"/>
      <c r="L382" s="145"/>
      <c r="M382" s="145"/>
    </row>
    <row r="383" ht="15.75" customHeight="1">
      <c r="C383" s="143"/>
      <c r="D383" s="143"/>
      <c r="I383" s="145"/>
      <c r="J383" s="145"/>
      <c r="K383" s="145"/>
      <c r="L383" s="145"/>
      <c r="M383" s="145"/>
    </row>
    <row r="384" ht="15.75" customHeight="1">
      <c r="C384" s="143"/>
      <c r="D384" s="143"/>
      <c r="I384" s="145"/>
      <c r="J384" s="145"/>
      <c r="K384" s="145"/>
      <c r="L384" s="145"/>
      <c r="M384" s="145"/>
    </row>
    <row r="385" ht="15.75" customHeight="1">
      <c r="C385" s="143"/>
      <c r="D385" s="143"/>
      <c r="I385" s="145"/>
      <c r="J385" s="145"/>
      <c r="K385" s="145"/>
      <c r="L385" s="145"/>
      <c r="M385" s="145"/>
    </row>
    <row r="386" ht="15.75" customHeight="1">
      <c r="C386" s="143"/>
      <c r="D386" s="143"/>
      <c r="I386" s="145"/>
      <c r="J386" s="145"/>
      <c r="K386" s="145"/>
      <c r="L386" s="145"/>
      <c r="M386" s="145"/>
    </row>
    <row r="387" ht="15.75" customHeight="1">
      <c r="C387" s="143"/>
      <c r="D387" s="143"/>
      <c r="I387" s="145"/>
      <c r="J387" s="145"/>
      <c r="K387" s="145"/>
      <c r="L387" s="145"/>
      <c r="M387" s="145"/>
    </row>
    <row r="388" ht="15.75" customHeight="1">
      <c r="C388" s="143"/>
      <c r="D388" s="143"/>
      <c r="I388" s="145"/>
      <c r="J388" s="145"/>
      <c r="K388" s="145"/>
      <c r="L388" s="145"/>
      <c r="M388" s="145"/>
    </row>
    <row r="389" ht="15.75" customHeight="1">
      <c r="C389" s="143"/>
      <c r="D389" s="143"/>
      <c r="I389" s="145"/>
      <c r="J389" s="145"/>
      <c r="K389" s="145"/>
      <c r="L389" s="145"/>
      <c r="M389" s="145"/>
    </row>
    <row r="390" ht="15.75" customHeight="1">
      <c r="C390" s="143"/>
      <c r="D390" s="143"/>
      <c r="I390" s="145"/>
      <c r="J390" s="145"/>
      <c r="K390" s="145"/>
      <c r="L390" s="145"/>
      <c r="M390" s="145"/>
    </row>
    <row r="391" ht="15.75" customHeight="1">
      <c r="C391" s="143"/>
      <c r="D391" s="143"/>
      <c r="I391" s="145"/>
      <c r="J391" s="145"/>
      <c r="K391" s="145"/>
      <c r="L391" s="145"/>
      <c r="M391" s="145"/>
    </row>
    <row r="392" ht="15.75" customHeight="1">
      <c r="C392" s="143"/>
      <c r="D392" s="143"/>
      <c r="I392" s="145"/>
      <c r="J392" s="145"/>
      <c r="K392" s="145"/>
      <c r="L392" s="145"/>
      <c r="M392" s="145"/>
    </row>
    <row r="393" ht="15.75" customHeight="1">
      <c r="C393" s="143"/>
      <c r="D393" s="143"/>
      <c r="I393" s="145"/>
      <c r="J393" s="145"/>
      <c r="K393" s="145"/>
      <c r="L393" s="145"/>
      <c r="M393" s="145"/>
    </row>
    <row r="394" ht="15.75" customHeight="1">
      <c r="C394" s="143"/>
      <c r="D394" s="143"/>
      <c r="I394" s="145"/>
      <c r="J394" s="145"/>
      <c r="K394" s="145"/>
      <c r="L394" s="145"/>
      <c r="M394" s="145"/>
    </row>
    <row r="395" ht="15.75" customHeight="1">
      <c r="C395" s="143"/>
      <c r="D395" s="143"/>
      <c r="I395" s="145"/>
      <c r="J395" s="145"/>
      <c r="K395" s="145"/>
      <c r="L395" s="145"/>
      <c r="M395" s="145"/>
    </row>
    <row r="396" ht="15.75" customHeight="1">
      <c r="C396" s="143"/>
      <c r="D396" s="143"/>
      <c r="I396" s="145"/>
      <c r="J396" s="145"/>
      <c r="K396" s="145"/>
      <c r="L396" s="145"/>
      <c r="M396" s="145"/>
    </row>
    <row r="397" ht="15.75" customHeight="1">
      <c r="C397" s="143"/>
      <c r="D397" s="143"/>
      <c r="I397" s="145"/>
      <c r="J397" s="145"/>
      <c r="K397" s="145"/>
      <c r="L397" s="145"/>
      <c r="M397" s="145"/>
    </row>
    <row r="398" ht="15.75" customHeight="1">
      <c r="C398" s="143"/>
      <c r="D398" s="143"/>
      <c r="I398" s="145"/>
      <c r="J398" s="145"/>
      <c r="K398" s="145"/>
      <c r="L398" s="145"/>
      <c r="M398" s="145"/>
    </row>
    <row r="399" ht="15.75" customHeight="1">
      <c r="C399" s="143"/>
      <c r="D399" s="143"/>
      <c r="I399" s="145"/>
      <c r="J399" s="145"/>
      <c r="K399" s="145"/>
      <c r="L399" s="145"/>
      <c r="M399" s="145"/>
    </row>
    <row r="400" ht="15.75" customHeight="1">
      <c r="C400" s="143"/>
      <c r="D400" s="143"/>
      <c r="I400" s="145"/>
      <c r="J400" s="145"/>
      <c r="K400" s="145"/>
      <c r="L400" s="145"/>
      <c r="M400" s="145"/>
    </row>
    <row r="401" ht="15.75" customHeight="1">
      <c r="C401" s="143"/>
      <c r="D401" s="143"/>
      <c r="I401" s="145"/>
      <c r="J401" s="145"/>
      <c r="K401" s="145"/>
      <c r="L401" s="145"/>
      <c r="M401" s="145"/>
    </row>
    <row r="402" ht="15.75" customHeight="1">
      <c r="C402" s="143"/>
      <c r="D402" s="143"/>
      <c r="I402" s="145"/>
      <c r="J402" s="145"/>
      <c r="K402" s="145"/>
      <c r="L402" s="145"/>
      <c r="M402" s="145"/>
    </row>
    <row r="403" ht="15.75" customHeight="1">
      <c r="C403" s="143"/>
      <c r="D403" s="143"/>
      <c r="I403" s="145"/>
      <c r="J403" s="145"/>
      <c r="K403" s="145"/>
      <c r="L403" s="145"/>
      <c r="M403" s="145"/>
    </row>
    <row r="404" ht="15.75" customHeight="1">
      <c r="C404" s="143"/>
      <c r="D404" s="143"/>
      <c r="I404" s="145"/>
      <c r="J404" s="145"/>
      <c r="K404" s="145"/>
      <c r="L404" s="145"/>
      <c r="M404" s="145"/>
    </row>
    <row r="405" ht="15.75" customHeight="1">
      <c r="C405" s="143"/>
      <c r="D405" s="143"/>
      <c r="I405" s="145"/>
      <c r="J405" s="145"/>
      <c r="K405" s="145"/>
      <c r="L405" s="145"/>
      <c r="M405" s="145"/>
    </row>
    <row r="406" ht="15.75" customHeight="1">
      <c r="C406" s="143"/>
      <c r="D406" s="143"/>
      <c r="I406" s="145"/>
      <c r="J406" s="145"/>
      <c r="K406" s="145"/>
      <c r="L406" s="145"/>
      <c r="M406" s="145"/>
    </row>
    <row r="407" ht="15.75" customHeight="1">
      <c r="C407" s="143"/>
      <c r="D407" s="143"/>
      <c r="I407" s="145"/>
      <c r="J407" s="145"/>
      <c r="K407" s="145"/>
      <c r="L407" s="145"/>
      <c r="M407" s="145"/>
    </row>
    <row r="408" ht="15.75" customHeight="1">
      <c r="C408" s="143"/>
      <c r="D408" s="143"/>
      <c r="I408" s="145"/>
      <c r="J408" s="145"/>
      <c r="K408" s="145"/>
      <c r="L408" s="145"/>
      <c r="M408" s="145"/>
    </row>
    <row r="409" ht="15.75" customHeight="1">
      <c r="C409" s="143"/>
      <c r="D409" s="143"/>
      <c r="I409" s="145"/>
      <c r="J409" s="145"/>
      <c r="K409" s="145"/>
      <c r="L409" s="145"/>
      <c r="M409" s="145"/>
    </row>
    <row r="410" ht="15.75" customHeight="1">
      <c r="C410" s="143"/>
      <c r="D410" s="143"/>
      <c r="I410" s="145"/>
      <c r="J410" s="145"/>
      <c r="K410" s="145"/>
      <c r="L410" s="145"/>
      <c r="M410" s="145"/>
    </row>
    <row r="411" ht="15.75" customHeight="1">
      <c r="C411" s="143"/>
      <c r="D411" s="143"/>
      <c r="I411" s="145"/>
      <c r="J411" s="145"/>
      <c r="K411" s="145"/>
      <c r="L411" s="145"/>
      <c r="M411" s="145"/>
    </row>
    <row r="412" ht="15.75" customHeight="1">
      <c r="C412" s="143"/>
      <c r="D412" s="143"/>
      <c r="I412" s="145"/>
      <c r="J412" s="145"/>
      <c r="K412" s="145"/>
      <c r="L412" s="145"/>
      <c r="M412" s="145"/>
    </row>
    <row r="413" ht="15.75" customHeight="1">
      <c r="C413" s="143"/>
      <c r="D413" s="143"/>
      <c r="I413" s="145"/>
      <c r="J413" s="145"/>
      <c r="K413" s="145"/>
      <c r="L413" s="145"/>
      <c r="M413" s="145"/>
    </row>
    <row r="414" ht="15.75" customHeight="1">
      <c r="C414" s="143"/>
      <c r="D414" s="143"/>
      <c r="I414" s="145"/>
      <c r="J414" s="145"/>
      <c r="K414" s="145"/>
      <c r="L414" s="145"/>
      <c r="M414" s="145"/>
    </row>
    <row r="415" ht="15.75" customHeight="1">
      <c r="C415" s="143"/>
      <c r="D415" s="143"/>
      <c r="I415" s="145"/>
      <c r="J415" s="145"/>
      <c r="K415" s="145"/>
      <c r="L415" s="145"/>
      <c r="M415" s="145"/>
    </row>
    <row r="416" ht="15.75" customHeight="1">
      <c r="C416" s="143"/>
      <c r="D416" s="143"/>
      <c r="I416" s="145"/>
      <c r="J416" s="145"/>
      <c r="K416" s="145"/>
      <c r="L416" s="145"/>
      <c r="M416" s="145"/>
    </row>
    <row r="417" ht="15.75" customHeight="1">
      <c r="C417" s="143"/>
      <c r="D417" s="143"/>
      <c r="I417" s="145"/>
      <c r="J417" s="145"/>
      <c r="K417" s="145"/>
      <c r="L417" s="145"/>
      <c r="M417" s="145"/>
    </row>
    <row r="418" ht="15.75" customHeight="1">
      <c r="C418" s="143"/>
      <c r="D418" s="143"/>
      <c r="I418" s="145"/>
      <c r="J418" s="145"/>
      <c r="K418" s="145"/>
      <c r="L418" s="145"/>
      <c r="M418" s="145"/>
    </row>
    <row r="419" ht="15.75" customHeight="1">
      <c r="C419" s="143"/>
      <c r="D419" s="143"/>
      <c r="I419" s="145"/>
      <c r="J419" s="145"/>
      <c r="K419" s="145"/>
      <c r="L419" s="145"/>
      <c r="M419" s="145"/>
    </row>
    <row r="420" ht="15.75" customHeight="1">
      <c r="C420" s="143"/>
      <c r="D420" s="143"/>
      <c r="I420" s="145"/>
      <c r="J420" s="145"/>
      <c r="K420" s="145"/>
      <c r="L420" s="145"/>
      <c r="M420" s="145"/>
    </row>
    <row r="421" ht="15.75" customHeight="1">
      <c r="C421" s="143"/>
      <c r="D421" s="143"/>
      <c r="I421" s="145"/>
      <c r="J421" s="145"/>
      <c r="K421" s="145"/>
      <c r="L421" s="145"/>
      <c r="M421" s="145"/>
    </row>
    <row r="422" ht="15.75" customHeight="1">
      <c r="C422" s="143"/>
      <c r="D422" s="143"/>
      <c r="I422" s="145"/>
      <c r="J422" s="145"/>
      <c r="K422" s="145"/>
      <c r="L422" s="145"/>
      <c r="M422" s="145"/>
    </row>
    <row r="423" ht="15.75" customHeight="1">
      <c r="C423" s="143"/>
      <c r="D423" s="143"/>
      <c r="I423" s="145"/>
      <c r="J423" s="145"/>
      <c r="K423" s="145"/>
      <c r="L423" s="145"/>
      <c r="M423" s="145"/>
    </row>
    <row r="424" ht="15.75" customHeight="1">
      <c r="C424" s="143"/>
      <c r="D424" s="143"/>
      <c r="I424" s="145"/>
      <c r="J424" s="145"/>
      <c r="K424" s="145"/>
      <c r="L424" s="145"/>
      <c r="M424" s="145"/>
    </row>
    <row r="425" ht="15.75" customHeight="1">
      <c r="C425" s="143"/>
      <c r="D425" s="143"/>
      <c r="I425" s="145"/>
      <c r="J425" s="145"/>
      <c r="K425" s="145"/>
      <c r="L425" s="145"/>
      <c r="M425" s="145"/>
    </row>
    <row r="426" ht="15.75" customHeight="1">
      <c r="C426" s="143"/>
      <c r="D426" s="143"/>
      <c r="I426" s="145"/>
      <c r="J426" s="145"/>
      <c r="K426" s="145"/>
      <c r="L426" s="145"/>
      <c r="M426" s="145"/>
    </row>
    <row r="427" ht="15.75" customHeight="1">
      <c r="C427" s="143"/>
      <c r="D427" s="143"/>
      <c r="I427" s="145"/>
      <c r="J427" s="145"/>
      <c r="K427" s="145"/>
      <c r="L427" s="145"/>
      <c r="M427" s="145"/>
    </row>
    <row r="428" ht="15.75" customHeight="1">
      <c r="C428" s="143"/>
      <c r="D428" s="143"/>
      <c r="I428" s="145"/>
      <c r="J428" s="145"/>
      <c r="K428" s="145"/>
      <c r="L428" s="145"/>
      <c r="M428" s="145"/>
    </row>
    <row r="429" ht="15.75" customHeight="1">
      <c r="C429" s="143"/>
      <c r="D429" s="143"/>
      <c r="I429" s="145"/>
      <c r="J429" s="145"/>
      <c r="K429" s="145"/>
      <c r="L429" s="145"/>
      <c r="M429" s="145"/>
    </row>
    <row r="430" ht="15.75" customHeight="1">
      <c r="C430" s="143"/>
      <c r="D430" s="143"/>
      <c r="I430" s="145"/>
      <c r="J430" s="145"/>
      <c r="K430" s="145"/>
      <c r="L430" s="145"/>
      <c r="M430" s="145"/>
    </row>
    <row r="431" ht="15.75" customHeight="1">
      <c r="C431" s="143"/>
      <c r="D431" s="143"/>
      <c r="I431" s="145"/>
      <c r="J431" s="145"/>
      <c r="K431" s="145"/>
      <c r="L431" s="145"/>
      <c r="M431" s="145"/>
    </row>
    <row r="432" ht="15.75" customHeight="1">
      <c r="C432" s="143"/>
      <c r="D432" s="143"/>
      <c r="I432" s="145"/>
      <c r="J432" s="145"/>
      <c r="K432" s="145"/>
      <c r="L432" s="145"/>
      <c r="M432" s="145"/>
    </row>
    <row r="433" ht="15.75" customHeight="1">
      <c r="C433" s="143"/>
      <c r="D433" s="143"/>
      <c r="I433" s="145"/>
      <c r="J433" s="145"/>
      <c r="K433" s="145"/>
      <c r="L433" s="145"/>
      <c r="M433" s="145"/>
    </row>
    <row r="434" ht="15.75" customHeight="1">
      <c r="C434" s="143"/>
      <c r="D434" s="143"/>
      <c r="I434" s="145"/>
      <c r="J434" s="145"/>
      <c r="K434" s="145"/>
      <c r="L434" s="145"/>
      <c r="M434" s="145"/>
    </row>
    <row r="435" ht="15.75" customHeight="1">
      <c r="C435" s="143"/>
      <c r="D435" s="143"/>
      <c r="I435" s="145"/>
      <c r="J435" s="145"/>
      <c r="K435" s="145"/>
      <c r="L435" s="145"/>
      <c r="M435" s="145"/>
    </row>
    <row r="436" ht="15.75" customHeight="1">
      <c r="C436" s="143"/>
      <c r="D436" s="143"/>
      <c r="I436" s="145"/>
      <c r="J436" s="145"/>
      <c r="K436" s="145"/>
      <c r="L436" s="145"/>
      <c r="M436" s="145"/>
    </row>
    <row r="437" ht="15.75" customHeight="1">
      <c r="C437" s="143"/>
      <c r="D437" s="143"/>
      <c r="I437" s="145"/>
      <c r="J437" s="145"/>
      <c r="K437" s="145"/>
      <c r="L437" s="145"/>
      <c r="M437" s="145"/>
    </row>
    <row r="438" ht="15.75" customHeight="1">
      <c r="C438" s="143"/>
      <c r="D438" s="143"/>
      <c r="I438" s="145"/>
      <c r="J438" s="145"/>
      <c r="K438" s="145"/>
      <c r="L438" s="145"/>
      <c r="M438" s="145"/>
    </row>
    <row r="439" ht="15.75" customHeight="1">
      <c r="C439" s="143"/>
      <c r="D439" s="143"/>
      <c r="I439" s="145"/>
      <c r="J439" s="145"/>
      <c r="K439" s="145"/>
      <c r="L439" s="145"/>
      <c r="M439" s="145"/>
    </row>
    <row r="440" ht="15.75" customHeight="1">
      <c r="C440" s="143"/>
      <c r="D440" s="143"/>
      <c r="I440" s="145"/>
      <c r="J440" s="145"/>
      <c r="K440" s="145"/>
      <c r="L440" s="145"/>
      <c r="M440" s="145"/>
    </row>
    <row r="441" ht="15.75" customHeight="1">
      <c r="C441" s="143"/>
      <c r="D441" s="143"/>
      <c r="I441" s="145"/>
      <c r="J441" s="145"/>
      <c r="K441" s="145"/>
      <c r="L441" s="145"/>
      <c r="M441" s="145"/>
    </row>
    <row r="442" ht="15.75" customHeight="1">
      <c r="C442" s="143"/>
      <c r="D442" s="143"/>
      <c r="I442" s="145"/>
      <c r="J442" s="145"/>
      <c r="K442" s="145"/>
      <c r="L442" s="145"/>
      <c r="M442" s="145"/>
    </row>
    <row r="443" ht="15.75" customHeight="1">
      <c r="C443" s="143"/>
      <c r="D443" s="143"/>
      <c r="I443" s="145"/>
      <c r="J443" s="145"/>
      <c r="K443" s="145"/>
      <c r="L443" s="145"/>
      <c r="M443" s="145"/>
    </row>
    <row r="444" ht="15.75" customHeight="1">
      <c r="C444" s="143"/>
      <c r="D444" s="143"/>
      <c r="I444" s="145"/>
      <c r="J444" s="145"/>
      <c r="K444" s="145"/>
      <c r="L444" s="145"/>
      <c r="M444" s="145"/>
    </row>
    <row r="445" ht="15.75" customHeight="1">
      <c r="C445" s="143"/>
      <c r="D445" s="143"/>
      <c r="I445" s="145"/>
      <c r="J445" s="145"/>
      <c r="K445" s="145"/>
      <c r="L445" s="145"/>
      <c r="M445" s="145"/>
    </row>
    <row r="446" ht="15.75" customHeight="1">
      <c r="C446" s="143"/>
      <c r="D446" s="143"/>
      <c r="I446" s="145"/>
      <c r="J446" s="145"/>
      <c r="K446" s="145"/>
      <c r="L446" s="145"/>
      <c r="M446" s="145"/>
    </row>
    <row r="447" ht="15.75" customHeight="1">
      <c r="C447" s="143"/>
      <c r="D447" s="143"/>
      <c r="I447" s="145"/>
      <c r="J447" s="145"/>
      <c r="K447" s="145"/>
      <c r="L447" s="145"/>
      <c r="M447" s="145"/>
    </row>
    <row r="448" ht="15.75" customHeight="1">
      <c r="C448" s="143"/>
      <c r="D448" s="143"/>
      <c r="I448" s="145"/>
      <c r="J448" s="145"/>
      <c r="K448" s="145"/>
      <c r="L448" s="145"/>
      <c r="M448" s="145"/>
    </row>
    <row r="449" ht="15.75" customHeight="1">
      <c r="C449" s="143"/>
      <c r="D449" s="143"/>
      <c r="I449" s="145"/>
      <c r="J449" s="145"/>
      <c r="K449" s="145"/>
      <c r="L449" s="145"/>
      <c r="M449" s="145"/>
    </row>
    <row r="450" ht="15.75" customHeight="1">
      <c r="C450" s="143"/>
      <c r="D450" s="143"/>
      <c r="I450" s="145"/>
      <c r="J450" s="145"/>
      <c r="K450" s="145"/>
      <c r="L450" s="145"/>
      <c r="M450" s="145"/>
    </row>
    <row r="451" ht="15.75" customHeight="1">
      <c r="C451" s="143"/>
      <c r="D451" s="143"/>
      <c r="I451" s="145"/>
      <c r="J451" s="145"/>
      <c r="K451" s="145"/>
      <c r="L451" s="145"/>
      <c r="M451" s="145"/>
    </row>
    <row r="452" ht="15.75" customHeight="1">
      <c r="C452" s="143"/>
      <c r="D452" s="143"/>
      <c r="I452" s="145"/>
      <c r="J452" s="145"/>
      <c r="K452" s="145"/>
      <c r="L452" s="145"/>
      <c r="M452" s="145"/>
    </row>
    <row r="453" ht="15.75" customHeight="1">
      <c r="C453" s="143"/>
      <c r="D453" s="143"/>
      <c r="I453" s="145"/>
      <c r="J453" s="145"/>
      <c r="K453" s="145"/>
      <c r="L453" s="145"/>
      <c r="M453" s="145"/>
    </row>
    <row r="454" ht="15.75" customHeight="1">
      <c r="C454" s="143"/>
      <c r="D454" s="143"/>
      <c r="I454" s="145"/>
      <c r="J454" s="145"/>
      <c r="K454" s="145"/>
      <c r="L454" s="145"/>
      <c r="M454" s="145"/>
    </row>
    <row r="455" ht="15.75" customHeight="1">
      <c r="C455" s="143"/>
      <c r="D455" s="143"/>
      <c r="I455" s="145"/>
      <c r="J455" s="145"/>
      <c r="K455" s="145"/>
      <c r="L455" s="145"/>
      <c r="M455" s="145"/>
    </row>
    <row r="456" ht="15.75" customHeight="1">
      <c r="C456" s="143"/>
      <c r="D456" s="143"/>
      <c r="I456" s="145"/>
      <c r="J456" s="145"/>
      <c r="K456" s="145"/>
      <c r="L456" s="145"/>
      <c r="M456" s="145"/>
    </row>
    <row r="457" ht="15.75" customHeight="1">
      <c r="C457" s="143"/>
      <c r="D457" s="143"/>
      <c r="I457" s="145"/>
      <c r="J457" s="145"/>
      <c r="K457" s="145"/>
      <c r="L457" s="145"/>
      <c r="M457" s="145"/>
    </row>
    <row r="458" ht="15.75" customHeight="1">
      <c r="C458" s="143"/>
      <c r="D458" s="143"/>
      <c r="I458" s="145"/>
      <c r="J458" s="145"/>
      <c r="K458" s="145"/>
      <c r="L458" s="145"/>
      <c r="M458" s="145"/>
    </row>
    <row r="459" ht="15.75" customHeight="1">
      <c r="C459" s="143"/>
      <c r="D459" s="143"/>
      <c r="I459" s="145"/>
      <c r="J459" s="145"/>
      <c r="K459" s="145"/>
      <c r="L459" s="145"/>
      <c r="M459" s="145"/>
    </row>
    <row r="460" ht="15.75" customHeight="1">
      <c r="C460" s="143"/>
      <c r="D460" s="143"/>
      <c r="I460" s="145"/>
      <c r="J460" s="145"/>
      <c r="K460" s="145"/>
      <c r="L460" s="145"/>
      <c r="M460" s="145"/>
    </row>
    <row r="461" ht="15.75" customHeight="1">
      <c r="C461" s="143"/>
      <c r="D461" s="143"/>
      <c r="I461" s="145"/>
      <c r="J461" s="145"/>
      <c r="K461" s="145"/>
      <c r="L461" s="145"/>
      <c r="M461" s="145"/>
    </row>
    <row r="462" ht="15.75" customHeight="1">
      <c r="C462" s="143"/>
      <c r="D462" s="143"/>
      <c r="I462" s="145"/>
      <c r="J462" s="145"/>
      <c r="K462" s="145"/>
      <c r="L462" s="145"/>
      <c r="M462" s="145"/>
    </row>
    <row r="463" ht="15.75" customHeight="1">
      <c r="C463" s="143"/>
      <c r="D463" s="143"/>
      <c r="I463" s="145"/>
      <c r="J463" s="145"/>
      <c r="K463" s="145"/>
      <c r="L463" s="145"/>
      <c r="M463" s="145"/>
    </row>
    <row r="464" ht="15.75" customHeight="1">
      <c r="C464" s="143"/>
      <c r="D464" s="143"/>
      <c r="I464" s="145"/>
      <c r="J464" s="145"/>
      <c r="K464" s="145"/>
      <c r="L464" s="145"/>
      <c r="M464" s="145"/>
    </row>
    <row r="465" ht="15.75" customHeight="1">
      <c r="C465" s="143"/>
      <c r="D465" s="143"/>
      <c r="I465" s="145"/>
      <c r="J465" s="145"/>
      <c r="K465" s="145"/>
      <c r="L465" s="145"/>
      <c r="M465" s="145"/>
    </row>
    <row r="466" ht="15.75" customHeight="1">
      <c r="C466" s="143"/>
      <c r="D466" s="143"/>
      <c r="I466" s="145"/>
      <c r="J466" s="145"/>
      <c r="K466" s="145"/>
      <c r="L466" s="145"/>
      <c r="M466" s="145"/>
    </row>
    <row r="467" ht="15.75" customHeight="1">
      <c r="C467" s="143"/>
      <c r="D467" s="143"/>
      <c r="I467" s="145"/>
      <c r="J467" s="145"/>
      <c r="K467" s="145"/>
      <c r="L467" s="145"/>
      <c r="M467" s="145"/>
    </row>
    <row r="468" ht="15.75" customHeight="1">
      <c r="C468" s="143"/>
      <c r="D468" s="143"/>
      <c r="I468" s="145"/>
      <c r="J468" s="145"/>
      <c r="K468" s="145"/>
      <c r="L468" s="145"/>
      <c r="M468" s="145"/>
    </row>
    <row r="469" ht="15.75" customHeight="1">
      <c r="C469" s="143"/>
      <c r="D469" s="143"/>
      <c r="I469" s="145"/>
      <c r="J469" s="145"/>
      <c r="K469" s="145"/>
      <c r="L469" s="145"/>
      <c r="M469" s="145"/>
    </row>
    <row r="470" ht="15.75" customHeight="1">
      <c r="C470" s="143"/>
      <c r="D470" s="143"/>
      <c r="I470" s="145"/>
      <c r="J470" s="145"/>
      <c r="K470" s="145"/>
      <c r="L470" s="145"/>
      <c r="M470" s="145"/>
    </row>
    <row r="471" ht="15.75" customHeight="1">
      <c r="C471" s="143"/>
      <c r="D471" s="143"/>
      <c r="I471" s="145"/>
      <c r="J471" s="145"/>
      <c r="K471" s="145"/>
      <c r="L471" s="145"/>
      <c r="M471" s="145"/>
    </row>
    <row r="472" ht="15.75" customHeight="1">
      <c r="C472" s="143"/>
      <c r="D472" s="143"/>
      <c r="I472" s="145"/>
      <c r="J472" s="145"/>
      <c r="K472" s="145"/>
      <c r="L472" s="145"/>
      <c r="M472" s="145"/>
    </row>
    <row r="473" ht="15.75" customHeight="1">
      <c r="C473" s="143"/>
      <c r="D473" s="143"/>
      <c r="I473" s="145"/>
      <c r="J473" s="145"/>
      <c r="K473" s="145"/>
      <c r="L473" s="145"/>
      <c r="M473" s="145"/>
    </row>
    <row r="474" ht="15.75" customHeight="1">
      <c r="C474" s="143"/>
      <c r="D474" s="143"/>
      <c r="I474" s="145"/>
      <c r="J474" s="145"/>
      <c r="K474" s="145"/>
      <c r="L474" s="145"/>
      <c r="M474" s="145"/>
    </row>
    <row r="475" ht="15.75" customHeight="1">
      <c r="C475" s="143"/>
      <c r="D475" s="143"/>
      <c r="I475" s="145"/>
      <c r="J475" s="145"/>
      <c r="K475" s="145"/>
      <c r="L475" s="145"/>
      <c r="M475" s="145"/>
    </row>
    <row r="476" ht="15.75" customHeight="1">
      <c r="C476" s="143"/>
      <c r="D476" s="143"/>
      <c r="I476" s="145"/>
      <c r="J476" s="145"/>
      <c r="K476" s="145"/>
      <c r="L476" s="145"/>
      <c r="M476" s="145"/>
    </row>
    <row r="477" ht="15.75" customHeight="1">
      <c r="C477" s="143"/>
      <c r="D477" s="143"/>
      <c r="I477" s="145"/>
      <c r="J477" s="145"/>
      <c r="K477" s="145"/>
      <c r="L477" s="145"/>
      <c r="M477" s="145"/>
    </row>
    <row r="478" ht="15.75" customHeight="1">
      <c r="C478" s="143"/>
      <c r="D478" s="143"/>
      <c r="I478" s="145"/>
      <c r="J478" s="145"/>
      <c r="K478" s="145"/>
      <c r="L478" s="145"/>
      <c r="M478" s="145"/>
    </row>
    <row r="479" ht="15.75" customHeight="1">
      <c r="C479" s="143"/>
      <c r="D479" s="143"/>
      <c r="I479" s="145"/>
      <c r="J479" s="145"/>
      <c r="K479" s="145"/>
      <c r="L479" s="145"/>
      <c r="M479" s="145"/>
    </row>
    <row r="480" ht="15.75" customHeight="1">
      <c r="C480" s="143"/>
      <c r="D480" s="143"/>
      <c r="I480" s="145"/>
      <c r="J480" s="145"/>
      <c r="K480" s="145"/>
      <c r="L480" s="145"/>
      <c r="M480" s="145"/>
    </row>
    <row r="481" ht="15.75" customHeight="1">
      <c r="C481" s="143"/>
      <c r="D481" s="143"/>
      <c r="I481" s="145"/>
      <c r="J481" s="145"/>
      <c r="K481" s="145"/>
      <c r="L481" s="145"/>
      <c r="M481" s="145"/>
    </row>
    <row r="482" ht="15.75" customHeight="1">
      <c r="C482" s="143"/>
      <c r="D482" s="143"/>
      <c r="I482" s="145"/>
      <c r="J482" s="145"/>
      <c r="K482" s="145"/>
      <c r="L482" s="145"/>
      <c r="M482" s="145"/>
    </row>
    <row r="483" ht="15.75" customHeight="1">
      <c r="C483" s="143"/>
      <c r="D483" s="143"/>
      <c r="I483" s="145"/>
      <c r="J483" s="145"/>
      <c r="K483" s="145"/>
      <c r="L483" s="145"/>
      <c r="M483" s="145"/>
    </row>
    <row r="484" ht="15.75" customHeight="1">
      <c r="C484" s="143"/>
      <c r="D484" s="143"/>
      <c r="I484" s="145"/>
      <c r="J484" s="145"/>
      <c r="K484" s="145"/>
      <c r="L484" s="145"/>
      <c r="M484" s="145"/>
    </row>
    <row r="485" ht="15.75" customHeight="1">
      <c r="C485" s="143"/>
      <c r="D485" s="143"/>
      <c r="I485" s="145"/>
      <c r="J485" s="145"/>
      <c r="K485" s="145"/>
      <c r="L485" s="145"/>
      <c r="M485" s="145"/>
    </row>
    <row r="486" ht="15.75" customHeight="1">
      <c r="C486" s="143"/>
      <c r="D486" s="143"/>
      <c r="I486" s="145"/>
      <c r="J486" s="145"/>
      <c r="K486" s="145"/>
      <c r="L486" s="145"/>
      <c r="M486" s="145"/>
    </row>
    <row r="487" ht="15.75" customHeight="1">
      <c r="C487" s="143"/>
      <c r="D487" s="143"/>
      <c r="I487" s="145"/>
      <c r="J487" s="145"/>
      <c r="K487" s="145"/>
      <c r="L487" s="145"/>
      <c r="M487" s="145"/>
    </row>
    <row r="488" ht="15.75" customHeight="1">
      <c r="C488" s="143"/>
      <c r="D488" s="143"/>
      <c r="I488" s="145"/>
      <c r="J488" s="145"/>
      <c r="K488" s="145"/>
      <c r="L488" s="145"/>
      <c r="M488" s="145"/>
    </row>
    <row r="489" ht="15.75" customHeight="1">
      <c r="C489" s="143"/>
      <c r="D489" s="143"/>
      <c r="I489" s="145"/>
      <c r="J489" s="145"/>
      <c r="K489" s="145"/>
      <c r="L489" s="145"/>
      <c r="M489" s="145"/>
    </row>
    <row r="490" ht="15.75" customHeight="1">
      <c r="C490" s="143"/>
      <c r="D490" s="143"/>
      <c r="I490" s="145"/>
      <c r="J490" s="145"/>
      <c r="K490" s="145"/>
      <c r="L490" s="145"/>
      <c r="M490" s="145"/>
    </row>
    <row r="491" ht="15.75" customHeight="1">
      <c r="C491" s="143"/>
      <c r="D491" s="143"/>
      <c r="I491" s="145"/>
      <c r="J491" s="145"/>
      <c r="K491" s="145"/>
      <c r="L491" s="145"/>
      <c r="M491" s="145"/>
    </row>
    <row r="492" ht="15.75" customHeight="1">
      <c r="C492" s="143"/>
      <c r="D492" s="143"/>
      <c r="I492" s="145"/>
      <c r="J492" s="145"/>
      <c r="K492" s="145"/>
      <c r="L492" s="145"/>
      <c r="M492" s="145"/>
    </row>
    <row r="493" ht="15.75" customHeight="1">
      <c r="C493" s="143"/>
      <c r="D493" s="143"/>
      <c r="I493" s="145"/>
      <c r="J493" s="145"/>
      <c r="K493" s="145"/>
      <c r="L493" s="145"/>
      <c r="M493" s="145"/>
    </row>
    <row r="494" ht="15.75" customHeight="1">
      <c r="C494" s="143"/>
      <c r="D494" s="143"/>
      <c r="I494" s="145"/>
      <c r="J494" s="145"/>
      <c r="K494" s="145"/>
      <c r="L494" s="145"/>
      <c r="M494" s="145"/>
    </row>
    <row r="495" ht="15.75" customHeight="1">
      <c r="C495" s="143"/>
      <c r="D495" s="143"/>
      <c r="I495" s="145"/>
      <c r="J495" s="145"/>
      <c r="K495" s="145"/>
      <c r="L495" s="145"/>
      <c r="M495" s="145"/>
    </row>
    <row r="496" ht="15.75" customHeight="1">
      <c r="C496" s="143"/>
      <c r="D496" s="143"/>
      <c r="I496" s="145"/>
      <c r="J496" s="145"/>
      <c r="K496" s="145"/>
      <c r="L496" s="145"/>
      <c r="M496" s="145"/>
    </row>
    <row r="497" ht="15.75" customHeight="1">
      <c r="C497" s="143"/>
      <c r="D497" s="143"/>
      <c r="I497" s="145"/>
      <c r="J497" s="145"/>
      <c r="K497" s="145"/>
      <c r="L497" s="145"/>
      <c r="M497" s="145"/>
    </row>
    <row r="498" ht="15.75" customHeight="1">
      <c r="C498" s="143"/>
      <c r="D498" s="143"/>
      <c r="I498" s="145"/>
      <c r="J498" s="145"/>
      <c r="K498" s="145"/>
      <c r="L498" s="145"/>
      <c r="M498" s="145"/>
    </row>
    <row r="499" ht="15.75" customHeight="1">
      <c r="C499" s="143"/>
      <c r="D499" s="143"/>
      <c r="I499" s="145"/>
      <c r="J499" s="145"/>
      <c r="K499" s="145"/>
      <c r="L499" s="145"/>
      <c r="M499" s="145"/>
    </row>
    <row r="500" ht="15.75" customHeight="1">
      <c r="C500" s="143"/>
      <c r="D500" s="143"/>
      <c r="I500" s="145"/>
      <c r="J500" s="145"/>
      <c r="K500" s="145"/>
      <c r="L500" s="145"/>
      <c r="M500" s="145"/>
    </row>
    <row r="501" ht="15.75" customHeight="1">
      <c r="C501" s="143"/>
      <c r="D501" s="143"/>
      <c r="I501" s="145"/>
      <c r="J501" s="145"/>
      <c r="K501" s="145"/>
      <c r="L501" s="145"/>
      <c r="M501" s="145"/>
    </row>
    <row r="502" ht="15.75" customHeight="1">
      <c r="C502" s="143"/>
      <c r="D502" s="143"/>
      <c r="I502" s="145"/>
      <c r="J502" s="145"/>
      <c r="K502" s="145"/>
      <c r="L502" s="145"/>
      <c r="M502" s="145"/>
    </row>
    <row r="503" ht="15.75" customHeight="1">
      <c r="C503" s="143"/>
      <c r="D503" s="143"/>
      <c r="I503" s="145"/>
      <c r="J503" s="145"/>
      <c r="K503" s="145"/>
      <c r="L503" s="145"/>
      <c r="M503" s="145"/>
    </row>
    <row r="504" ht="15.75" customHeight="1">
      <c r="C504" s="143"/>
      <c r="D504" s="143"/>
      <c r="I504" s="145"/>
      <c r="J504" s="145"/>
      <c r="K504" s="145"/>
      <c r="L504" s="145"/>
      <c r="M504" s="145"/>
    </row>
    <row r="505" ht="15.75" customHeight="1">
      <c r="C505" s="143"/>
      <c r="D505" s="143"/>
      <c r="I505" s="145"/>
      <c r="J505" s="145"/>
      <c r="K505" s="145"/>
      <c r="L505" s="145"/>
      <c r="M505" s="145"/>
    </row>
    <row r="506" ht="15.75" customHeight="1">
      <c r="C506" s="143"/>
      <c r="D506" s="143"/>
      <c r="I506" s="145"/>
      <c r="J506" s="145"/>
      <c r="K506" s="145"/>
      <c r="L506" s="145"/>
      <c r="M506" s="145"/>
    </row>
    <row r="507" ht="15.75" customHeight="1">
      <c r="C507" s="143"/>
      <c r="D507" s="143"/>
      <c r="I507" s="145"/>
      <c r="J507" s="145"/>
      <c r="K507" s="145"/>
      <c r="L507" s="145"/>
      <c r="M507" s="145"/>
    </row>
    <row r="508" ht="15.75" customHeight="1">
      <c r="C508" s="143"/>
      <c r="D508" s="143"/>
      <c r="I508" s="145"/>
      <c r="J508" s="145"/>
      <c r="K508" s="145"/>
      <c r="L508" s="145"/>
      <c r="M508" s="145"/>
    </row>
    <row r="509" ht="15.75" customHeight="1">
      <c r="C509" s="143"/>
      <c r="D509" s="143"/>
      <c r="I509" s="145"/>
      <c r="J509" s="145"/>
      <c r="K509" s="145"/>
      <c r="L509" s="145"/>
      <c r="M509" s="145"/>
    </row>
    <row r="510" ht="15.75" customHeight="1">
      <c r="C510" s="143"/>
      <c r="D510" s="143"/>
      <c r="I510" s="145"/>
      <c r="J510" s="145"/>
      <c r="K510" s="145"/>
      <c r="L510" s="145"/>
      <c r="M510" s="145"/>
    </row>
    <row r="511" ht="15.75" customHeight="1">
      <c r="C511" s="143"/>
      <c r="D511" s="143"/>
      <c r="I511" s="145"/>
      <c r="J511" s="145"/>
      <c r="K511" s="145"/>
      <c r="L511" s="145"/>
      <c r="M511" s="145"/>
    </row>
    <row r="512" ht="15.75" customHeight="1">
      <c r="C512" s="143"/>
      <c r="D512" s="143"/>
      <c r="I512" s="145"/>
      <c r="J512" s="145"/>
      <c r="K512" s="145"/>
      <c r="L512" s="145"/>
      <c r="M512" s="145"/>
    </row>
    <row r="513" ht="15.75" customHeight="1">
      <c r="C513" s="143"/>
      <c r="D513" s="143"/>
      <c r="I513" s="145"/>
      <c r="J513" s="145"/>
      <c r="K513" s="145"/>
      <c r="L513" s="145"/>
      <c r="M513" s="145"/>
    </row>
    <row r="514" ht="15.75" customHeight="1">
      <c r="C514" s="143"/>
      <c r="D514" s="143"/>
      <c r="I514" s="145"/>
      <c r="J514" s="145"/>
      <c r="K514" s="145"/>
      <c r="L514" s="145"/>
      <c r="M514" s="145"/>
    </row>
    <row r="515" ht="15.75" customHeight="1">
      <c r="C515" s="143"/>
      <c r="D515" s="143"/>
      <c r="I515" s="145"/>
      <c r="J515" s="145"/>
      <c r="K515" s="145"/>
      <c r="L515" s="145"/>
      <c r="M515" s="145"/>
    </row>
    <row r="516" ht="15.75" customHeight="1">
      <c r="C516" s="143"/>
      <c r="D516" s="143"/>
      <c r="I516" s="145"/>
      <c r="J516" s="145"/>
      <c r="K516" s="145"/>
      <c r="L516" s="145"/>
      <c r="M516" s="145"/>
    </row>
    <row r="517" ht="15.75" customHeight="1">
      <c r="C517" s="143"/>
      <c r="D517" s="143"/>
      <c r="I517" s="145"/>
      <c r="J517" s="145"/>
      <c r="K517" s="145"/>
      <c r="L517" s="145"/>
      <c r="M517" s="145"/>
    </row>
    <row r="518" ht="15.75" customHeight="1">
      <c r="C518" s="143"/>
      <c r="D518" s="143"/>
      <c r="I518" s="145"/>
      <c r="J518" s="145"/>
      <c r="K518" s="145"/>
      <c r="L518" s="145"/>
      <c r="M518" s="145"/>
    </row>
    <row r="519" ht="15.75" customHeight="1">
      <c r="C519" s="143"/>
      <c r="D519" s="143"/>
      <c r="I519" s="145"/>
      <c r="J519" s="145"/>
      <c r="K519" s="145"/>
      <c r="L519" s="145"/>
      <c r="M519" s="145"/>
    </row>
    <row r="520" ht="15.75" customHeight="1">
      <c r="C520" s="143"/>
      <c r="D520" s="143"/>
      <c r="I520" s="145"/>
      <c r="J520" s="145"/>
      <c r="K520" s="145"/>
      <c r="L520" s="145"/>
      <c r="M520" s="145"/>
    </row>
    <row r="521" ht="15.75" customHeight="1">
      <c r="C521" s="143"/>
      <c r="D521" s="143"/>
      <c r="I521" s="145"/>
      <c r="J521" s="145"/>
      <c r="K521" s="145"/>
      <c r="L521" s="145"/>
      <c r="M521" s="145"/>
    </row>
    <row r="522" ht="15.75" customHeight="1">
      <c r="C522" s="143"/>
      <c r="D522" s="143"/>
      <c r="I522" s="145"/>
      <c r="J522" s="145"/>
      <c r="K522" s="145"/>
      <c r="L522" s="145"/>
      <c r="M522" s="145"/>
    </row>
    <row r="523" ht="15.75" customHeight="1">
      <c r="C523" s="143"/>
      <c r="D523" s="143"/>
      <c r="I523" s="145"/>
      <c r="J523" s="145"/>
      <c r="K523" s="145"/>
      <c r="L523" s="145"/>
      <c r="M523" s="145"/>
    </row>
    <row r="524" ht="15.75" customHeight="1">
      <c r="C524" s="143"/>
      <c r="D524" s="143"/>
      <c r="I524" s="145"/>
      <c r="J524" s="145"/>
      <c r="K524" s="145"/>
      <c r="L524" s="145"/>
      <c r="M524" s="145"/>
    </row>
    <row r="525" ht="15.75" customHeight="1">
      <c r="C525" s="143"/>
      <c r="D525" s="143"/>
      <c r="I525" s="145"/>
      <c r="J525" s="145"/>
      <c r="K525" s="145"/>
      <c r="L525" s="145"/>
      <c r="M525" s="145"/>
    </row>
    <row r="526" ht="15.75" customHeight="1">
      <c r="C526" s="143"/>
      <c r="D526" s="143"/>
      <c r="I526" s="145"/>
      <c r="J526" s="145"/>
      <c r="K526" s="145"/>
      <c r="L526" s="145"/>
      <c r="M526" s="145"/>
    </row>
    <row r="527" ht="15.75" customHeight="1">
      <c r="C527" s="143"/>
      <c r="D527" s="143"/>
      <c r="I527" s="145"/>
      <c r="J527" s="145"/>
      <c r="K527" s="145"/>
      <c r="L527" s="145"/>
      <c r="M527" s="145"/>
    </row>
    <row r="528" ht="15.75" customHeight="1">
      <c r="C528" s="143"/>
      <c r="D528" s="143"/>
      <c r="I528" s="145"/>
      <c r="J528" s="145"/>
      <c r="K528" s="145"/>
      <c r="L528" s="145"/>
      <c r="M528" s="145"/>
    </row>
    <row r="529" ht="15.75" customHeight="1">
      <c r="C529" s="143"/>
      <c r="D529" s="143"/>
      <c r="I529" s="145"/>
      <c r="J529" s="145"/>
      <c r="K529" s="145"/>
      <c r="L529" s="145"/>
      <c r="M529" s="145"/>
    </row>
    <row r="530" ht="15.75" customHeight="1">
      <c r="C530" s="143"/>
      <c r="D530" s="143"/>
      <c r="I530" s="145"/>
      <c r="J530" s="145"/>
      <c r="K530" s="145"/>
      <c r="L530" s="145"/>
      <c r="M530" s="145"/>
    </row>
    <row r="531" ht="15.75" customHeight="1">
      <c r="C531" s="143"/>
      <c r="D531" s="143"/>
      <c r="I531" s="145"/>
      <c r="J531" s="145"/>
      <c r="K531" s="145"/>
      <c r="L531" s="145"/>
      <c r="M531" s="145"/>
    </row>
    <row r="532" ht="15.75" customHeight="1">
      <c r="C532" s="143"/>
      <c r="D532" s="143"/>
      <c r="I532" s="145"/>
      <c r="J532" s="145"/>
      <c r="K532" s="145"/>
      <c r="L532" s="145"/>
      <c r="M532" s="145"/>
    </row>
    <row r="533" ht="15.75" customHeight="1">
      <c r="C533" s="143"/>
      <c r="D533" s="143"/>
      <c r="I533" s="145"/>
      <c r="J533" s="145"/>
      <c r="K533" s="145"/>
      <c r="L533" s="145"/>
      <c r="M533" s="145"/>
    </row>
    <row r="534" ht="15.75" customHeight="1">
      <c r="C534" s="143"/>
      <c r="D534" s="143"/>
      <c r="I534" s="145"/>
      <c r="J534" s="145"/>
      <c r="K534" s="145"/>
      <c r="L534" s="145"/>
      <c r="M534" s="145"/>
    </row>
    <row r="535" ht="15.75" customHeight="1">
      <c r="C535" s="143"/>
      <c r="D535" s="143"/>
      <c r="I535" s="145"/>
      <c r="J535" s="145"/>
      <c r="K535" s="145"/>
      <c r="L535" s="145"/>
      <c r="M535" s="145"/>
    </row>
    <row r="536" ht="15.75" customHeight="1">
      <c r="C536" s="143"/>
      <c r="D536" s="143"/>
      <c r="I536" s="145"/>
      <c r="J536" s="145"/>
      <c r="K536" s="145"/>
      <c r="L536" s="145"/>
      <c r="M536" s="145"/>
    </row>
    <row r="537" ht="15.75" customHeight="1">
      <c r="C537" s="143"/>
      <c r="D537" s="143"/>
      <c r="I537" s="145"/>
      <c r="J537" s="145"/>
      <c r="K537" s="145"/>
      <c r="L537" s="145"/>
      <c r="M537" s="145"/>
    </row>
    <row r="538" ht="15.75" customHeight="1">
      <c r="C538" s="143"/>
      <c r="D538" s="143"/>
      <c r="I538" s="145"/>
      <c r="J538" s="145"/>
      <c r="K538" s="145"/>
      <c r="L538" s="145"/>
      <c r="M538" s="145"/>
    </row>
    <row r="539" ht="15.75" customHeight="1">
      <c r="C539" s="143"/>
      <c r="D539" s="143"/>
      <c r="I539" s="145"/>
      <c r="J539" s="145"/>
      <c r="K539" s="145"/>
      <c r="L539" s="145"/>
      <c r="M539" s="145"/>
    </row>
    <row r="540" ht="15.75" customHeight="1">
      <c r="C540" s="143"/>
      <c r="D540" s="143"/>
      <c r="I540" s="145"/>
      <c r="J540" s="145"/>
      <c r="K540" s="145"/>
      <c r="L540" s="145"/>
      <c r="M540" s="145"/>
    </row>
    <row r="541" ht="15.75" customHeight="1">
      <c r="C541" s="143"/>
      <c r="D541" s="143"/>
      <c r="I541" s="145"/>
      <c r="J541" s="145"/>
      <c r="K541" s="145"/>
      <c r="L541" s="145"/>
      <c r="M541" s="145"/>
    </row>
    <row r="542" ht="15.75" customHeight="1">
      <c r="C542" s="143"/>
      <c r="D542" s="143"/>
      <c r="I542" s="145"/>
      <c r="J542" s="145"/>
      <c r="K542" s="145"/>
      <c r="L542" s="145"/>
      <c r="M542" s="145"/>
    </row>
    <row r="543" ht="15.75" customHeight="1">
      <c r="C543" s="143"/>
      <c r="D543" s="143"/>
      <c r="I543" s="145"/>
      <c r="J543" s="145"/>
      <c r="K543" s="145"/>
      <c r="L543" s="145"/>
      <c r="M543" s="145"/>
    </row>
    <row r="544" ht="15.75" customHeight="1">
      <c r="C544" s="143"/>
      <c r="D544" s="143"/>
      <c r="I544" s="145"/>
      <c r="J544" s="145"/>
      <c r="K544" s="145"/>
      <c r="L544" s="145"/>
      <c r="M544" s="145"/>
    </row>
    <row r="545" ht="15.75" customHeight="1">
      <c r="C545" s="143"/>
      <c r="D545" s="143"/>
      <c r="I545" s="145"/>
      <c r="J545" s="145"/>
      <c r="K545" s="145"/>
      <c r="L545" s="145"/>
      <c r="M545" s="145"/>
    </row>
    <row r="546" ht="15.75" customHeight="1">
      <c r="C546" s="143"/>
      <c r="D546" s="143"/>
      <c r="I546" s="145"/>
      <c r="J546" s="145"/>
      <c r="K546" s="145"/>
      <c r="L546" s="145"/>
      <c r="M546" s="145"/>
    </row>
    <row r="547" ht="15.75" customHeight="1">
      <c r="C547" s="143"/>
      <c r="D547" s="143"/>
      <c r="I547" s="145"/>
      <c r="J547" s="145"/>
      <c r="K547" s="145"/>
      <c r="L547" s="145"/>
      <c r="M547" s="145"/>
    </row>
    <row r="548" ht="15.75" customHeight="1">
      <c r="C548" s="143"/>
      <c r="D548" s="143"/>
      <c r="I548" s="145"/>
      <c r="J548" s="145"/>
      <c r="K548" s="145"/>
      <c r="L548" s="145"/>
      <c r="M548" s="145"/>
    </row>
    <row r="549" ht="15.75" customHeight="1">
      <c r="C549" s="143"/>
      <c r="D549" s="143"/>
      <c r="I549" s="145"/>
      <c r="J549" s="145"/>
      <c r="K549" s="145"/>
      <c r="L549" s="145"/>
      <c r="M549" s="145"/>
    </row>
    <row r="550" ht="15.75" customHeight="1">
      <c r="C550" s="143"/>
      <c r="D550" s="143"/>
      <c r="I550" s="145"/>
      <c r="J550" s="145"/>
      <c r="K550" s="145"/>
      <c r="L550" s="145"/>
      <c r="M550" s="145"/>
    </row>
    <row r="551" ht="15.75" customHeight="1">
      <c r="C551" s="143"/>
      <c r="D551" s="143"/>
      <c r="I551" s="145"/>
      <c r="J551" s="145"/>
      <c r="K551" s="145"/>
      <c r="L551" s="145"/>
      <c r="M551" s="145"/>
    </row>
    <row r="552" ht="15.75" customHeight="1">
      <c r="C552" s="143"/>
      <c r="D552" s="143"/>
      <c r="I552" s="145"/>
      <c r="J552" s="145"/>
      <c r="K552" s="145"/>
      <c r="L552" s="145"/>
      <c r="M552" s="145"/>
    </row>
    <row r="553" ht="15.75" customHeight="1">
      <c r="C553" s="143"/>
      <c r="D553" s="143"/>
      <c r="I553" s="145"/>
      <c r="J553" s="145"/>
      <c r="K553" s="145"/>
      <c r="L553" s="145"/>
      <c r="M553" s="145"/>
    </row>
    <row r="554" ht="15.75" customHeight="1">
      <c r="C554" s="143"/>
      <c r="D554" s="143"/>
      <c r="I554" s="145"/>
      <c r="J554" s="145"/>
      <c r="K554" s="145"/>
      <c r="L554" s="145"/>
      <c r="M554" s="145"/>
    </row>
    <row r="555" ht="15.75" customHeight="1">
      <c r="C555" s="143"/>
      <c r="D555" s="143"/>
      <c r="I555" s="145"/>
      <c r="J555" s="145"/>
      <c r="K555" s="145"/>
      <c r="L555" s="145"/>
      <c r="M555" s="145"/>
    </row>
    <row r="556" ht="15.75" customHeight="1">
      <c r="C556" s="143"/>
      <c r="D556" s="143"/>
      <c r="I556" s="145"/>
      <c r="J556" s="145"/>
      <c r="K556" s="145"/>
      <c r="L556" s="145"/>
      <c r="M556" s="145"/>
    </row>
    <row r="557" ht="15.75" customHeight="1">
      <c r="C557" s="143"/>
      <c r="D557" s="143"/>
      <c r="I557" s="145"/>
      <c r="J557" s="145"/>
      <c r="K557" s="145"/>
      <c r="L557" s="145"/>
      <c r="M557" s="145"/>
    </row>
    <row r="558" ht="15.75" customHeight="1">
      <c r="C558" s="143"/>
      <c r="D558" s="143"/>
      <c r="I558" s="145"/>
      <c r="J558" s="145"/>
      <c r="K558" s="145"/>
      <c r="L558" s="145"/>
      <c r="M558" s="145"/>
    </row>
    <row r="559" ht="15.75" customHeight="1">
      <c r="C559" s="143"/>
      <c r="D559" s="143"/>
      <c r="I559" s="145"/>
      <c r="J559" s="145"/>
      <c r="K559" s="145"/>
      <c r="L559" s="145"/>
      <c r="M559" s="145"/>
    </row>
    <row r="560" ht="15.75" customHeight="1">
      <c r="C560" s="143"/>
      <c r="D560" s="143"/>
      <c r="I560" s="145"/>
      <c r="J560" s="145"/>
      <c r="K560" s="145"/>
      <c r="L560" s="145"/>
      <c r="M560" s="145"/>
    </row>
    <row r="561" ht="15.75" customHeight="1">
      <c r="C561" s="143"/>
      <c r="D561" s="143"/>
      <c r="I561" s="145"/>
      <c r="J561" s="145"/>
      <c r="K561" s="145"/>
      <c r="L561" s="145"/>
      <c r="M561" s="145"/>
    </row>
    <row r="562" ht="15.75" customHeight="1">
      <c r="C562" s="143"/>
      <c r="D562" s="143"/>
      <c r="I562" s="145"/>
      <c r="J562" s="145"/>
      <c r="K562" s="145"/>
      <c r="L562" s="145"/>
      <c r="M562" s="145"/>
    </row>
    <row r="563" ht="15.75" customHeight="1">
      <c r="C563" s="143"/>
      <c r="D563" s="143"/>
      <c r="I563" s="145"/>
      <c r="J563" s="145"/>
      <c r="K563" s="145"/>
      <c r="L563" s="145"/>
      <c r="M563" s="145"/>
    </row>
    <row r="564" ht="15.75" customHeight="1">
      <c r="C564" s="143"/>
      <c r="D564" s="143"/>
      <c r="I564" s="145"/>
      <c r="J564" s="145"/>
      <c r="K564" s="145"/>
      <c r="L564" s="145"/>
      <c r="M564" s="145"/>
    </row>
    <row r="565" ht="15.75" customHeight="1">
      <c r="C565" s="143"/>
      <c r="D565" s="143"/>
      <c r="I565" s="145"/>
      <c r="J565" s="145"/>
      <c r="K565" s="145"/>
      <c r="L565" s="145"/>
      <c r="M565" s="145"/>
    </row>
    <row r="566" ht="15.75" customHeight="1">
      <c r="C566" s="143"/>
      <c r="D566" s="143"/>
      <c r="I566" s="145"/>
      <c r="J566" s="145"/>
      <c r="K566" s="145"/>
      <c r="L566" s="145"/>
      <c r="M566" s="145"/>
    </row>
    <row r="567" ht="15.75" customHeight="1">
      <c r="C567" s="143"/>
      <c r="D567" s="143"/>
      <c r="I567" s="145"/>
      <c r="J567" s="145"/>
      <c r="K567" s="145"/>
      <c r="L567" s="145"/>
      <c r="M567" s="145"/>
    </row>
    <row r="568" ht="15.75" customHeight="1">
      <c r="C568" s="143"/>
      <c r="D568" s="143"/>
      <c r="I568" s="145"/>
      <c r="J568" s="145"/>
      <c r="K568" s="145"/>
      <c r="L568" s="145"/>
      <c r="M568" s="145"/>
    </row>
    <row r="569" ht="15.75" customHeight="1">
      <c r="C569" s="143"/>
      <c r="D569" s="143"/>
      <c r="I569" s="145"/>
      <c r="J569" s="145"/>
      <c r="K569" s="145"/>
      <c r="L569" s="145"/>
      <c r="M569" s="145"/>
    </row>
    <row r="570" ht="15.75" customHeight="1">
      <c r="C570" s="143"/>
      <c r="D570" s="143"/>
      <c r="I570" s="145"/>
      <c r="J570" s="145"/>
      <c r="K570" s="145"/>
      <c r="L570" s="145"/>
      <c r="M570" s="145"/>
    </row>
    <row r="571" ht="15.75" customHeight="1">
      <c r="C571" s="143"/>
      <c r="D571" s="143"/>
      <c r="I571" s="145"/>
      <c r="J571" s="145"/>
      <c r="K571" s="145"/>
      <c r="L571" s="145"/>
      <c r="M571" s="145"/>
    </row>
    <row r="572" ht="15.75" customHeight="1">
      <c r="C572" s="143"/>
      <c r="D572" s="143"/>
      <c r="I572" s="145"/>
      <c r="J572" s="145"/>
      <c r="K572" s="145"/>
      <c r="L572" s="145"/>
      <c r="M572" s="145"/>
    </row>
    <row r="573" ht="15.75" customHeight="1">
      <c r="C573" s="143"/>
      <c r="D573" s="143"/>
      <c r="I573" s="145"/>
      <c r="J573" s="145"/>
      <c r="K573" s="145"/>
      <c r="L573" s="145"/>
      <c r="M573" s="145"/>
    </row>
    <row r="574" ht="15.75" customHeight="1">
      <c r="C574" s="143"/>
      <c r="D574" s="143"/>
      <c r="I574" s="145"/>
      <c r="J574" s="145"/>
      <c r="K574" s="145"/>
      <c r="L574" s="145"/>
      <c r="M574" s="145"/>
    </row>
    <row r="575" ht="15.75" customHeight="1">
      <c r="C575" s="143"/>
      <c r="D575" s="143"/>
      <c r="I575" s="145"/>
      <c r="J575" s="145"/>
      <c r="K575" s="145"/>
      <c r="L575" s="145"/>
      <c r="M575" s="145"/>
    </row>
    <row r="576" ht="15.75" customHeight="1">
      <c r="C576" s="143"/>
      <c r="D576" s="143"/>
      <c r="I576" s="145"/>
      <c r="J576" s="145"/>
      <c r="K576" s="145"/>
      <c r="L576" s="145"/>
      <c r="M576" s="145"/>
    </row>
    <row r="577" ht="15.75" customHeight="1">
      <c r="C577" s="143"/>
      <c r="D577" s="143"/>
      <c r="I577" s="145"/>
      <c r="J577" s="145"/>
      <c r="K577" s="145"/>
      <c r="L577" s="145"/>
      <c r="M577" s="145"/>
    </row>
    <row r="578" ht="15.75" customHeight="1">
      <c r="C578" s="143"/>
      <c r="D578" s="143"/>
      <c r="I578" s="145"/>
      <c r="J578" s="145"/>
      <c r="K578" s="145"/>
      <c r="L578" s="145"/>
      <c r="M578" s="145"/>
    </row>
    <row r="579" ht="15.75" customHeight="1">
      <c r="C579" s="143"/>
      <c r="D579" s="143"/>
      <c r="I579" s="145"/>
      <c r="J579" s="145"/>
      <c r="K579" s="145"/>
      <c r="L579" s="145"/>
      <c r="M579" s="145"/>
    </row>
    <row r="580" ht="15.75" customHeight="1">
      <c r="C580" s="143"/>
      <c r="D580" s="143"/>
      <c r="I580" s="145"/>
      <c r="J580" s="145"/>
      <c r="K580" s="145"/>
      <c r="L580" s="145"/>
      <c r="M580" s="145"/>
    </row>
    <row r="581" ht="15.75" customHeight="1">
      <c r="C581" s="143"/>
      <c r="D581" s="143"/>
      <c r="I581" s="145"/>
      <c r="J581" s="145"/>
      <c r="K581" s="145"/>
      <c r="L581" s="145"/>
      <c r="M581" s="145"/>
    </row>
    <row r="582" ht="15.75" customHeight="1">
      <c r="C582" s="143"/>
      <c r="D582" s="143"/>
      <c r="I582" s="145"/>
      <c r="J582" s="145"/>
      <c r="K582" s="145"/>
      <c r="L582" s="145"/>
      <c r="M582" s="145"/>
    </row>
    <row r="583" ht="15.75" customHeight="1">
      <c r="C583" s="143"/>
      <c r="D583" s="143"/>
      <c r="I583" s="145"/>
      <c r="J583" s="145"/>
      <c r="K583" s="145"/>
      <c r="L583" s="145"/>
      <c r="M583" s="145"/>
    </row>
    <row r="584" ht="15.75" customHeight="1">
      <c r="C584" s="143"/>
      <c r="D584" s="143"/>
      <c r="I584" s="145"/>
      <c r="J584" s="145"/>
      <c r="K584" s="145"/>
      <c r="L584" s="145"/>
      <c r="M584" s="145"/>
    </row>
    <row r="585" ht="15.75" customHeight="1">
      <c r="C585" s="143"/>
      <c r="D585" s="143"/>
      <c r="I585" s="145"/>
      <c r="J585" s="145"/>
      <c r="K585" s="145"/>
      <c r="L585" s="145"/>
      <c r="M585" s="145"/>
    </row>
    <row r="586" ht="15.75" customHeight="1">
      <c r="C586" s="143"/>
      <c r="D586" s="143"/>
      <c r="I586" s="145"/>
      <c r="J586" s="145"/>
      <c r="K586" s="145"/>
      <c r="L586" s="145"/>
      <c r="M586" s="145"/>
    </row>
    <row r="587" ht="15.75" customHeight="1">
      <c r="C587" s="143"/>
      <c r="D587" s="143"/>
      <c r="I587" s="145"/>
      <c r="J587" s="145"/>
      <c r="K587" s="145"/>
      <c r="L587" s="145"/>
      <c r="M587" s="145"/>
    </row>
    <row r="588" ht="15.75" customHeight="1">
      <c r="C588" s="143"/>
      <c r="D588" s="143"/>
      <c r="I588" s="145"/>
      <c r="J588" s="145"/>
      <c r="K588" s="145"/>
      <c r="L588" s="145"/>
      <c r="M588" s="145"/>
    </row>
    <row r="589" ht="15.75" customHeight="1">
      <c r="C589" s="143"/>
      <c r="D589" s="143"/>
      <c r="I589" s="145"/>
      <c r="J589" s="145"/>
      <c r="K589" s="145"/>
      <c r="L589" s="145"/>
      <c r="M589" s="145"/>
    </row>
    <row r="590" ht="15.75" customHeight="1">
      <c r="C590" s="143"/>
      <c r="D590" s="143"/>
      <c r="I590" s="145"/>
      <c r="J590" s="145"/>
      <c r="K590" s="145"/>
      <c r="L590" s="145"/>
      <c r="M590" s="145"/>
    </row>
    <row r="591" ht="15.75" customHeight="1">
      <c r="C591" s="143"/>
      <c r="D591" s="143"/>
      <c r="I591" s="145"/>
      <c r="J591" s="145"/>
      <c r="K591" s="145"/>
      <c r="L591" s="145"/>
      <c r="M591" s="145"/>
    </row>
    <row r="592" ht="15.75" customHeight="1">
      <c r="C592" s="143"/>
      <c r="D592" s="143"/>
      <c r="I592" s="145"/>
      <c r="J592" s="145"/>
      <c r="K592" s="145"/>
      <c r="L592" s="145"/>
      <c r="M592" s="145"/>
    </row>
    <row r="593" ht="15.75" customHeight="1">
      <c r="C593" s="143"/>
      <c r="D593" s="143"/>
      <c r="I593" s="145"/>
      <c r="J593" s="145"/>
      <c r="K593" s="145"/>
      <c r="L593" s="145"/>
      <c r="M593" s="145"/>
    </row>
    <row r="594" ht="15.75" customHeight="1">
      <c r="C594" s="143"/>
      <c r="D594" s="143"/>
      <c r="I594" s="145"/>
      <c r="J594" s="145"/>
      <c r="K594" s="145"/>
      <c r="L594" s="145"/>
      <c r="M594" s="145"/>
    </row>
    <row r="595" ht="15.75" customHeight="1">
      <c r="C595" s="143"/>
      <c r="D595" s="143"/>
      <c r="I595" s="145"/>
      <c r="J595" s="145"/>
      <c r="K595" s="145"/>
      <c r="L595" s="145"/>
      <c r="M595" s="145"/>
    </row>
    <row r="596" ht="15.75" customHeight="1">
      <c r="C596" s="143"/>
      <c r="D596" s="143"/>
      <c r="I596" s="145"/>
      <c r="J596" s="145"/>
      <c r="K596" s="145"/>
      <c r="L596" s="145"/>
      <c r="M596" s="145"/>
    </row>
    <row r="597" ht="15.75" customHeight="1">
      <c r="C597" s="143"/>
      <c r="D597" s="143"/>
      <c r="I597" s="145"/>
      <c r="J597" s="145"/>
      <c r="K597" s="145"/>
      <c r="L597" s="145"/>
      <c r="M597" s="145"/>
    </row>
    <row r="598" ht="15.75" customHeight="1">
      <c r="C598" s="143"/>
      <c r="D598" s="143"/>
      <c r="I598" s="145"/>
      <c r="J598" s="145"/>
      <c r="K598" s="145"/>
      <c r="L598" s="145"/>
      <c r="M598" s="145"/>
    </row>
    <row r="599" ht="15.75" customHeight="1">
      <c r="C599" s="143"/>
      <c r="D599" s="143"/>
      <c r="I599" s="145"/>
      <c r="J599" s="145"/>
      <c r="K599" s="145"/>
      <c r="L599" s="145"/>
      <c r="M599" s="145"/>
    </row>
    <row r="600" ht="15.75" customHeight="1">
      <c r="C600" s="143"/>
      <c r="D600" s="143"/>
      <c r="I600" s="145"/>
      <c r="J600" s="145"/>
      <c r="K600" s="145"/>
      <c r="L600" s="145"/>
      <c r="M600" s="145"/>
    </row>
    <row r="601" ht="15.75" customHeight="1">
      <c r="C601" s="143"/>
      <c r="D601" s="143"/>
      <c r="I601" s="145"/>
      <c r="J601" s="145"/>
      <c r="K601" s="145"/>
      <c r="L601" s="145"/>
      <c r="M601" s="145"/>
    </row>
    <row r="602" ht="15.75" customHeight="1">
      <c r="C602" s="143"/>
      <c r="D602" s="143"/>
      <c r="I602" s="145"/>
      <c r="J602" s="145"/>
      <c r="K602" s="145"/>
      <c r="L602" s="145"/>
      <c r="M602" s="145"/>
    </row>
    <row r="603" ht="15.75" customHeight="1">
      <c r="C603" s="143"/>
      <c r="D603" s="143"/>
      <c r="I603" s="145"/>
      <c r="J603" s="145"/>
      <c r="K603" s="145"/>
      <c r="L603" s="145"/>
      <c r="M603" s="145"/>
    </row>
    <row r="604" ht="15.75" customHeight="1">
      <c r="C604" s="143"/>
      <c r="D604" s="143"/>
      <c r="I604" s="145"/>
      <c r="J604" s="145"/>
      <c r="K604" s="145"/>
      <c r="L604" s="145"/>
      <c r="M604" s="145"/>
    </row>
    <row r="605" ht="15.75" customHeight="1">
      <c r="C605" s="143"/>
      <c r="D605" s="143"/>
      <c r="I605" s="145"/>
      <c r="J605" s="145"/>
      <c r="K605" s="145"/>
      <c r="L605" s="145"/>
      <c r="M605" s="145"/>
    </row>
    <row r="606" ht="15.75" customHeight="1">
      <c r="C606" s="143"/>
      <c r="D606" s="143"/>
      <c r="I606" s="145"/>
      <c r="J606" s="145"/>
      <c r="K606" s="145"/>
      <c r="L606" s="145"/>
      <c r="M606" s="145"/>
    </row>
    <row r="607" ht="15.75" customHeight="1">
      <c r="C607" s="143"/>
      <c r="D607" s="143"/>
      <c r="I607" s="145"/>
      <c r="J607" s="145"/>
      <c r="K607" s="145"/>
      <c r="L607" s="145"/>
      <c r="M607" s="145"/>
    </row>
    <row r="608" ht="15.75" customHeight="1">
      <c r="C608" s="143"/>
      <c r="D608" s="143"/>
      <c r="I608" s="145"/>
      <c r="J608" s="145"/>
      <c r="K608" s="145"/>
      <c r="L608" s="145"/>
      <c r="M608" s="145"/>
    </row>
    <row r="609" ht="15.75" customHeight="1">
      <c r="C609" s="143"/>
      <c r="D609" s="143"/>
      <c r="I609" s="145"/>
      <c r="J609" s="145"/>
      <c r="K609" s="145"/>
      <c r="L609" s="145"/>
      <c r="M609" s="145"/>
    </row>
    <row r="610" ht="15.75" customHeight="1">
      <c r="C610" s="143"/>
      <c r="D610" s="143"/>
      <c r="I610" s="145"/>
      <c r="J610" s="145"/>
      <c r="K610" s="145"/>
      <c r="L610" s="145"/>
      <c r="M610" s="145"/>
    </row>
    <row r="611" ht="15.75" customHeight="1">
      <c r="C611" s="143"/>
      <c r="D611" s="143"/>
      <c r="I611" s="145"/>
      <c r="J611" s="145"/>
      <c r="K611" s="145"/>
      <c r="L611" s="145"/>
      <c r="M611" s="145"/>
    </row>
    <row r="612" ht="15.75" customHeight="1">
      <c r="C612" s="143"/>
      <c r="D612" s="143"/>
      <c r="I612" s="145"/>
      <c r="J612" s="145"/>
      <c r="K612" s="145"/>
      <c r="L612" s="145"/>
      <c r="M612" s="145"/>
    </row>
    <row r="613" ht="15.75" customHeight="1">
      <c r="C613" s="143"/>
      <c r="D613" s="143"/>
      <c r="I613" s="145"/>
      <c r="J613" s="145"/>
      <c r="K613" s="145"/>
      <c r="L613" s="145"/>
      <c r="M613" s="145"/>
    </row>
    <row r="614" ht="15.75" customHeight="1">
      <c r="C614" s="143"/>
      <c r="D614" s="143"/>
      <c r="I614" s="145"/>
      <c r="J614" s="145"/>
      <c r="K614" s="145"/>
      <c r="L614" s="145"/>
      <c r="M614" s="145"/>
    </row>
    <row r="615" ht="15.75" customHeight="1">
      <c r="C615" s="143"/>
      <c r="D615" s="143"/>
      <c r="I615" s="145"/>
      <c r="J615" s="145"/>
      <c r="K615" s="145"/>
      <c r="L615" s="145"/>
      <c r="M615" s="145"/>
    </row>
    <row r="616" ht="15.75" customHeight="1">
      <c r="C616" s="143"/>
      <c r="D616" s="143"/>
      <c r="I616" s="145"/>
      <c r="J616" s="145"/>
      <c r="K616" s="145"/>
      <c r="L616" s="145"/>
      <c r="M616" s="145"/>
    </row>
    <row r="617" ht="15.75" customHeight="1">
      <c r="C617" s="143"/>
      <c r="D617" s="143"/>
      <c r="I617" s="145"/>
      <c r="J617" s="145"/>
      <c r="K617" s="145"/>
      <c r="L617" s="145"/>
      <c r="M617" s="145"/>
    </row>
    <row r="618" ht="15.75" customHeight="1">
      <c r="C618" s="143"/>
      <c r="D618" s="143"/>
      <c r="I618" s="145"/>
      <c r="J618" s="145"/>
      <c r="K618" s="145"/>
      <c r="L618" s="145"/>
      <c r="M618" s="145"/>
    </row>
    <row r="619" ht="15.75" customHeight="1">
      <c r="C619" s="143"/>
      <c r="D619" s="143"/>
      <c r="I619" s="145"/>
      <c r="J619" s="145"/>
      <c r="K619" s="145"/>
      <c r="L619" s="145"/>
      <c r="M619" s="145"/>
    </row>
    <row r="620" ht="15.75" customHeight="1">
      <c r="C620" s="143"/>
      <c r="D620" s="143"/>
      <c r="I620" s="145"/>
      <c r="J620" s="145"/>
      <c r="K620" s="145"/>
      <c r="L620" s="145"/>
      <c r="M620" s="145"/>
    </row>
    <row r="621" ht="15.75" customHeight="1">
      <c r="C621" s="143"/>
      <c r="D621" s="143"/>
      <c r="I621" s="145"/>
      <c r="J621" s="145"/>
      <c r="K621" s="145"/>
      <c r="L621" s="145"/>
      <c r="M621" s="145"/>
    </row>
    <row r="622" ht="15.75" customHeight="1">
      <c r="C622" s="143"/>
      <c r="D622" s="143"/>
      <c r="I622" s="145"/>
      <c r="J622" s="145"/>
      <c r="K622" s="145"/>
      <c r="L622" s="145"/>
      <c r="M622" s="145"/>
    </row>
    <row r="623" ht="15.75" customHeight="1">
      <c r="C623" s="143"/>
      <c r="D623" s="143"/>
      <c r="I623" s="145"/>
      <c r="J623" s="145"/>
      <c r="K623" s="145"/>
      <c r="L623" s="145"/>
      <c r="M623" s="145"/>
    </row>
    <row r="624" ht="15.75" customHeight="1">
      <c r="C624" s="143"/>
      <c r="D624" s="143"/>
      <c r="I624" s="145"/>
      <c r="J624" s="145"/>
      <c r="K624" s="145"/>
      <c r="L624" s="145"/>
      <c r="M624" s="145"/>
    </row>
    <row r="625" ht="15.75" customHeight="1">
      <c r="C625" s="143"/>
      <c r="D625" s="143"/>
      <c r="I625" s="145"/>
      <c r="J625" s="145"/>
      <c r="K625" s="145"/>
      <c r="L625" s="145"/>
      <c r="M625" s="145"/>
    </row>
    <row r="626" ht="15.75" customHeight="1">
      <c r="C626" s="143"/>
      <c r="D626" s="143"/>
      <c r="I626" s="145"/>
      <c r="J626" s="145"/>
      <c r="K626" s="145"/>
      <c r="L626" s="145"/>
      <c r="M626" s="145"/>
    </row>
    <row r="627" ht="15.75" customHeight="1">
      <c r="C627" s="143"/>
      <c r="D627" s="143"/>
      <c r="I627" s="145"/>
      <c r="J627" s="145"/>
      <c r="K627" s="145"/>
      <c r="L627" s="145"/>
      <c r="M627" s="145"/>
    </row>
    <row r="628" ht="15.75" customHeight="1">
      <c r="C628" s="143"/>
      <c r="D628" s="143"/>
      <c r="I628" s="145"/>
      <c r="J628" s="145"/>
      <c r="K628" s="145"/>
      <c r="L628" s="145"/>
      <c r="M628" s="145"/>
    </row>
    <row r="629" ht="15.75" customHeight="1">
      <c r="C629" s="143"/>
      <c r="D629" s="143"/>
      <c r="I629" s="145"/>
      <c r="J629" s="145"/>
      <c r="K629" s="145"/>
      <c r="L629" s="145"/>
      <c r="M629" s="145"/>
    </row>
    <row r="630" ht="15.75" customHeight="1">
      <c r="C630" s="143"/>
      <c r="D630" s="143"/>
      <c r="I630" s="145"/>
      <c r="J630" s="145"/>
      <c r="K630" s="145"/>
      <c r="L630" s="145"/>
      <c r="M630" s="145"/>
    </row>
    <row r="631" ht="15.75" customHeight="1">
      <c r="C631" s="143"/>
      <c r="D631" s="143"/>
      <c r="I631" s="145"/>
      <c r="J631" s="145"/>
      <c r="K631" s="145"/>
      <c r="L631" s="145"/>
      <c r="M631" s="145"/>
    </row>
    <row r="632" ht="15.75" customHeight="1">
      <c r="C632" s="143"/>
      <c r="D632" s="143"/>
      <c r="I632" s="145"/>
      <c r="J632" s="145"/>
      <c r="K632" s="145"/>
      <c r="L632" s="145"/>
      <c r="M632" s="145"/>
    </row>
    <row r="633" ht="15.75" customHeight="1">
      <c r="C633" s="143"/>
      <c r="D633" s="143"/>
      <c r="I633" s="145"/>
      <c r="J633" s="145"/>
      <c r="K633" s="145"/>
      <c r="L633" s="145"/>
      <c r="M633" s="145"/>
    </row>
    <row r="634" ht="15.75" customHeight="1">
      <c r="C634" s="143"/>
      <c r="D634" s="143"/>
      <c r="I634" s="145"/>
      <c r="J634" s="145"/>
      <c r="K634" s="145"/>
      <c r="L634" s="145"/>
      <c r="M634" s="145"/>
    </row>
    <row r="635" ht="15.75" customHeight="1">
      <c r="C635" s="143"/>
      <c r="D635" s="143"/>
      <c r="I635" s="145"/>
      <c r="J635" s="145"/>
      <c r="K635" s="145"/>
      <c r="L635" s="145"/>
      <c r="M635" s="145"/>
    </row>
    <row r="636" ht="15.75" customHeight="1">
      <c r="C636" s="143"/>
      <c r="D636" s="143"/>
      <c r="I636" s="145"/>
      <c r="J636" s="145"/>
      <c r="K636" s="145"/>
      <c r="L636" s="145"/>
      <c r="M636" s="145"/>
    </row>
    <row r="637" ht="15.75" customHeight="1">
      <c r="C637" s="143"/>
      <c r="D637" s="143"/>
      <c r="I637" s="145"/>
      <c r="J637" s="145"/>
      <c r="K637" s="145"/>
      <c r="L637" s="145"/>
      <c r="M637" s="145"/>
    </row>
    <row r="638" ht="15.75" customHeight="1">
      <c r="C638" s="143"/>
      <c r="D638" s="143"/>
      <c r="I638" s="145"/>
      <c r="J638" s="145"/>
      <c r="K638" s="145"/>
      <c r="L638" s="145"/>
      <c r="M638" s="145"/>
    </row>
    <row r="639" ht="15.75" customHeight="1">
      <c r="C639" s="143"/>
      <c r="D639" s="143"/>
      <c r="I639" s="145"/>
      <c r="J639" s="145"/>
      <c r="K639" s="145"/>
      <c r="L639" s="145"/>
      <c r="M639" s="145"/>
    </row>
    <row r="640" ht="15.75" customHeight="1">
      <c r="C640" s="143"/>
      <c r="D640" s="143"/>
      <c r="I640" s="145"/>
      <c r="J640" s="145"/>
      <c r="K640" s="145"/>
      <c r="L640" s="145"/>
      <c r="M640" s="145"/>
    </row>
    <row r="641" ht="15.75" customHeight="1">
      <c r="C641" s="143"/>
      <c r="D641" s="143"/>
      <c r="I641" s="145"/>
      <c r="J641" s="145"/>
      <c r="K641" s="145"/>
      <c r="L641" s="145"/>
      <c r="M641" s="145"/>
    </row>
    <row r="642" ht="15.75" customHeight="1">
      <c r="C642" s="143"/>
      <c r="D642" s="143"/>
      <c r="I642" s="145"/>
      <c r="J642" s="145"/>
      <c r="K642" s="145"/>
      <c r="L642" s="145"/>
      <c r="M642" s="145"/>
    </row>
    <row r="643" ht="15.75" customHeight="1">
      <c r="C643" s="143"/>
      <c r="D643" s="143"/>
      <c r="I643" s="145"/>
      <c r="J643" s="145"/>
      <c r="K643" s="145"/>
      <c r="L643" s="145"/>
      <c r="M643" s="145"/>
    </row>
    <row r="644" ht="15.75" customHeight="1">
      <c r="C644" s="143"/>
      <c r="D644" s="143"/>
      <c r="I644" s="145"/>
      <c r="J644" s="145"/>
      <c r="K644" s="145"/>
      <c r="L644" s="145"/>
      <c r="M644" s="145"/>
    </row>
    <row r="645" ht="15.75" customHeight="1">
      <c r="C645" s="143"/>
      <c r="D645" s="143"/>
      <c r="I645" s="145"/>
      <c r="J645" s="145"/>
      <c r="K645" s="145"/>
      <c r="L645" s="145"/>
      <c r="M645" s="145"/>
    </row>
    <row r="646" ht="15.75" customHeight="1">
      <c r="C646" s="143"/>
      <c r="D646" s="143"/>
      <c r="I646" s="145"/>
      <c r="J646" s="145"/>
      <c r="K646" s="145"/>
      <c r="L646" s="145"/>
      <c r="M646" s="145"/>
    </row>
    <row r="647" ht="15.75" customHeight="1">
      <c r="C647" s="143"/>
      <c r="D647" s="143"/>
      <c r="I647" s="145"/>
      <c r="J647" s="145"/>
      <c r="K647" s="145"/>
      <c r="L647" s="145"/>
      <c r="M647" s="145"/>
    </row>
    <row r="648" ht="15.75" customHeight="1">
      <c r="C648" s="143"/>
      <c r="D648" s="143"/>
      <c r="I648" s="145"/>
      <c r="J648" s="145"/>
      <c r="K648" s="145"/>
      <c r="L648" s="145"/>
      <c r="M648" s="145"/>
    </row>
    <row r="649" ht="15.75" customHeight="1">
      <c r="C649" s="143"/>
      <c r="D649" s="143"/>
      <c r="I649" s="145"/>
      <c r="J649" s="145"/>
      <c r="K649" s="145"/>
      <c r="L649" s="145"/>
      <c r="M649" s="145"/>
    </row>
    <row r="650" ht="15.75" customHeight="1">
      <c r="C650" s="143"/>
      <c r="D650" s="143"/>
      <c r="I650" s="145"/>
      <c r="J650" s="145"/>
      <c r="K650" s="145"/>
      <c r="L650" s="145"/>
      <c r="M650" s="145"/>
    </row>
    <row r="651" ht="15.75" customHeight="1">
      <c r="C651" s="143"/>
      <c r="D651" s="143"/>
      <c r="I651" s="145"/>
      <c r="J651" s="145"/>
      <c r="K651" s="145"/>
      <c r="L651" s="145"/>
      <c r="M651" s="145"/>
    </row>
    <row r="652" ht="15.75" customHeight="1">
      <c r="C652" s="143"/>
      <c r="D652" s="143"/>
      <c r="I652" s="145"/>
      <c r="J652" s="145"/>
      <c r="K652" s="145"/>
      <c r="L652" s="145"/>
      <c r="M652" s="145"/>
    </row>
    <row r="653" ht="15.75" customHeight="1">
      <c r="C653" s="143"/>
      <c r="D653" s="143"/>
      <c r="I653" s="145"/>
      <c r="J653" s="145"/>
      <c r="K653" s="145"/>
      <c r="L653" s="145"/>
      <c r="M653" s="145"/>
    </row>
    <row r="654" ht="15.75" customHeight="1">
      <c r="C654" s="143"/>
      <c r="D654" s="143"/>
      <c r="I654" s="145"/>
      <c r="J654" s="145"/>
      <c r="K654" s="145"/>
      <c r="L654" s="145"/>
      <c r="M654" s="145"/>
    </row>
    <row r="655" ht="15.75" customHeight="1">
      <c r="C655" s="143"/>
      <c r="D655" s="143"/>
      <c r="I655" s="145"/>
      <c r="J655" s="145"/>
      <c r="K655" s="145"/>
      <c r="L655" s="145"/>
      <c r="M655" s="145"/>
    </row>
    <row r="656" ht="15.75" customHeight="1">
      <c r="C656" s="143"/>
      <c r="D656" s="143"/>
      <c r="I656" s="145"/>
      <c r="J656" s="145"/>
      <c r="K656" s="145"/>
      <c r="L656" s="145"/>
      <c r="M656" s="145"/>
    </row>
    <row r="657" ht="15.75" customHeight="1">
      <c r="C657" s="143"/>
      <c r="D657" s="143"/>
      <c r="I657" s="145"/>
      <c r="J657" s="145"/>
      <c r="K657" s="145"/>
      <c r="L657" s="145"/>
      <c r="M657" s="145"/>
    </row>
    <row r="658" ht="15.75" customHeight="1">
      <c r="C658" s="143"/>
      <c r="D658" s="143"/>
      <c r="I658" s="145"/>
      <c r="J658" s="145"/>
      <c r="K658" s="145"/>
      <c r="L658" s="145"/>
      <c r="M658" s="145"/>
    </row>
    <row r="659" ht="15.75" customHeight="1">
      <c r="C659" s="143"/>
      <c r="D659" s="143"/>
      <c r="I659" s="145"/>
      <c r="J659" s="145"/>
      <c r="K659" s="145"/>
      <c r="L659" s="145"/>
      <c r="M659" s="145"/>
    </row>
    <row r="660" ht="15.75" customHeight="1">
      <c r="C660" s="143"/>
      <c r="D660" s="143"/>
      <c r="I660" s="145"/>
      <c r="J660" s="145"/>
      <c r="K660" s="145"/>
      <c r="L660" s="145"/>
      <c r="M660" s="145"/>
    </row>
    <row r="661" ht="15.75" customHeight="1">
      <c r="C661" s="143"/>
      <c r="D661" s="143"/>
      <c r="I661" s="145"/>
      <c r="J661" s="145"/>
      <c r="K661" s="145"/>
      <c r="L661" s="145"/>
      <c r="M661" s="145"/>
    </row>
    <row r="662" ht="15.75" customHeight="1">
      <c r="C662" s="143"/>
      <c r="D662" s="143"/>
      <c r="I662" s="145"/>
      <c r="J662" s="145"/>
      <c r="K662" s="145"/>
      <c r="L662" s="145"/>
      <c r="M662" s="145"/>
    </row>
    <row r="663" ht="15.75" customHeight="1">
      <c r="C663" s="143"/>
      <c r="D663" s="143"/>
      <c r="I663" s="145"/>
      <c r="J663" s="145"/>
      <c r="K663" s="145"/>
      <c r="L663" s="145"/>
      <c r="M663" s="145"/>
    </row>
    <row r="664" ht="15.75" customHeight="1">
      <c r="C664" s="143"/>
      <c r="D664" s="143"/>
      <c r="I664" s="145"/>
      <c r="J664" s="145"/>
      <c r="K664" s="145"/>
      <c r="L664" s="145"/>
      <c r="M664" s="145"/>
    </row>
    <row r="665" ht="15.75" customHeight="1">
      <c r="C665" s="143"/>
      <c r="D665" s="143"/>
      <c r="I665" s="145"/>
      <c r="J665" s="145"/>
      <c r="K665" s="145"/>
      <c r="L665" s="145"/>
      <c r="M665" s="145"/>
    </row>
    <row r="666" ht="15.75" customHeight="1">
      <c r="C666" s="143"/>
      <c r="D666" s="143"/>
      <c r="I666" s="145"/>
      <c r="J666" s="145"/>
      <c r="K666" s="145"/>
      <c r="L666" s="145"/>
      <c r="M666" s="145"/>
    </row>
    <row r="667" ht="15.75" customHeight="1">
      <c r="C667" s="143"/>
      <c r="D667" s="143"/>
      <c r="I667" s="145"/>
      <c r="J667" s="145"/>
      <c r="K667" s="145"/>
      <c r="L667" s="145"/>
      <c r="M667" s="145"/>
    </row>
    <row r="668" ht="15.75" customHeight="1">
      <c r="C668" s="143"/>
      <c r="D668" s="143"/>
      <c r="I668" s="145"/>
      <c r="J668" s="145"/>
      <c r="K668" s="145"/>
      <c r="L668" s="145"/>
      <c r="M668" s="145"/>
    </row>
    <row r="669" ht="15.75" customHeight="1">
      <c r="C669" s="143"/>
      <c r="D669" s="143"/>
      <c r="I669" s="145"/>
      <c r="J669" s="145"/>
      <c r="K669" s="145"/>
      <c r="L669" s="145"/>
      <c r="M669" s="145"/>
    </row>
    <row r="670" ht="15.75" customHeight="1">
      <c r="C670" s="143"/>
      <c r="D670" s="143"/>
      <c r="I670" s="145"/>
      <c r="J670" s="145"/>
      <c r="K670" s="145"/>
      <c r="L670" s="145"/>
      <c r="M670" s="145"/>
    </row>
    <row r="671" ht="15.75" customHeight="1">
      <c r="C671" s="143"/>
      <c r="D671" s="143"/>
      <c r="I671" s="145"/>
      <c r="J671" s="145"/>
      <c r="K671" s="145"/>
      <c r="L671" s="145"/>
      <c r="M671" s="145"/>
    </row>
    <row r="672" ht="15.75" customHeight="1">
      <c r="C672" s="143"/>
      <c r="D672" s="143"/>
      <c r="I672" s="145"/>
      <c r="J672" s="145"/>
      <c r="K672" s="145"/>
      <c r="L672" s="145"/>
      <c r="M672" s="145"/>
    </row>
    <row r="673" ht="15.75" customHeight="1">
      <c r="C673" s="143"/>
      <c r="D673" s="143"/>
      <c r="I673" s="145"/>
      <c r="J673" s="145"/>
      <c r="K673" s="145"/>
      <c r="L673" s="145"/>
      <c r="M673" s="145"/>
    </row>
    <row r="674" ht="15.75" customHeight="1">
      <c r="C674" s="143"/>
      <c r="D674" s="143"/>
      <c r="I674" s="145"/>
      <c r="J674" s="145"/>
      <c r="K674" s="145"/>
      <c r="L674" s="145"/>
      <c r="M674" s="145"/>
    </row>
    <row r="675" ht="15.75" customHeight="1">
      <c r="C675" s="143"/>
      <c r="D675" s="143"/>
      <c r="I675" s="145"/>
      <c r="J675" s="145"/>
      <c r="K675" s="145"/>
      <c r="L675" s="145"/>
      <c r="M675" s="145"/>
    </row>
    <row r="676" ht="15.75" customHeight="1">
      <c r="C676" s="143"/>
      <c r="D676" s="143"/>
      <c r="I676" s="145"/>
      <c r="J676" s="145"/>
      <c r="K676" s="145"/>
      <c r="L676" s="145"/>
      <c r="M676" s="145"/>
    </row>
    <row r="677" ht="15.75" customHeight="1">
      <c r="C677" s="143"/>
      <c r="D677" s="143"/>
      <c r="I677" s="145"/>
      <c r="J677" s="145"/>
      <c r="K677" s="145"/>
      <c r="L677" s="145"/>
      <c r="M677" s="145"/>
    </row>
    <row r="678" ht="15.75" customHeight="1">
      <c r="C678" s="143"/>
      <c r="D678" s="143"/>
      <c r="I678" s="145"/>
      <c r="J678" s="145"/>
      <c r="K678" s="145"/>
      <c r="L678" s="145"/>
      <c r="M678" s="145"/>
    </row>
    <row r="679" ht="15.75" customHeight="1">
      <c r="C679" s="143"/>
      <c r="D679" s="143"/>
      <c r="I679" s="145"/>
      <c r="J679" s="145"/>
      <c r="K679" s="145"/>
      <c r="L679" s="145"/>
      <c r="M679" s="145"/>
    </row>
    <row r="680" ht="15.75" customHeight="1">
      <c r="C680" s="143"/>
      <c r="D680" s="143"/>
      <c r="I680" s="145"/>
      <c r="J680" s="145"/>
      <c r="K680" s="145"/>
      <c r="L680" s="145"/>
      <c r="M680" s="145"/>
    </row>
    <row r="681" ht="15.75" customHeight="1">
      <c r="C681" s="143"/>
      <c r="D681" s="143"/>
      <c r="I681" s="145"/>
      <c r="J681" s="145"/>
      <c r="K681" s="145"/>
      <c r="L681" s="145"/>
      <c r="M681" s="145"/>
    </row>
    <row r="682" ht="15.75" customHeight="1">
      <c r="C682" s="143"/>
      <c r="D682" s="143"/>
      <c r="I682" s="145"/>
      <c r="J682" s="145"/>
      <c r="K682" s="145"/>
      <c r="L682" s="145"/>
      <c r="M682" s="145"/>
    </row>
    <row r="683" ht="15.75" customHeight="1">
      <c r="C683" s="143"/>
      <c r="D683" s="143"/>
      <c r="I683" s="145"/>
      <c r="J683" s="145"/>
      <c r="K683" s="145"/>
      <c r="L683" s="145"/>
      <c r="M683" s="145"/>
    </row>
    <row r="684" ht="15.75" customHeight="1">
      <c r="C684" s="143"/>
      <c r="D684" s="143"/>
      <c r="I684" s="145"/>
      <c r="J684" s="145"/>
      <c r="K684" s="145"/>
      <c r="L684" s="145"/>
      <c r="M684" s="145"/>
    </row>
    <row r="685" ht="15.75" customHeight="1">
      <c r="C685" s="143"/>
      <c r="D685" s="143"/>
      <c r="I685" s="145"/>
      <c r="J685" s="145"/>
      <c r="K685" s="145"/>
      <c r="L685" s="145"/>
      <c r="M685" s="145"/>
    </row>
    <row r="686" ht="15.75" customHeight="1">
      <c r="C686" s="143"/>
      <c r="D686" s="143"/>
      <c r="I686" s="145"/>
      <c r="J686" s="145"/>
      <c r="K686" s="145"/>
      <c r="L686" s="145"/>
      <c r="M686" s="145"/>
    </row>
    <row r="687" ht="15.75" customHeight="1">
      <c r="C687" s="143"/>
      <c r="D687" s="143"/>
      <c r="I687" s="145"/>
      <c r="J687" s="145"/>
      <c r="K687" s="145"/>
      <c r="L687" s="145"/>
      <c r="M687" s="145"/>
    </row>
    <row r="688" ht="15.75" customHeight="1">
      <c r="C688" s="143"/>
      <c r="D688" s="143"/>
      <c r="I688" s="145"/>
      <c r="J688" s="145"/>
      <c r="K688" s="145"/>
      <c r="L688" s="145"/>
      <c r="M688" s="145"/>
    </row>
    <row r="689" ht="15.75" customHeight="1">
      <c r="C689" s="143"/>
      <c r="D689" s="143"/>
      <c r="I689" s="145"/>
      <c r="J689" s="145"/>
      <c r="K689" s="145"/>
      <c r="L689" s="145"/>
      <c r="M689" s="145"/>
    </row>
    <row r="690" ht="15.75" customHeight="1">
      <c r="C690" s="143"/>
      <c r="D690" s="143"/>
      <c r="I690" s="145"/>
      <c r="J690" s="145"/>
      <c r="K690" s="145"/>
      <c r="L690" s="145"/>
      <c r="M690" s="145"/>
    </row>
    <row r="691" ht="15.75" customHeight="1">
      <c r="C691" s="143"/>
      <c r="D691" s="143"/>
      <c r="I691" s="145"/>
      <c r="J691" s="145"/>
      <c r="K691" s="145"/>
      <c r="L691" s="145"/>
      <c r="M691" s="145"/>
    </row>
    <row r="692" ht="15.75" customHeight="1">
      <c r="C692" s="143"/>
      <c r="D692" s="143"/>
      <c r="I692" s="145"/>
      <c r="J692" s="145"/>
      <c r="K692" s="145"/>
      <c r="L692" s="145"/>
      <c r="M692" s="145"/>
    </row>
    <row r="693" ht="15.75" customHeight="1">
      <c r="C693" s="143"/>
      <c r="D693" s="143"/>
      <c r="I693" s="145"/>
      <c r="J693" s="145"/>
      <c r="K693" s="145"/>
      <c r="L693" s="145"/>
      <c r="M693" s="145"/>
    </row>
    <row r="694" ht="15.75" customHeight="1">
      <c r="C694" s="143"/>
      <c r="D694" s="143"/>
      <c r="I694" s="145"/>
      <c r="J694" s="145"/>
      <c r="K694" s="145"/>
      <c r="L694" s="145"/>
      <c r="M694" s="145"/>
    </row>
    <row r="695" ht="15.75" customHeight="1">
      <c r="C695" s="143"/>
      <c r="D695" s="143"/>
      <c r="I695" s="145"/>
      <c r="J695" s="145"/>
      <c r="K695" s="145"/>
      <c r="L695" s="145"/>
      <c r="M695" s="145"/>
    </row>
    <row r="696" ht="15.75" customHeight="1">
      <c r="C696" s="143"/>
      <c r="D696" s="143"/>
      <c r="I696" s="145"/>
      <c r="J696" s="145"/>
      <c r="K696" s="145"/>
      <c r="L696" s="145"/>
      <c r="M696" s="145"/>
    </row>
    <row r="697" ht="15.75" customHeight="1">
      <c r="C697" s="143"/>
      <c r="D697" s="143"/>
      <c r="I697" s="145"/>
      <c r="J697" s="145"/>
      <c r="K697" s="145"/>
      <c r="L697" s="145"/>
      <c r="M697" s="145"/>
    </row>
    <row r="698" ht="15.75" customHeight="1">
      <c r="C698" s="143"/>
      <c r="D698" s="143"/>
      <c r="I698" s="145"/>
      <c r="J698" s="145"/>
      <c r="K698" s="145"/>
      <c r="L698" s="145"/>
      <c r="M698" s="145"/>
    </row>
    <row r="699" ht="15.75" customHeight="1">
      <c r="C699" s="143"/>
      <c r="D699" s="143"/>
      <c r="I699" s="145"/>
      <c r="J699" s="145"/>
      <c r="K699" s="145"/>
      <c r="L699" s="145"/>
      <c r="M699" s="145"/>
    </row>
    <row r="700" ht="15.75" customHeight="1">
      <c r="C700" s="143"/>
      <c r="D700" s="143"/>
      <c r="I700" s="145"/>
      <c r="J700" s="145"/>
      <c r="K700" s="145"/>
      <c r="L700" s="145"/>
      <c r="M700" s="145"/>
    </row>
    <row r="701" ht="15.75" customHeight="1">
      <c r="C701" s="143"/>
      <c r="D701" s="143"/>
      <c r="I701" s="145"/>
      <c r="J701" s="145"/>
      <c r="K701" s="145"/>
      <c r="L701" s="145"/>
      <c r="M701" s="145"/>
    </row>
    <row r="702" ht="15.75" customHeight="1">
      <c r="C702" s="143"/>
      <c r="D702" s="143"/>
      <c r="I702" s="145"/>
      <c r="J702" s="145"/>
      <c r="K702" s="145"/>
      <c r="L702" s="145"/>
      <c r="M702" s="145"/>
    </row>
    <row r="703" ht="15.75" customHeight="1">
      <c r="C703" s="143"/>
      <c r="D703" s="143"/>
      <c r="I703" s="145"/>
      <c r="J703" s="145"/>
      <c r="K703" s="145"/>
      <c r="L703" s="145"/>
      <c r="M703" s="145"/>
    </row>
    <row r="704" ht="15.75" customHeight="1">
      <c r="C704" s="143"/>
      <c r="D704" s="143"/>
      <c r="I704" s="145"/>
      <c r="J704" s="145"/>
      <c r="K704" s="145"/>
      <c r="L704" s="145"/>
      <c r="M704" s="145"/>
    </row>
    <row r="705" ht="15.75" customHeight="1">
      <c r="C705" s="143"/>
      <c r="D705" s="143"/>
      <c r="I705" s="145"/>
      <c r="J705" s="145"/>
      <c r="K705" s="145"/>
      <c r="L705" s="145"/>
      <c r="M705" s="145"/>
    </row>
    <row r="706" ht="15.75" customHeight="1">
      <c r="C706" s="143"/>
      <c r="D706" s="143"/>
      <c r="I706" s="145"/>
      <c r="J706" s="145"/>
      <c r="K706" s="145"/>
      <c r="L706" s="145"/>
      <c r="M706" s="145"/>
    </row>
    <row r="707" ht="15.75" customHeight="1">
      <c r="C707" s="143"/>
      <c r="D707" s="143"/>
      <c r="I707" s="145"/>
      <c r="J707" s="145"/>
      <c r="K707" s="145"/>
      <c r="L707" s="145"/>
      <c r="M707" s="145"/>
    </row>
    <row r="708" ht="15.75" customHeight="1">
      <c r="C708" s="143"/>
      <c r="D708" s="143"/>
      <c r="I708" s="145"/>
      <c r="J708" s="145"/>
      <c r="K708" s="145"/>
      <c r="L708" s="145"/>
      <c r="M708" s="145"/>
    </row>
    <row r="709" ht="15.75" customHeight="1">
      <c r="C709" s="143"/>
      <c r="D709" s="143"/>
      <c r="I709" s="145"/>
      <c r="J709" s="145"/>
      <c r="K709" s="145"/>
      <c r="L709" s="145"/>
      <c r="M709" s="145"/>
    </row>
    <row r="710" ht="15.75" customHeight="1">
      <c r="C710" s="143"/>
      <c r="D710" s="143"/>
      <c r="I710" s="145"/>
      <c r="J710" s="145"/>
      <c r="K710" s="145"/>
      <c r="L710" s="145"/>
      <c r="M710" s="145"/>
    </row>
    <row r="711" ht="15.75" customHeight="1">
      <c r="C711" s="143"/>
      <c r="D711" s="143"/>
      <c r="I711" s="145"/>
      <c r="J711" s="145"/>
      <c r="K711" s="145"/>
      <c r="L711" s="145"/>
      <c r="M711" s="145"/>
    </row>
    <row r="712" ht="15.75" customHeight="1">
      <c r="C712" s="143"/>
      <c r="D712" s="143"/>
      <c r="I712" s="145"/>
      <c r="J712" s="145"/>
      <c r="K712" s="145"/>
      <c r="L712" s="145"/>
      <c r="M712" s="145"/>
    </row>
    <row r="713" ht="15.75" customHeight="1">
      <c r="C713" s="143"/>
      <c r="D713" s="143"/>
      <c r="I713" s="145"/>
      <c r="J713" s="145"/>
      <c r="K713" s="145"/>
      <c r="L713" s="145"/>
      <c r="M713" s="145"/>
    </row>
    <row r="714" ht="15.75" customHeight="1">
      <c r="C714" s="143"/>
      <c r="D714" s="143"/>
      <c r="I714" s="145"/>
      <c r="J714" s="145"/>
      <c r="K714" s="145"/>
      <c r="L714" s="145"/>
      <c r="M714" s="145"/>
    </row>
    <row r="715" ht="15.75" customHeight="1">
      <c r="C715" s="143"/>
      <c r="D715" s="143"/>
      <c r="I715" s="145"/>
      <c r="J715" s="145"/>
      <c r="K715" s="145"/>
      <c r="L715" s="145"/>
      <c r="M715" s="145"/>
    </row>
    <row r="716" ht="15.75" customHeight="1">
      <c r="C716" s="143"/>
      <c r="D716" s="143"/>
      <c r="I716" s="145"/>
      <c r="J716" s="145"/>
      <c r="K716" s="145"/>
      <c r="L716" s="145"/>
      <c r="M716" s="145"/>
    </row>
    <row r="717" ht="15.75" customHeight="1">
      <c r="C717" s="143"/>
      <c r="D717" s="143"/>
      <c r="I717" s="145"/>
      <c r="J717" s="145"/>
      <c r="K717" s="145"/>
      <c r="L717" s="145"/>
      <c r="M717" s="145"/>
    </row>
    <row r="718" ht="15.75" customHeight="1">
      <c r="C718" s="143"/>
      <c r="D718" s="143"/>
      <c r="I718" s="145"/>
      <c r="J718" s="145"/>
      <c r="K718" s="145"/>
      <c r="L718" s="145"/>
      <c r="M718" s="145"/>
    </row>
    <row r="719" ht="15.75" customHeight="1">
      <c r="C719" s="143"/>
      <c r="D719" s="143"/>
      <c r="I719" s="145"/>
      <c r="J719" s="145"/>
      <c r="K719" s="145"/>
      <c r="L719" s="145"/>
      <c r="M719" s="145"/>
    </row>
    <row r="720" ht="15.75" customHeight="1">
      <c r="C720" s="143"/>
      <c r="D720" s="143"/>
      <c r="I720" s="145"/>
      <c r="J720" s="145"/>
      <c r="K720" s="145"/>
      <c r="L720" s="145"/>
      <c r="M720" s="145"/>
    </row>
    <row r="721" ht="15.75" customHeight="1">
      <c r="C721" s="143"/>
      <c r="D721" s="143"/>
      <c r="I721" s="145"/>
      <c r="J721" s="145"/>
      <c r="K721" s="145"/>
      <c r="L721" s="145"/>
      <c r="M721" s="145"/>
    </row>
    <row r="722" ht="15.75" customHeight="1">
      <c r="C722" s="143"/>
      <c r="D722" s="143"/>
      <c r="I722" s="145"/>
      <c r="J722" s="145"/>
      <c r="K722" s="145"/>
      <c r="L722" s="145"/>
      <c r="M722" s="145"/>
    </row>
    <row r="723" ht="15.75" customHeight="1">
      <c r="C723" s="143"/>
      <c r="D723" s="143"/>
      <c r="I723" s="145"/>
      <c r="J723" s="145"/>
      <c r="K723" s="145"/>
      <c r="L723" s="145"/>
      <c r="M723" s="145"/>
    </row>
    <row r="724" ht="15.75" customHeight="1">
      <c r="C724" s="143"/>
      <c r="D724" s="143"/>
      <c r="I724" s="145"/>
      <c r="J724" s="145"/>
      <c r="K724" s="145"/>
      <c r="L724" s="145"/>
      <c r="M724" s="145"/>
    </row>
    <row r="725" ht="15.75" customHeight="1">
      <c r="C725" s="143"/>
      <c r="D725" s="143"/>
      <c r="I725" s="145"/>
      <c r="J725" s="145"/>
      <c r="K725" s="145"/>
      <c r="L725" s="145"/>
      <c r="M725" s="145"/>
    </row>
    <row r="726" ht="15.75" customHeight="1">
      <c r="C726" s="143"/>
      <c r="D726" s="143"/>
      <c r="I726" s="145"/>
      <c r="J726" s="145"/>
      <c r="K726" s="145"/>
      <c r="L726" s="145"/>
      <c r="M726" s="145"/>
    </row>
    <row r="727" ht="15.75" customHeight="1">
      <c r="C727" s="143"/>
      <c r="D727" s="143"/>
      <c r="I727" s="145"/>
      <c r="J727" s="145"/>
      <c r="K727" s="145"/>
      <c r="L727" s="145"/>
      <c r="M727" s="145"/>
    </row>
    <row r="728" ht="15.75" customHeight="1">
      <c r="C728" s="143"/>
      <c r="D728" s="143"/>
      <c r="I728" s="145"/>
      <c r="J728" s="145"/>
      <c r="K728" s="145"/>
      <c r="L728" s="145"/>
      <c r="M728" s="145"/>
    </row>
    <row r="729" ht="15.75" customHeight="1">
      <c r="C729" s="143"/>
      <c r="D729" s="143"/>
      <c r="I729" s="145"/>
      <c r="J729" s="145"/>
      <c r="K729" s="145"/>
      <c r="L729" s="145"/>
      <c r="M729" s="145"/>
    </row>
    <row r="730" ht="15.75" customHeight="1">
      <c r="C730" s="143"/>
      <c r="D730" s="143"/>
      <c r="I730" s="145"/>
      <c r="J730" s="145"/>
      <c r="K730" s="145"/>
      <c r="L730" s="145"/>
      <c r="M730" s="145"/>
    </row>
    <row r="731" ht="15.75" customHeight="1">
      <c r="C731" s="143"/>
      <c r="D731" s="143"/>
      <c r="I731" s="145"/>
      <c r="J731" s="145"/>
      <c r="K731" s="145"/>
      <c r="L731" s="145"/>
      <c r="M731" s="145"/>
    </row>
    <row r="732" ht="15.75" customHeight="1">
      <c r="C732" s="143"/>
      <c r="D732" s="143"/>
      <c r="I732" s="145"/>
      <c r="J732" s="145"/>
      <c r="K732" s="145"/>
      <c r="L732" s="145"/>
      <c r="M732" s="145"/>
    </row>
    <row r="733" ht="15.75" customHeight="1">
      <c r="C733" s="143"/>
      <c r="D733" s="143"/>
      <c r="I733" s="145"/>
      <c r="J733" s="145"/>
      <c r="K733" s="145"/>
      <c r="L733" s="145"/>
      <c r="M733" s="145"/>
    </row>
    <row r="734" ht="15.75" customHeight="1">
      <c r="C734" s="143"/>
      <c r="D734" s="143"/>
      <c r="I734" s="145"/>
      <c r="J734" s="145"/>
      <c r="K734" s="145"/>
      <c r="L734" s="145"/>
      <c r="M734" s="145"/>
    </row>
    <row r="735" ht="15.75" customHeight="1">
      <c r="C735" s="143"/>
      <c r="D735" s="143"/>
      <c r="I735" s="145"/>
      <c r="J735" s="145"/>
      <c r="K735" s="145"/>
      <c r="L735" s="145"/>
      <c r="M735" s="145"/>
    </row>
    <row r="736" ht="15.75" customHeight="1">
      <c r="C736" s="143"/>
      <c r="D736" s="143"/>
      <c r="I736" s="145"/>
      <c r="J736" s="145"/>
      <c r="K736" s="145"/>
      <c r="L736" s="145"/>
      <c r="M736" s="145"/>
    </row>
    <row r="737" ht="15.75" customHeight="1">
      <c r="C737" s="143"/>
      <c r="D737" s="143"/>
      <c r="I737" s="145"/>
      <c r="J737" s="145"/>
      <c r="K737" s="145"/>
      <c r="L737" s="145"/>
      <c r="M737" s="145"/>
    </row>
    <row r="738" ht="15.75" customHeight="1">
      <c r="C738" s="143"/>
      <c r="D738" s="143"/>
      <c r="I738" s="145"/>
      <c r="J738" s="145"/>
      <c r="K738" s="145"/>
      <c r="L738" s="145"/>
      <c r="M738" s="145"/>
    </row>
    <row r="739" ht="15.75" customHeight="1">
      <c r="C739" s="143"/>
      <c r="D739" s="143"/>
      <c r="I739" s="145"/>
      <c r="J739" s="145"/>
      <c r="K739" s="145"/>
      <c r="L739" s="145"/>
      <c r="M739" s="145"/>
    </row>
    <row r="740" ht="15.75" customHeight="1">
      <c r="C740" s="143"/>
      <c r="D740" s="143"/>
      <c r="I740" s="145"/>
      <c r="J740" s="145"/>
      <c r="K740" s="145"/>
      <c r="L740" s="145"/>
      <c r="M740" s="145"/>
    </row>
    <row r="741" ht="15.75" customHeight="1">
      <c r="C741" s="143"/>
      <c r="D741" s="143"/>
      <c r="I741" s="145"/>
      <c r="J741" s="145"/>
      <c r="K741" s="145"/>
      <c r="L741" s="145"/>
      <c r="M741" s="145"/>
    </row>
    <row r="742" ht="15.75" customHeight="1">
      <c r="C742" s="143"/>
      <c r="D742" s="143"/>
      <c r="I742" s="145"/>
      <c r="J742" s="145"/>
      <c r="K742" s="145"/>
      <c r="L742" s="145"/>
      <c r="M742" s="145"/>
    </row>
    <row r="743" ht="15.75" customHeight="1">
      <c r="C743" s="143"/>
      <c r="D743" s="143"/>
      <c r="I743" s="145"/>
      <c r="J743" s="145"/>
      <c r="K743" s="145"/>
      <c r="L743" s="145"/>
      <c r="M743" s="145"/>
    </row>
    <row r="744" ht="15.75" customHeight="1">
      <c r="C744" s="143"/>
      <c r="D744" s="143"/>
      <c r="I744" s="145"/>
      <c r="J744" s="145"/>
      <c r="K744" s="145"/>
      <c r="L744" s="145"/>
      <c r="M744" s="145"/>
    </row>
    <row r="745" ht="15.75" customHeight="1">
      <c r="C745" s="143"/>
      <c r="D745" s="143"/>
      <c r="I745" s="145"/>
      <c r="J745" s="145"/>
      <c r="K745" s="145"/>
      <c r="L745" s="145"/>
      <c r="M745" s="145"/>
    </row>
    <row r="746" ht="15.75" customHeight="1">
      <c r="C746" s="143"/>
      <c r="D746" s="143"/>
      <c r="I746" s="145"/>
      <c r="J746" s="145"/>
      <c r="K746" s="145"/>
      <c r="L746" s="145"/>
      <c r="M746" s="145"/>
    </row>
    <row r="747" ht="15.75" customHeight="1">
      <c r="C747" s="143"/>
      <c r="D747" s="143"/>
      <c r="I747" s="145"/>
      <c r="J747" s="145"/>
      <c r="K747" s="145"/>
      <c r="L747" s="145"/>
      <c r="M747" s="145"/>
    </row>
    <row r="748" ht="15.75" customHeight="1">
      <c r="C748" s="143"/>
      <c r="D748" s="143"/>
      <c r="I748" s="145"/>
      <c r="J748" s="145"/>
      <c r="K748" s="145"/>
      <c r="L748" s="145"/>
      <c r="M748" s="145"/>
    </row>
    <row r="749" ht="15.75" customHeight="1">
      <c r="C749" s="143"/>
      <c r="D749" s="143"/>
      <c r="I749" s="145"/>
      <c r="J749" s="145"/>
      <c r="K749" s="145"/>
      <c r="L749" s="145"/>
      <c r="M749" s="145"/>
    </row>
    <row r="750" ht="15.75" customHeight="1">
      <c r="C750" s="143"/>
      <c r="D750" s="143"/>
      <c r="I750" s="145"/>
      <c r="J750" s="145"/>
      <c r="K750" s="145"/>
      <c r="L750" s="145"/>
      <c r="M750" s="145"/>
    </row>
    <row r="751" ht="15.75" customHeight="1">
      <c r="C751" s="143"/>
      <c r="D751" s="143"/>
      <c r="I751" s="145"/>
      <c r="J751" s="145"/>
      <c r="K751" s="145"/>
      <c r="L751" s="145"/>
      <c r="M751" s="145"/>
    </row>
    <row r="752" ht="15.75" customHeight="1">
      <c r="C752" s="143"/>
      <c r="D752" s="143"/>
      <c r="I752" s="145"/>
      <c r="J752" s="145"/>
      <c r="K752" s="145"/>
      <c r="L752" s="145"/>
      <c r="M752" s="145"/>
    </row>
    <row r="753" ht="15.75" customHeight="1">
      <c r="C753" s="143"/>
      <c r="D753" s="143"/>
      <c r="I753" s="145"/>
      <c r="J753" s="145"/>
      <c r="K753" s="145"/>
      <c r="L753" s="145"/>
      <c r="M753" s="145"/>
    </row>
    <row r="754" ht="15.75" customHeight="1">
      <c r="C754" s="143"/>
      <c r="D754" s="143"/>
      <c r="I754" s="145"/>
      <c r="J754" s="145"/>
      <c r="K754" s="145"/>
      <c r="L754" s="145"/>
      <c r="M754" s="145"/>
    </row>
    <row r="755" ht="15.75" customHeight="1">
      <c r="C755" s="143"/>
      <c r="D755" s="143"/>
      <c r="I755" s="145"/>
      <c r="J755" s="145"/>
      <c r="K755" s="145"/>
      <c r="L755" s="145"/>
      <c r="M755" s="145"/>
    </row>
    <row r="756" ht="15.75" customHeight="1">
      <c r="C756" s="143"/>
      <c r="D756" s="143"/>
      <c r="I756" s="145"/>
      <c r="J756" s="145"/>
      <c r="K756" s="145"/>
      <c r="L756" s="145"/>
      <c r="M756" s="145"/>
    </row>
    <row r="757" ht="15.75" customHeight="1">
      <c r="C757" s="143"/>
      <c r="D757" s="143"/>
      <c r="I757" s="145"/>
      <c r="J757" s="145"/>
      <c r="K757" s="145"/>
      <c r="L757" s="145"/>
      <c r="M757" s="145"/>
    </row>
    <row r="758" ht="15.75" customHeight="1">
      <c r="C758" s="143"/>
      <c r="D758" s="143"/>
      <c r="I758" s="145"/>
      <c r="J758" s="145"/>
      <c r="K758" s="145"/>
      <c r="L758" s="145"/>
      <c r="M758" s="145"/>
    </row>
    <row r="759" ht="15.75" customHeight="1">
      <c r="C759" s="143"/>
      <c r="D759" s="143"/>
      <c r="I759" s="145"/>
      <c r="J759" s="145"/>
      <c r="K759" s="145"/>
      <c r="L759" s="145"/>
      <c r="M759" s="145"/>
    </row>
    <row r="760" ht="15.75" customHeight="1">
      <c r="C760" s="143"/>
      <c r="D760" s="143"/>
      <c r="I760" s="145"/>
      <c r="J760" s="145"/>
      <c r="K760" s="145"/>
      <c r="L760" s="145"/>
      <c r="M760" s="145"/>
    </row>
    <row r="761" ht="15.75" customHeight="1">
      <c r="C761" s="143"/>
      <c r="D761" s="143"/>
      <c r="I761" s="145"/>
      <c r="J761" s="145"/>
      <c r="K761" s="145"/>
      <c r="L761" s="145"/>
      <c r="M761" s="145"/>
    </row>
    <row r="762" ht="15.75" customHeight="1">
      <c r="C762" s="143"/>
      <c r="D762" s="143"/>
      <c r="I762" s="145"/>
      <c r="J762" s="145"/>
      <c r="K762" s="145"/>
      <c r="L762" s="145"/>
      <c r="M762" s="145"/>
    </row>
    <row r="763" ht="15.75" customHeight="1">
      <c r="C763" s="143"/>
      <c r="D763" s="143"/>
      <c r="I763" s="145"/>
      <c r="J763" s="145"/>
      <c r="K763" s="145"/>
      <c r="L763" s="145"/>
      <c r="M763" s="145"/>
    </row>
    <row r="764" ht="15.75" customHeight="1">
      <c r="C764" s="143"/>
      <c r="D764" s="143"/>
      <c r="I764" s="145"/>
      <c r="J764" s="145"/>
      <c r="K764" s="145"/>
      <c r="L764" s="145"/>
      <c r="M764" s="145"/>
    </row>
    <row r="765" ht="15.75" customHeight="1">
      <c r="C765" s="143"/>
      <c r="D765" s="143"/>
      <c r="I765" s="145"/>
      <c r="J765" s="145"/>
      <c r="K765" s="145"/>
      <c r="L765" s="145"/>
      <c r="M765" s="145"/>
    </row>
    <row r="766" ht="15.75" customHeight="1">
      <c r="C766" s="143"/>
      <c r="D766" s="143"/>
      <c r="I766" s="145"/>
      <c r="J766" s="145"/>
      <c r="K766" s="145"/>
      <c r="L766" s="145"/>
      <c r="M766" s="145"/>
    </row>
    <row r="767" ht="15.75" customHeight="1">
      <c r="C767" s="143"/>
      <c r="D767" s="143"/>
      <c r="I767" s="145"/>
      <c r="J767" s="145"/>
      <c r="K767" s="145"/>
      <c r="L767" s="145"/>
      <c r="M767" s="145"/>
    </row>
    <row r="768" ht="15.75" customHeight="1">
      <c r="C768" s="143"/>
      <c r="D768" s="143"/>
      <c r="I768" s="145"/>
      <c r="J768" s="145"/>
      <c r="K768" s="145"/>
      <c r="L768" s="145"/>
      <c r="M768" s="145"/>
    </row>
    <row r="769" ht="15.75" customHeight="1">
      <c r="C769" s="143"/>
      <c r="D769" s="143"/>
      <c r="I769" s="145"/>
      <c r="J769" s="145"/>
      <c r="K769" s="145"/>
      <c r="L769" s="145"/>
      <c r="M769" s="145"/>
    </row>
    <row r="770" ht="15.75" customHeight="1">
      <c r="C770" s="143"/>
      <c r="D770" s="143"/>
      <c r="I770" s="145"/>
      <c r="J770" s="145"/>
      <c r="K770" s="145"/>
      <c r="L770" s="145"/>
      <c r="M770" s="145"/>
    </row>
    <row r="771" ht="15.75" customHeight="1">
      <c r="C771" s="143"/>
      <c r="D771" s="143"/>
      <c r="I771" s="145"/>
      <c r="J771" s="145"/>
      <c r="K771" s="145"/>
      <c r="L771" s="145"/>
      <c r="M771" s="145"/>
    </row>
    <row r="772" ht="15.75" customHeight="1">
      <c r="C772" s="143"/>
      <c r="D772" s="143"/>
      <c r="I772" s="145"/>
      <c r="J772" s="145"/>
      <c r="K772" s="145"/>
      <c r="L772" s="145"/>
      <c r="M772" s="145"/>
    </row>
    <row r="773" ht="15.75" customHeight="1">
      <c r="C773" s="143"/>
      <c r="D773" s="143"/>
      <c r="I773" s="145"/>
      <c r="J773" s="145"/>
      <c r="K773" s="145"/>
      <c r="L773" s="145"/>
      <c r="M773" s="145"/>
    </row>
    <row r="774" ht="15.75" customHeight="1">
      <c r="C774" s="143"/>
      <c r="D774" s="143"/>
      <c r="I774" s="145"/>
      <c r="J774" s="145"/>
      <c r="K774" s="145"/>
      <c r="L774" s="145"/>
      <c r="M774" s="145"/>
    </row>
    <row r="775" ht="15.75" customHeight="1">
      <c r="C775" s="143"/>
      <c r="D775" s="143"/>
      <c r="I775" s="145"/>
      <c r="J775" s="145"/>
      <c r="K775" s="145"/>
      <c r="L775" s="145"/>
      <c r="M775" s="145"/>
    </row>
    <row r="776" ht="15.75" customHeight="1">
      <c r="C776" s="143"/>
      <c r="D776" s="143"/>
      <c r="I776" s="145"/>
      <c r="J776" s="145"/>
      <c r="K776" s="145"/>
      <c r="L776" s="145"/>
      <c r="M776" s="145"/>
    </row>
    <row r="777" ht="15.75" customHeight="1">
      <c r="C777" s="143"/>
      <c r="D777" s="143"/>
      <c r="I777" s="145"/>
      <c r="J777" s="145"/>
      <c r="K777" s="145"/>
      <c r="L777" s="145"/>
      <c r="M777" s="145"/>
    </row>
    <row r="778" ht="15.75" customHeight="1">
      <c r="C778" s="143"/>
      <c r="D778" s="143"/>
      <c r="I778" s="145"/>
      <c r="J778" s="145"/>
      <c r="K778" s="145"/>
      <c r="L778" s="145"/>
      <c r="M778" s="145"/>
    </row>
    <row r="779" ht="15.75" customHeight="1">
      <c r="C779" s="143"/>
      <c r="D779" s="143"/>
      <c r="I779" s="145"/>
      <c r="J779" s="145"/>
      <c r="K779" s="145"/>
      <c r="L779" s="145"/>
      <c r="M779" s="145"/>
    </row>
    <row r="780" ht="15.75" customHeight="1">
      <c r="C780" s="143"/>
      <c r="D780" s="143"/>
      <c r="I780" s="145"/>
      <c r="J780" s="145"/>
      <c r="K780" s="145"/>
      <c r="L780" s="145"/>
      <c r="M780" s="145"/>
    </row>
    <row r="781" ht="15.75" customHeight="1">
      <c r="C781" s="143"/>
      <c r="D781" s="143"/>
      <c r="I781" s="145"/>
      <c r="J781" s="145"/>
      <c r="K781" s="145"/>
      <c r="L781" s="145"/>
      <c r="M781" s="145"/>
    </row>
    <row r="782" ht="15.75" customHeight="1">
      <c r="C782" s="143"/>
      <c r="D782" s="143"/>
      <c r="I782" s="145"/>
      <c r="J782" s="145"/>
      <c r="K782" s="145"/>
      <c r="L782" s="145"/>
      <c r="M782" s="145"/>
    </row>
    <row r="783" ht="15.75" customHeight="1">
      <c r="C783" s="143"/>
      <c r="D783" s="143"/>
      <c r="I783" s="145"/>
      <c r="J783" s="145"/>
      <c r="K783" s="145"/>
      <c r="L783" s="145"/>
      <c r="M783" s="145"/>
    </row>
    <row r="784" ht="15.75" customHeight="1">
      <c r="C784" s="143"/>
      <c r="D784" s="143"/>
      <c r="I784" s="145"/>
      <c r="J784" s="145"/>
      <c r="K784" s="145"/>
      <c r="L784" s="145"/>
      <c r="M784" s="145"/>
    </row>
    <row r="785" ht="15.75" customHeight="1">
      <c r="C785" s="143"/>
      <c r="D785" s="143"/>
      <c r="I785" s="145"/>
      <c r="J785" s="145"/>
      <c r="K785" s="145"/>
      <c r="L785" s="145"/>
      <c r="M785" s="145"/>
    </row>
    <row r="786" ht="15.75" customHeight="1">
      <c r="C786" s="143"/>
      <c r="D786" s="143"/>
      <c r="I786" s="145"/>
      <c r="J786" s="145"/>
      <c r="K786" s="145"/>
      <c r="L786" s="145"/>
      <c r="M786" s="145"/>
    </row>
    <row r="787" ht="15.75" customHeight="1">
      <c r="C787" s="143"/>
      <c r="D787" s="143"/>
      <c r="I787" s="145"/>
      <c r="J787" s="145"/>
      <c r="K787" s="145"/>
      <c r="L787" s="145"/>
      <c r="M787" s="145"/>
    </row>
    <row r="788" ht="15.75" customHeight="1">
      <c r="C788" s="143"/>
      <c r="D788" s="143"/>
      <c r="I788" s="145"/>
      <c r="J788" s="145"/>
      <c r="K788" s="145"/>
      <c r="L788" s="145"/>
      <c r="M788" s="145"/>
    </row>
    <row r="789" ht="15.75" customHeight="1">
      <c r="C789" s="143"/>
      <c r="D789" s="143"/>
      <c r="I789" s="145"/>
      <c r="J789" s="145"/>
      <c r="K789" s="145"/>
      <c r="L789" s="145"/>
      <c r="M789" s="145"/>
    </row>
    <row r="790" ht="15.75" customHeight="1">
      <c r="C790" s="143"/>
      <c r="D790" s="143"/>
      <c r="I790" s="145"/>
      <c r="J790" s="145"/>
      <c r="K790" s="145"/>
      <c r="L790" s="145"/>
      <c r="M790" s="145"/>
    </row>
    <row r="791" ht="15.75" customHeight="1">
      <c r="C791" s="143"/>
      <c r="D791" s="143"/>
      <c r="I791" s="145"/>
      <c r="J791" s="145"/>
      <c r="K791" s="145"/>
      <c r="L791" s="145"/>
      <c r="M791" s="145"/>
    </row>
    <row r="792" ht="15.75" customHeight="1">
      <c r="C792" s="143"/>
      <c r="D792" s="143"/>
      <c r="I792" s="145"/>
      <c r="J792" s="145"/>
      <c r="K792" s="145"/>
      <c r="L792" s="145"/>
      <c r="M792" s="145"/>
    </row>
    <row r="793" ht="15.75" customHeight="1">
      <c r="C793" s="143"/>
      <c r="D793" s="143"/>
      <c r="I793" s="145"/>
      <c r="J793" s="145"/>
      <c r="K793" s="145"/>
      <c r="L793" s="145"/>
      <c r="M793" s="145"/>
    </row>
    <row r="794" ht="15.75" customHeight="1">
      <c r="C794" s="143"/>
      <c r="D794" s="143"/>
      <c r="I794" s="145"/>
      <c r="J794" s="145"/>
      <c r="K794" s="145"/>
      <c r="L794" s="145"/>
      <c r="M794" s="145"/>
    </row>
    <row r="795" ht="15.75" customHeight="1">
      <c r="C795" s="143"/>
      <c r="D795" s="143"/>
      <c r="I795" s="145"/>
      <c r="J795" s="145"/>
      <c r="K795" s="145"/>
      <c r="L795" s="145"/>
      <c r="M795" s="145"/>
    </row>
    <row r="796" ht="15.75" customHeight="1">
      <c r="C796" s="143"/>
      <c r="D796" s="143"/>
      <c r="I796" s="145"/>
      <c r="J796" s="145"/>
      <c r="K796" s="145"/>
      <c r="L796" s="145"/>
      <c r="M796" s="145"/>
    </row>
    <row r="797" ht="15.75" customHeight="1">
      <c r="C797" s="143"/>
      <c r="D797" s="143"/>
      <c r="I797" s="145"/>
      <c r="J797" s="145"/>
      <c r="K797" s="145"/>
      <c r="L797" s="145"/>
      <c r="M797" s="145"/>
    </row>
    <row r="798" ht="15.75" customHeight="1">
      <c r="C798" s="143"/>
      <c r="D798" s="143"/>
      <c r="I798" s="145"/>
      <c r="J798" s="145"/>
      <c r="K798" s="145"/>
      <c r="L798" s="145"/>
      <c r="M798" s="145"/>
    </row>
    <row r="799" ht="15.75" customHeight="1">
      <c r="C799" s="143"/>
      <c r="D799" s="143"/>
      <c r="I799" s="145"/>
      <c r="J799" s="145"/>
      <c r="K799" s="145"/>
      <c r="L799" s="145"/>
      <c r="M799" s="145"/>
    </row>
    <row r="800" ht="15.75" customHeight="1">
      <c r="C800" s="143"/>
      <c r="D800" s="143"/>
      <c r="I800" s="145"/>
      <c r="J800" s="145"/>
      <c r="K800" s="145"/>
      <c r="L800" s="145"/>
      <c r="M800" s="145"/>
    </row>
    <row r="801" ht="15.75" customHeight="1">
      <c r="C801" s="143"/>
      <c r="D801" s="143"/>
      <c r="I801" s="145"/>
      <c r="J801" s="145"/>
      <c r="K801" s="145"/>
      <c r="L801" s="145"/>
      <c r="M801" s="145"/>
    </row>
    <row r="802" ht="15.75" customHeight="1">
      <c r="C802" s="143"/>
      <c r="D802" s="143"/>
      <c r="I802" s="145"/>
      <c r="J802" s="145"/>
      <c r="K802" s="145"/>
      <c r="L802" s="145"/>
      <c r="M802" s="145"/>
    </row>
    <row r="803" ht="15.75" customHeight="1">
      <c r="C803" s="143"/>
      <c r="D803" s="143"/>
      <c r="I803" s="145"/>
      <c r="J803" s="145"/>
      <c r="K803" s="145"/>
      <c r="L803" s="145"/>
      <c r="M803" s="145"/>
    </row>
    <row r="804" ht="15.75" customHeight="1">
      <c r="C804" s="143"/>
      <c r="D804" s="143"/>
      <c r="I804" s="145"/>
      <c r="J804" s="145"/>
      <c r="K804" s="145"/>
      <c r="L804" s="145"/>
      <c r="M804" s="145"/>
    </row>
    <row r="805" ht="15.75" customHeight="1">
      <c r="C805" s="143"/>
      <c r="D805" s="143"/>
      <c r="I805" s="145"/>
      <c r="J805" s="145"/>
      <c r="K805" s="145"/>
      <c r="L805" s="145"/>
      <c r="M805" s="145"/>
    </row>
    <row r="806" ht="15.75" customHeight="1">
      <c r="C806" s="143"/>
      <c r="D806" s="143"/>
      <c r="I806" s="145"/>
      <c r="J806" s="145"/>
      <c r="K806" s="145"/>
      <c r="L806" s="145"/>
      <c r="M806" s="145"/>
    </row>
    <row r="807" ht="15.75" customHeight="1">
      <c r="C807" s="143"/>
      <c r="D807" s="143"/>
      <c r="I807" s="145"/>
      <c r="J807" s="145"/>
      <c r="K807" s="145"/>
      <c r="L807" s="145"/>
      <c r="M807" s="145"/>
    </row>
    <row r="808" ht="15.75" customHeight="1">
      <c r="C808" s="143"/>
      <c r="D808" s="143"/>
      <c r="I808" s="145"/>
      <c r="J808" s="145"/>
      <c r="K808" s="145"/>
      <c r="L808" s="145"/>
      <c r="M808" s="145"/>
    </row>
    <row r="809" ht="15.75" customHeight="1">
      <c r="C809" s="143"/>
      <c r="D809" s="143"/>
      <c r="I809" s="145"/>
      <c r="J809" s="145"/>
      <c r="K809" s="145"/>
      <c r="L809" s="145"/>
      <c r="M809" s="145"/>
    </row>
    <row r="810" ht="15.75" customHeight="1">
      <c r="C810" s="143"/>
      <c r="D810" s="143"/>
      <c r="I810" s="145"/>
      <c r="J810" s="145"/>
      <c r="K810" s="145"/>
      <c r="L810" s="145"/>
      <c r="M810" s="145"/>
    </row>
    <row r="811" ht="15.75" customHeight="1">
      <c r="C811" s="143"/>
      <c r="D811" s="143"/>
      <c r="I811" s="145"/>
      <c r="J811" s="145"/>
      <c r="K811" s="145"/>
      <c r="L811" s="145"/>
      <c r="M811" s="145"/>
    </row>
    <row r="812" ht="15.75" customHeight="1">
      <c r="C812" s="143"/>
      <c r="D812" s="143"/>
      <c r="I812" s="145"/>
      <c r="J812" s="145"/>
      <c r="K812" s="145"/>
      <c r="L812" s="145"/>
      <c r="M812" s="145"/>
    </row>
    <row r="813" ht="15.75" customHeight="1">
      <c r="C813" s="143"/>
      <c r="D813" s="143"/>
      <c r="I813" s="145"/>
      <c r="J813" s="145"/>
      <c r="K813" s="145"/>
      <c r="L813" s="145"/>
      <c r="M813" s="145"/>
    </row>
    <row r="814" ht="15.75" customHeight="1">
      <c r="C814" s="143"/>
      <c r="D814" s="143"/>
      <c r="I814" s="145"/>
      <c r="J814" s="145"/>
      <c r="K814" s="145"/>
      <c r="L814" s="145"/>
      <c r="M814" s="145"/>
    </row>
    <row r="815" ht="15.75" customHeight="1">
      <c r="C815" s="143"/>
      <c r="D815" s="143"/>
      <c r="I815" s="145"/>
      <c r="J815" s="145"/>
      <c r="K815" s="145"/>
      <c r="L815" s="145"/>
      <c r="M815" s="145"/>
    </row>
    <row r="816" ht="15.75" customHeight="1">
      <c r="C816" s="143"/>
      <c r="D816" s="143"/>
      <c r="I816" s="145"/>
      <c r="J816" s="145"/>
      <c r="K816" s="145"/>
      <c r="L816" s="145"/>
      <c r="M816" s="145"/>
    </row>
    <row r="817" ht="15.75" customHeight="1">
      <c r="C817" s="143"/>
      <c r="D817" s="143"/>
      <c r="I817" s="145"/>
      <c r="J817" s="145"/>
      <c r="K817" s="145"/>
      <c r="L817" s="145"/>
      <c r="M817" s="145"/>
    </row>
    <row r="818" ht="15.75" customHeight="1">
      <c r="C818" s="143"/>
      <c r="D818" s="143"/>
      <c r="I818" s="145"/>
      <c r="J818" s="145"/>
      <c r="K818" s="145"/>
      <c r="L818" s="145"/>
      <c r="M818" s="145"/>
    </row>
    <row r="819" ht="15.75" customHeight="1">
      <c r="C819" s="143"/>
      <c r="D819" s="143"/>
      <c r="I819" s="145"/>
      <c r="J819" s="145"/>
      <c r="K819" s="145"/>
      <c r="L819" s="145"/>
      <c r="M819" s="145"/>
    </row>
    <row r="820" ht="15.75" customHeight="1">
      <c r="C820" s="143"/>
      <c r="D820" s="143"/>
      <c r="I820" s="145"/>
      <c r="J820" s="145"/>
      <c r="K820" s="145"/>
      <c r="L820" s="145"/>
      <c r="M820" s="145"/>
    </row>
    <row r="821" ht="15.75" customHeight="1">
      <c r="C821" s="143"/>
      <c r="D821" s="143"/>
      <c r="I821" s="145"/>
      <c r="J821" s="145"/>
      <c r="K821" s="145"/>
      <c r="L821" s="145"/>
      <c r="M821" s="145"/>
    </row>
    <row r="822" ht="15.75" customHeight="1">
      <c r="C822" s="143"/>
      <c r="D822" s="143"/>
      <c r="I822" s="145"/>
      <c r="J822" s="145"/>
      <c r="K822" s="145"/>
      <c r="L822" s="145"/>
      <c r="M822" s="145"/>
    </row>
    <row r="823" ht="15.75" customHeight="1">
      <c r="C823" s="143"/>
      <c r="D823" s="143"/>
      <c r="I823" s="145"/>
      <c r="J823" s="145"/>
      <c r="K823" s="145"/>
      <c r="L823" s="145"/>
      <c r="M823" s="145"/>
    </row>
    <row r="824" ht="15.75" customHeight="1">
      <c r="C824" s="143"/>
      <c r="D824" s="143"/>
      <c r="I824" s="145"/>
      <c r="J824" s="145"/>
      <c r="K824" s="145"/>
      <c r="L824" s="145"/>
      <c r="M824" s="145"/>
    </row>
    <row r="825" ht="15.75" customHeight="1">
      <c r="C825" s="143"/>
      <c r="D825" s="143"/>
      <c r="I825" s="145"/>
      <c r="J825" s="145"/>
      <c r="K825" s="145"/>
      <c r="L825" s="145"/>
      <c r="M825" s="145"/>
    </row>
    <row r="826" ht="15.75" customHeight="1">
      <c r="C826" s="143"/>
      <c r="D826" s="143"/>
      <c r="I826" s="145"/>
      <c r="J826" s="145"/>
      <c r="K826" s="145"/>
      <c r="L826" s="145"/>
      <c r="M826" s="145"/>
    </row>
    <row r="827" ht="15.75" customHeight="1">
      <c r="C827" s="143"/>
      <c r="D827" s="143"/>
      <c r="I827" s="145"/>
      <c r="J827" s="145"/>
      <c r="K827" s="145"/>
      <c r="L827" s="145"/>
      <c r="M827" s="145"/>
    </row>
    <row r="828" ht="15.75" customHeight="1">
      <c r="C828" s="143"/>
      <c r="D828" s="143"/>
      <c r="I828" s="145"/>
      <c r="J828" s="145"/>
      <c r="K828" s="145"/>
      <c r="L828" s="145"/>
      <c r="M828" s="145"/>
    </row>
    <row r="829" ht="15.75" customHeight="1">
      <c r="C829" s="143"/>
      <c r="D829" s="143"/>
      <c r="I829" s="145"/>
      <c r="J829" s="145"/>
      <c r="K829" s="145"/>
      <c r="L829" s="145"/>
      <c r="M829" s="145"/>
    </row>
    <row r="830" ht="15.75" customHeight="1">
      <c r="C830" s="143"/>
      <c r="D830" s="143"/>
      <c r="I830" s="145"/>
      <c r="J830" s="145"/>
      <c r="K830" s="145"/>
      <c r="L830" s="145"/>
      <c r="M830" s="145"/>
    </row>
    <row r="831" ht="15.75" customHeight="1">
      <c r="C831" s="143"/>
      <c r="D831" s="143"/>
      <c r="I831" s="145"/>
      <c r="J831" s="145"/>
      <c r="K831" s="145"/>
      <c r="L831" s="145"/>
      <c r="M831" s="145"/>
    </row>
    <row r="832" ht="15.75" customHeight="1">
      <c r="C832" s="143"/>
      <c r="D832" s="143"/>
      <c r="I832" s="145"/>
      <c r="J832" s="145"/>
      <c r="K832" s="145"/>
      <c r="L832" s="145"/>
      <c r="M832" s="145"/>
    </row>
    <row r="833" ht="15.75" customHeight="1">
      <c r="C833" s="143"/>
      <c r="D833" s="143"/>
      <c r="I833" s="145"/>
      <c r="J833" s="145"/>
      <c r="K833" s="145"/>
      <c r="L833" s="145"/>
      <c r="M833" s="145"/>
    </row>
    <row r="834" ht="15.75" customHeight="1">
      <c r="C834" s="143"/>
      <c r="D834" s="143"/>
      <c r="I834" s="145"/>
      <c r="J834" s="145"/>
      <c r="K834" s="145"/>
      <c r="L834" s="145"/>
      <c r="M834" s="145"/>
    </row>
    <row r="835" ht="15.75" customHeight="1">
      <c r="C835" s="143"/>
      <c r="D835" s="143"/>
      <c r="I835" s="145"/>
      <c r="J835" s="145"/>
      <c r="K835" s="145"/>
      <c r="L835" s="145"/>
      <c r="M835" s="145"/>
    </row>
    <row r="836" ht="15.75" customHeight="1">
      <c r="C836" s="143"/>
      <c r="D836" s="143"/>
      <c r="I836" s="145"/>
      <c r="J836" s="145"/>
      <c r="K836" s="145"/>
      <c r="L836" s="145"/>
      <c r="M836" s="145"/>
    </row>
    <row r="837" ht="15.75" customHeight="1">
      <c r="C837" s="143"/>
      <c r="D837" s="143"/>
      <c r="I837" s="145"/>
      <c r="J837" s="145"/>
      <c r="K837" s="145"/>
      <c r="L837" s="145"/>
      <c r="M837" s="145"/>
    </row>
    <row r="838" ht="15.75" customHeight="1">
      <c r="C838" s="143"/>
      <c r="D838" s="143"/>
      <c r="I838" s="145"/>
      <c r="J838" s="145"/>
      <c r="K838" s="145"/>
      <c r="L838" s="145"/>
      <c r="M838" s="145"/>
    </row>
    <row r="839" ht="15.75" customHeight="1">
      <c r="C839" s="143"/>
      <c r="D839" s="143"/>
      <c r="I839" s="145"/>
      <c r="J839" s="145"/>
      <c r="K839" s="145"/>
      <c r="L839" s="145"/>
      <c r="M839" s="145"/>
    </row>
    <row r="840" ht="15.75" customHeight="1">
      <c r="C840" s="143"/>
      <c r="D840" s="143"/>
      <c r="I840" s="145"/>
      <c r="J840" s="145"/>
      <c r="K840" s="145"/>
      <c r="L840" s="145"/>
      <c r="M840" s="145"/>
    </row>
    <row r="841" ht="15.75" customHeight="1">
      <c r="C841" s="143"/>
      <c r="D841" s="143"/>
      <c r="I841" s="145"/>
      <c r="J841" s="145"/>
      <c r="K841" s="145"/>
      <c r="L841" s="145"/>
      <c r="M841" s="145"/>
    </row>
    <row r="842" ht="15.75" customHeight="1">
      <c r="C842" s="143"/>
      <c r="D842" s="143"/>
      <c r="I842" s="145"/>
      <c r="J842" s="145"/>
      <c r="K842" s="145"/>
      <c r="L842" s="145"/>
      <c r="M842" s="145"/>
    </row>
    <row r="843" ht="15.75" customHeight="1">
      <c r="C843" s="143"/>
      <c r="D843" s="143"/>
      <c r="I843" s="145"/>
      <c r="J843" s="145"/>
      <c r="K843" s="145"/>
      <c r="L843" s="145"/>
      <c r="M843" s="145"/>
    </row>
    <row r="844" ht="15.75" customHeight="1">
      <c r="C844" s="143"/>
      <c r="D844" s="143"/>
      <c r="I844" s="145"/>
      <c r="J844" s="145"/>
      <c r="K844" s="145"/>
      <c r="L844" s="145"/>
      <c r="M844" s="145"/>
    </row>
    <row r="845" ht="15.75" customHeight="1">
      <c r="C845" s="143"/>
      <c r="D845" s="143"/>
      <c r="I845" s="145"/>
      <c r="J845" s="145"/>
      <c r="K845" s="145"/>
      <c r="L845" s="145"/>
      <c r="M845" s="145"/>
    </row>
    <row r="846" ht="15.75" customHeight="1">
      <c r="C846" s="143"/>
      <c r="D846" s="143"/>
      <c r="I846" s="145"/>
      <c r="J846" s="145"/>
      <c r="K846" s="145"/>
      <c r="L846" s="145"/>
      <c r="M846" s="145"/>
    </row>
    <row r="847" ht="15.75" customHeight="1">
      <c r="C847" s="143"/>
      <c r="D847" s="143"/>
      <c r="I847" s="145"/>
      <c r="J847" s="145"/>
      <c r="K847" s="145"/>
      <c r="L847" s="145"/>
      <c r="M847" s="145"/>
    </row>
    <row r="848" ht="15.75" customHeight="1">
      <c r="C848" s="143"/>
      <c r="D848" s="143"/>
      <c r="I848" s="145"/>
      <c r="J848" s="145"/>
      <c r="K848" s="145"/>
      <c r="L848" s="145"/>
      <c r="M848" s="145"/>
    </row>
    <row r="849" ht="15.75" customHeight="1">
      <c r="C849" s="143"/>
      <c r="D849" s="143"/>
      <c r="I849" s="145"/>
      <c r="J849" s="145"/>
      <c r="K849" s="145"/>
      <c r="L849" s="145"/>
      <c r="M849" s="145"/>
    </row>
    <row r="850" ht="15.75" customHeight="1">
      <c r="C850" s="143"/>
      <c r="D850" s="143"/>
      <c r="I850" s="145"/>
      <c r="J850" s="145"/>
      <c r="K850" s="145"/>
      <c r="L850" s="145"/>
      <c r="M850" s="145"/>
    </row>
    <row r="851" ht="15.75" customHeight="1">
      <c r="C851" s="143"/>
      <c r="D851" s="143"/>
      <c r="I851" s="145"/>
      <c r="J851" s="145"/>
      <c r="K851" s="145"/>
      <c r="L851" s="145"/>
      <c r="M851" s="145"/>
    </row>
    <row r="852" ht="15.75" customHeight="1">
      <c r="C852" s="143"/>
      <c r="D852" s="143"/>
      <c r="I852" s="145"/>
      <c r="J852" s="145"/>
      <c r="K852" s="145"/>
      <c r="L852" s="145"/>
      <c r="M852" s="145"/>
    </row>
    <row r="853" ht="15.75" customHeight="1">
      <c r="C853" s="143"/>
      <c r="D853" s="143"/>
      <c r="I853" s="145"/>
      <c r="J853" s="145"/>
      <c r="K853" s="145"/>
      <c r="L853" s="145"/>
      <c r="M853" s="145"/>
    </row>
    <row r="854" ht="15.75" customHeight="1">
      <c r="C854" s="143"/>
      <c r="D854" s="143"/>
      <c r="I854" s="145"/>
      <c r="J854" s="145"/>
      <c r="K854" s="145"/>
      <c r="L854" s="145"/>
      <c r="M854" s="145"/>
    </row>
    <row r="855" ht="15.75" customHeight="1">
      <c r="C855" s="143"/>
      <c r="D855" s="143"/>
      <c r="I855" s="145"/>
      <c r="J855" s="145"/>
      <c r="K855" s="145"/>
      <c r="L855" s="145"/>
      <c r="M855" s="145"/>
    </row>
    <row r="856" ht="15.75" customHeight="1">
      <c r="C856" s="143"/>
      <c r="D856" s="143"/>
      <c r="I856" s="145"/>
      <c r="J856" s="145"/>
      <c r="K856" s="145"/>
      <c r="L856" s="145"/>
      <c r="M856" s="145"/>
    </row>
    <row r="857" ht="15.75" customHeight="1">
      <c r="C857" s="143"/>
      <c r="D857" s="143"/>
      <c r="I857" s="145"/>
      <c r="J857" s="145"/>
      <c r="K857" s="145"/>
      <c r="L857" s="145"/>
      <c r="M857" s="145"/>
    </row>
    <row r="858" ht="15.75" customHeight="1">
      <c r="C858" s="143"/>
      <c r="D858" s="143"/>
      <c r="I858" s="145"/>
      <c r="J858" s="145"/>
      <c r="K858" s="145"/>
      <c r="L858" s="145"/>
      <c r="M858" s="145"/>
    </row>
    <row r="859" ht="15.75" customHeight="1">
      <c r="C859" s="143"/>
      <c r="D859" s="143"/>
      <c r="I859" s="145"/>
      <c r="J859" s="145"/>
      <c r="K859" s="145"/>
      <c r="L859" s="145"/>
      <c r="M859" s="145"/>
    </row>
    <row r="860" ht="15.75" customHeight="1">
      <c r="C860" s="143"/>
      <c r="D860" s="143"/>
      <c r="I860" s="145"/>
      <c r="J860" s="145"/>
      <c r="K860" s="145"/>
      <c r="L860" s="145"/>
      <c r="M860" s="145"/>
    </row>
    <row r="861" ht="15.75" customHeight="1">
      <c r="C861" s="143"/>
      <c r="D861" s="143"/>
      <c r="I861" s="145"/>
      <c r="J861" s="145"/>
      <c r="K861" s="145"/>
      <c r="L861" s="145"/>
      <c r="M861" s="145"/>
    </row>
    <row r="862" ht="15.75" customHeight="1">
      <c r="C862" s="143"/>
      <c r="D862" s="143"/>
      <c r="I862" s="145"/>
      <c r="J862" s="145"/>
      <c r="K862" s="145"/>
      <c r="L862" s="145"/>
      <c r="M862" s="145"/>
    </row>
    <row r="863" ht="15.75" customHeight="1">
      <c r="C863" s="143"/>
      <c r="D863" s="143"/>
      <c r="I863" s="145"/>
      <c r="J863" s="145"/>
      <c r="K863" s="145"/>
      <c r="L863" s="145"/>
      <c r="M863" s="145"/>
    </row>
    <row r="864" ht="15.75" customHeight="1">
      <c r="C864" s="143"/>
      <c r="D864" s="143"/>
      <c r="I864" s="145"/>
      <c r="J864" s="145"/>
      <c r="K864" s="145"/>
      <c r="L864" s="145"/>
      <c r="M864" s="145"/>
    </row>
    <row r="865" ht="15.75" customHeight="1">
      <c r="C865" s="143"/>
      <c r="D865" s="143"/>
      <c r="I865" s="145"/>
      <c r="J865" s="145"/>
      <c r="K865" s="145"/>
      <c r="L865" s="145"/>
      <c r="M865" s="145"/>
    </row>
    <row r="866" ht="15.75" customHeight="1">
      <c r="C866" s="143"/>
      <c r="D866" s="143"/>
      <c r="I866" s="145"/>
      <c r="J866" s="145"/>
      <c r="K866" s="145"/>
      <c r="L866" s="145"/>
      <c r="M866" s="145"/>
    </row>
    <row r="867" ht="15.75" customHeight="1">
      <c r="C867" s="143"/>
      <c r="D867" s="143"/>
      <c r="I867" s="145"/>
      <c r="J867" s="145"/>
      <c r="K867" s="145"/>
      <c r="L867" s="145"/>
      <c r="M867" s="145"/>
    </row>
    <row r="868" ht="15.75" customHeight="1">
      <c r="C868" s="143"/>
      <c r="D868" s="143"/>
      <c r="I868" s="145"/>
      <c r="J868" s="145"/>
      <c r="K868" s="145"/>
      <c r="L868" s="145"/>
      <c r="M868" s="145"/>
    </row>
    <row r="869" ht="15.75" customHeight="1">
      <c r="C869" s="143"/>
      <c r="D869" s="143"/>
      <c r="I869" s="145"/>
      <c r="J869" s="145"/>
      <c r="K869" s="145"/>
      <c r="L869" s="145"/>
      <c r="M869" s="145"/>
    </row>
    <row r="870" ht="15.75" customHeight="1">
      <c r="C870" s="143"/>
      <c r="D870" s="143"/>
      <c r="I870" s="145"/>
      <c r="J870" s="145"/>
      <c r="K870" s="145"/>
      <c r="L870" s="145"/>
      <c r="M870" s="145"/>
    </row>
    <row r="871" ht="15.75" customHeight="1">
      <c r="C871" s="143"/>
      <c r="D871" s="143"/>
      <c r="I871" s="145"/>
      <c r="J871" s="145"/>
      <c r="K871" s="145"/>
      <c r="L871" s="145"/>
      <c r="M871" s="145"/>
    </row>
    <row r="872" ht="15.75" customHeight="1">
      <c r="C872" s="143"/>
      <c r="D872" s="143"/>
      <c r="I872" s="145"/>
      <c r="J872" s="145"/>
      <c r="K872" s="145"/>
      <c r="L872" s="145"/>
      <c r="M872" s="145"/>
    </row>
    <row r="873" ht="15.75" customHeight="1">
      <c r="C873" s="143"/>
      <c r="D873" s="143"/>
      <c r="I873" s="145"/>
      <c r="J873" s="145"/>
      <c r="K873" s="145"/>
      <c r="L873" s="145"/>
      <c r="M873" s="145"/>
    </row>
    <row r="874" ht="15.75" customHeight="1">
      <c r="C874" s="143"/>
      <c r="D874" s="143"/>
      <c r="I874" s="145"/>
      <c r="J874" s="145"/>
      <c r="K874" s="145"/>
      <c r="L874" s="145"/>
      <c r="M874" s="145"/>
    </row>
    <row r="875" ht="15.75" customHeight="1">
      <c r="C875" s="143"/>
      <c r="D875" s="143"/>
      <c r="I875" s="145"/>
      <c r="J875" s="145"/>
      <c r="K875" s="145"/>
      <c r="L875" s="145"/>
      <c r="M875" s="145"/>
    </row>
    <row r="876" ht="15.75" customHeight="1">
      <c r="C876" s="143"/>
      <c r="D876" s="143"/>
      <c r="I876" s="145"/>
      <c r="J876" s="145"/>
      <c r="K876" s="145"/>
      <c r="L876" s="145"/>
      <c r="M876" s="145"/>
    </row>
    <row r="877" ht="15.75" customHeight="1">
      <c r="C877" s="143"/>
      <c r="D877" s="143"/>
      <c r="I877" s="145"/>
      <c r="J877" s="145"/>
      <c r="K877" s="145"/>
      <c r="L877" s="145"/>
      <c r="M877" s="145"/>
    </row>
    <row r="878" ht="15.75" customHeight="1">
      <c r="C878" s="143"/>
      <c r="D878" s="143"/>
      <c r="I878" s="145"/>
      <c r="J878" s="145"/>
      <c r="K878" s="145"/>
      <c r="L878" s="145"/>
      <c r="M878" s="145"/>
    </row>
    <row r="879" ht="15.75" customHeight="1">
      <c r="C879" s="143"/>
      <c r="D879" s="143"/>
      <c r="I879" s="145"/>
      <c r="J879" s="145"/>
      <c r="K879" s="145"/>
      <c r="L879" s="145"/>
      <c r="M879" s="145"/>
    </row>
    <row r="880" ht="15.75" customHeight="1">
      <c r="C880" s="143"/>
      <c r="D880" s="143"/>
      <c r="I880" s="145"/>
      <c r="J880" s="145"/>
      <c r="K880" s="145"/>
      <c r="L880" s="145"/>
      <c r="M880" s="145"/>
    </row>
    <row r="881" ht="15.75" customHeight="1">
      <c r="C881" s="143"/>
      <c r="D881" s="143"/>
      <c r="I881" s="145"/>
      <c r="J881" s="145"/>
      <c r="K881" s="145"/>
      <c r="L881" s="145"/>
      <c r="M881" s="145"/>
    </row>
    <row r="882" ht="15.75" customHeight="1">
      <c r="C882" s="143"/>
      <c r="D882" s="143"/>
      <c r="I882" s="145"/>
      <c r="J882" s="145"/>
      <c r="K882" s="145"/>
      <c r="L882" s="145"/>
      <c r="M882" s="145"/>
    </row>
    <row r="883" ht="15.75" customHeight="1">
      <c r="C883" s="143"/>
      <c r="D883" s="143"/>
      <c r="I883" s="145"/>
      <c r="J883" s="145"/>
      <c r="K883" s="145"/>
      <c r="L883" s="145"/>
      <c r="M883" s="145"/>
    </row>
    <row r="884" ht="15.75" customHeight="1">
      <c r="C884" s="143"/>
      <c r="D884" s="143"/>
      <c r="I884" s="145"/>
      <c r="J884" s="145"/>
      <c r="K884" s="145"/>
      <c r="L884" s="145"/>
      <c r="M884" s="145"/>
    </row>
    <row r="885" ht="15.75" customHeight="1">
      <c r="C885" s="143"/>
      <c r="D885" s="143"/>
      <c r="I885" s="145"/>
      <c r="J885" s="145"/>
      <c r="K885" s="145"/>
      <c r="L885" s="145"/>
      <c r="M885" s="145"/>
    </row>
    <row r="886" ht="15.75" customHeight="1">
      <c r="C886" s="143"/>
      <c r="D886" s="143"/>
      <c r="I886" s="145"/>
      <c r="J886" s="145"/>
      <c r="K886" s="145"/>
      <c r="L886" s="145"/>
      <c r="M886" s="145"/>
    </row>
    <row r="887" ht="15.75" customHeight="1">
      <c r="C887" s="143"/>
      <c r="D887" s="143"/>
      <c r="I887" s="145"/>
      <c r="J887" s="145"/>
      <c r="K887" s="145"/>
      <c r="L887" s="145"/>
      <c r="M887" s="145"/>
    </row>
    <row r="888" ht="15.75" customHeight="1">
      <c r="C888" s="143"/>
      <c r="D888" s="143"/>
      <c r="I888" s="145"/>
      <c r="J888" s="145"/>
      <c r="K888" s="145"/>
      <c r="L888" s="145"/>
      <c r="M888" s="145"/>
    </row>
    <row r="889" ht="15.75" customHeight="1">
      <c r="C889" s="143"/>
      <c r="D889" s="143"/>
      <c r="I889" s="145"/>
      <c r="J889" s="145"/>
      <c r="K889" s="145"/>
      <c r="L889" s="145"/>
      <c r="M889" s="145"/>
    </row>
    <row r="890" ht="15.75" customHeight="1">
      <c r="C890" s="143"/>
      <c r="D890" s="143"/>
      <c r="I890" s="145"/>
      <c r="J890" s="145"/>
      <c r="K890" s="145"/>
      <c r="L890" s="145"/>
      <c r="M890" s="145"/>
    </row>
    <row r="891" ht="15.75" customHeight="1">
      <c r="C891" s="143"/>
      <c r="D891" s="143"/>
      <c r="I891" s="145"/>
      <c r="J891" s="145"/>
      <c r="K891" s="145"/>
      <c r="L891" s="145"/>
      <c r="M891" s="145"/>
    </row>
    <row r="892" ht="15.75" customHeight="1">
      <c r="C892" s="143"/>
      <c r="D892" s="143"/>
      <c r="I892" s="145"/>
      <c r="J892" s="145"/>
      <c r="K892" s="145"/>
      <c r="L892" s="145"/>
      <c r="M892" s="145"/>
    </row>
    <row r="893" ht="15.75" customHeight="1">
      <c r="C893" s="143"/>
      <c r="D893" s="143"/>
      <c r="I893" s="145"/>
      <c r="J893" s="145"/>
      <c r="K893" s="145"/>
      <c r="L893" s="145"/>
      <c r="M893" s="145"/>
    </row>
    <row r="894" ht="15.75" customHeight="1">
      <c r="C894" s="143"/>
      <c r="D894" s="143"/>
      <c r="I894" s="145"/>
      <c r="J894" s="145"/>
      <c r="K894" s="145"/>
      <c r="L894" s="145"/>
      <c r="M894" s="145"/>
    </row>
    <row r="895" ht="15.75" customHeight="1">
      <c r="C895" s="143"/>
      <c r="D895" s="143"/>
      <c r="I895" s="145"/>
      <c r="J895" s="145"/>
      <c r="K895" s="145"/>
      <c r="L895" s="145"/>
      <c r="M895" s="145"/>
    </row>
    <row r="896" ht="15.75" customHeight="1">
      <c r="C896" s="143"/>
      <c r="D896" s="143"/>
      <c r="I896" s="145"/>
      <c r="J896" s="145"/>
      <c r="K896" s="145"/>
      <c r="L896" s="145"/>
      <c r="M896" s="145"/>
    </row>
    <row r="897" ht="15.75" customHeight="1">
      <c r="C897" s="143"/>
      <c r="D897" s="143"/>
      <c r="I897" s="145"/>
      <c r="J897" s="145"/>
      <c r="K897" s="145"/>
      <c r="L897" s="145"/>
      <c r="M897" s="145"/>
    </row>
    <row r="898" ht="15.75" customHeight="1">
      <c r="C898" s="143"/>
      <c r="D898" s="143"/>
      <c r="I898" s="145"/>
      <c r="J898" s="145"/>
      <c r="K898" s="145"/>
      <c r="L898" s="145"/>
      <c r="M898" s="145"/>
    </row>
    <row r="899" ht="15.75" customHeight="1">
      <c r="C899" s="143"/>
      <c r="D899" s="143"/>
      <c r="I899" s="145"/>
      <c r="J899" s="145"/>
      <c r="K899" s="145"/>
      <c r="L899" s="145"/>
      <c r="M899" s="145"/>
    </row>
    <row r="900" ht="15.75" customHeight="1">
      <c r="C900" s="143"/>
      <c r="D900" s="143"/>
      <c r="I900" s="145"/>
      <c r="J900" s="145"/>
      <c r="K900" s="145"/>
      <c r="L900" s="145"/>
      <c r="M900" s="145"/>
    </row>
    <row r="901" ht="15.75" customHeight="1">
      <c r="C901" s="143"/>
      <c r="D901" s="143"/>
      <c r="I901" s="145"/>
      <c r="J901" s="145"/>
      <c r="K901" s="145"/>
      <c r="L901" s="145"/>
      <c r="M901" s="145"/>
    </row>
    <row r="902" ht="15.75" customHeight="1">
      <c r="C902" s="143"/>
      <c r="D902" s="143"/>
      <c r="I902" s="145"/>
      <c r="J902" s="145"/>
      <c r="K902" s="145"/>
      <c r="L902" s="145"/>
      <c r="M902" s="145"/>
    </row>
    <row r="903" ht="15.75" customHeight="1">
      <c r="C903" s="143"/>
      <c r="D903" s="143"/>
      <c r="I903" s="145"/>
      <c r="J903" s="145"/>
      <c r="K903" s="145"/>
      <c r="L903" s="145"/>
      <c r="M903" s="145"/>
    </row>
    <row r="904" ht="15.75" customHeight="1">
      <c r="C904" s="143"/>
      <c r="D904" s="143"/>
      <c r="I904" s="145"/>
      <c r="J904" s="145"/>
      <c r="K904" s="145"/>
      <c r="L904" s="145"/>
      <c r="M904" s="145"/>
    </row>
    <row r="905" ht="15.75" customHeight="1">
      <c r="C905" s="143"/>
      <c r="D905" s="143"/>
      <c r="I905" s="145"/>
      <c r="J905" s="145"/>
      <c r="K905" s="145"/>
      <c r="L905" s="145"/>
      <c r="M905" s="145"/>
    </row>
    <row r="906" ht="15.75" customHeight="1">
      <c r="C906" s="143"/>
      <c r="D906" s="143"/>
      <c r="I906" s="145"/>
      <c r="J906" s="145"/>
      <c r="K906" s="145"/>
      <c r="L906" s="145"/>
      <c r="M906" s="145"/>
    </row>
    <row r="907" ht="15.75" customHeight="1">
      <c r="C907" s="143"/>
      <c r="D907" s="143"/>
      <c r="I907" s="145"/>
      <c r="J907" s="145"/>
      <c r="K907" s="145"/>
      <c r="L907" s="145"/>
      <c r="M907" s="145"/>
    </row>
    <row r="908" ht="15.75" customHeight="1">
      <c r="C908" s="143"/>
      <c r="D908" s="143"/>
      <c r="I908" s="145"/>
      <c r="J908" s="145"/>
      <c r="K908" s="145"/>
      <c r="L908" s="145"/>
      <c r="M908" s="145"/>
    </row>
    <row r="909" ht="15.75" customHeight="1">
      <c r="C909" s="143"/>
      <c r="D909" s="143"/>
      <c r="I909" s="145"/>
      <c r="J909" s="145"/>
      <c r="K909" s="145"/>
      <c r="L909" s="145"/>
      <c r="M909" s="145"/>
    </row>
    <row r="910" ht="15.75" customHeight="1">
      <c r="C910" s="143"/>
      <c r="D910" s="143"/>
      <c r="I910" s="145"/>
      <c r="J910" s="145"/>
      <c r="K910" s="145"/>
      <c r="L910" s="145"/>
      <c r="M910" s="145"/>
    </row>
    <row r="911" ht="15.75" customHeight="1">
      <c r="C911" s="143"/>
      <c r="D911" s="143"/>
      <c r="I911" s="145"/>
      <c r="J911" s="145"/>
      <c r="K911" s="145"/>
      <c r="L911" s="145"/>
      <c r="M911" s="145"/>
    </row>
    <row r="912" ht="15.75" customHeight="1">
      <c r="C912" s="143"/>
      <c r="D912" s="143"/>
      <c r="I912" s="145"/>
      <c r="J912" s="145"/>
      <c r="K912" s="145"/>
      <c r="L912" s="145"/>
      <c r="M912" s="145"/>
    </row>
    <row r="913" ht="15.75" customHeight="1">
      <c r="C913" s="143"/>
      <c r="D913" s="143"/>
      <c r="I913" s="145"/>
      <c r="J913" s="145"/>
      <c r="K913" s="145"/>
      <c r="L913" s="145"/>
      <c r="M913" s="145"/>
    </row>
    <row r="914" ht="15.75" customHeight="1">
      <c r="C914" s="143"/>
      <c r="D914" s="143"/>
      <c r="I914" s="145"/>
      <c r="J914" s="145"/>
      <c r="K914" s="145"/>
      <c r="L914" s="145"/>
      <c r="M914" s="145"/>
    </row>
    <row r="915" ht="15.75" customHeight="1">
      <c r="C915" s="143"/>
      <c r="D915" s="143"/>
      <c r="I915" s="145"/>
      <c r="J915" s="145"/>
      <c r="K915" s="145"/>
      <c r="L915" s="145"/>
      <c r="M915" s="145"/>
    </row>
    <row r="916" ht="15.75" customHeight="1">
      <c r="C916" s="143"/>
      <c r="D916" s="143"/>
      <c r="I916" s="145"/>
      <c r="J916" s="145"/>
      <c r="K916" s="145"/>
      <c r="L916" s="145"/>
      <c r="M916" s="145"/>
    </row>
    <row r="917" ht="15.75" customHeight="1">
      <c r="C917" s="143"/>
      <c r="D917" s="143"/>
      <c r="I917" s="145"/>
      <c r="J917" s="145"/>
      <c r="K917" s="145"/>
      <c r="L917" s="145"/>
      <c r="M917" s="145"/>
    </row>
    <row r="918" ht="15.75" customHeight="1">
      <c r="C918" s="143"/>
      <c r="D918" s="143"/>
      <c r="I918" s="145"/>
      <c r="J918" s="145"/>
      <c r="K918" s="145"/>
      <c r="L918" s="145"/>
      <c r="M918" s="145"/>
    </row>
    <row r="919" ht="15.75" customHeight="1">
      <c r="C919" s="143"/>
      <c r="D919" s="143"/>
      <c r="I919" s="145"/>
      <c r="J919" s="145"/>
      <c r="K919" s="145"/>
      <c r="L919" s="145"/>
      <c r="M919" s="145"/>
    </row>
    <row r="920" ht="15.75" customHeight="1">
      <c r="C920" s="143"/>
      <c r="D920" s="143"/>
      <c r="I920" s="145"/>
      <c r="J920" s="145"/>
      <c r="K920" s="145"/>
      <c r="L920" s="145"/>
      <c r="M920" s="145"/>
    </row>
    <row r="921" ht="15.75" customHeight="1">
      <c r="C921" s="143"/>
      <c r="D921" s="143"/>
      <c r="I921" s="145"/>
      <c r="J921" s="145"/>
      <c r="K921" s="145"/>
      <c r="L921" s="145"/>
      <c r="M921" s="145"/>
    </row>
    <row r="922" ht="15.75" customHeight="1">
      <c r="C922" s="143"/>
      <c r="D922" s="143"/>
      <c r="I922" s="145"/>
      <c r="J922" s="145"/>
      <c r="K922" s="145"/>
      <c r="L922" s="145"/>
      <c r="M922" s="145"/>
    </row>
    <row r="923" ht="15.75" customHeight="1">
      <c r="C923" s="143"/>
      <c r="D923" s="143"/>
      <c r="I923" s="145"/>
      <c r="J923" s="145"/>
      <c r="K923" s="145"/>
      <c r="L923" s="145"/>
      <c r="M923" s="145"/>
    </row>
    <row r="924" ht="15.75" customHeight="1">
      <c r="C924" s="143"/>
      <c r="D924" s="143"/>
      <c r="I924" s="145"/>
      <c r="J924" s="145"/>
      <c r="K924" s="145"/>
      <c r="L924" s="145"/>
      <c r="M924" s="145"/>
    </row>
    <row r="925" ht="15.75" customHeight="1">
      <c r="C925" s="143"/>
      <c r="D925" s="143"/>
      <c r="I925" s="145"/>
      <c r="J925" s="145"/>
      <c r="K925" s="145"/>
      <c r="L925" s="145"/>
      <c r="M925" s="145"/>
    </row>
    <row r="926" ht="15.75" customHeight="1">
      <c r="C926" s="143"/>
      <c r="D926" s="143"/>
      <c r="I926" s="145"/>
      <c r="J926" s="145"/>
      <c r="K926" s="145"/>
      <c r="L926" s="145"/>
      <c r="M926" s="145"/>
    </row>
    <row r="927" ht="15.75" customHeight="1">
      <c r="C927" s="143"/>
      <c r="D927" s="143"/>
      <c r="I927" s="145"/>
      <c r="J927" s="145"/>
      <c r="K927" s="145"/>
      <c r="L927" s="145"/>
      <c r="M927" s="145"/>
    </row>
    <row r="928" ht="15.75" customHeight="1">
      <c r="C928" s="143"/>
      <c r="D928" s="143"/>
      <c r="I928" s="145"/>
      <c r="J928" s="145"/>
      <c r="K928" s="145"/>
      <c r="L928" s="145"/>
      <c r="M928" s="145"/>
    </row>
    <row r="929" ht="15.75" customHeight="1">
      <c r="C929" s="143"/>
      <c r="D929" s="143"/>
      <c r="I929" s="145"/>
      <c r="J929" s="145"/>
      <c r="K929" s="145"/>
      <c r="L929" s="145"/>
      <c r="M929" s="145"/>
    </row>
    <row r="930" ht="15.75" customHeight="1">
      <c r="C930" s="143"/>
      <c r="D930" s="143"/>
      <c r="I930" s="145"/>
      <c r="J930" s="145"/>
      <c r="K930" s="145"/>
      <c r="L930" s="145"/>
      <c r="M930" s="145"/>
    </row>
    <row r="931" ht="15.75" customHeight="1">
      <c r="C931" s="143"/>
      <c r="D931" s="143"/>
      <c r="I931" s="145"/>
      <c r="J931" s="145"/>
      <c r="K931" s="145"/>
      <c r="L931" s="145"/>
      <c r="M931" s="145"/>
    </row>
    <row r="932" ht="15.75" customHeight="1">
      <c r="C932" s="143"/>
      <c r="D932" s="143"/>
      <c r="I932" s="145"/>
      <c r="J932" s="145"/>
      <c r="K932" s="145"/>
      <c r="L932" s="145"/>
      <c r="M932" s="145"/>
    </row>
    <row r="933" ht="15.75" customHeight="1">
      <c r="C933" s="143"/>
      <c r="D933" s="143"/>
      <c r="I933" s="145"/>
      <c r="J933" s="145"/>
      <c r="K933" s="145"/>
      <c r="L933" s="145"/>
      <c r="M933" s="145"/>
    </row>
    <row r="934" ht="15.75" customHeight="1">
      <c r="C934" s="143"/>
      <c r="D934" s="143"/>
      <c r="I934" s="145"/>
      <c r="J934" s="145"/>
      <c r="K934" s="145"/>
      <c r="L934" s="145"/>
      <c r="M934" s="145"/>
    </row>
    <row r="935" ht="15.75" customHeight="1">
      <c r="C935" s="143"/>
      <c r="D935" s="143"/>
      <c r="I935" s="145"/>
      <c r="J935" s="145"/>
      <c r="K935" s="145"/>
      <c r="L935" s="145"/>
      <c r="M935" s="145"/>
    </row>
    <row r="936" ht="15.75" customHeight="1">
      <c r="C936" s="143"/>
      <c r="D936" s="143"/>
      <c r="I936" s="145"/>
      <c r="J936" s="145"/>
      <c r="K936" s="145"/>
      <c r="L936" s="145"/>
      <c r="M936" s="145"/>
    </row>
    <row r="937" ht="15.75" customHeight="1">
      <c r="C937" s="143"/>
      <c r="D937" s="143"/>
      <c r="I937" s="145"/>
      <c r="J937" s="145"/>
      <c r="K937" s="145"/>
      <c r="L937" s="145"/>
      <c r="M937" s="145"/>
    </row>
    <row r="938" ht="15.75" customHeight="1">
      <c r="C938" s="143"/>
      <c r="D938" s="143"/>
      <c r="I938" s="145"/>
      <c r="J938" s="145"/>
      <c r="K938" s="145"/>
      <c r="L938" s="145"/>
      <c r="M938" s="145"/>
    </row>
    <row r="939" ht="15.75" customHeight="1">
      <c r="C939" s="143"/>
      <c r="D939" s="143"/>
      <c r="I939" s="145"/>
      <c r="J939" s="145"/>
      <c r="K939" s="145"/>
      <c r="L939" s="145"/>
      <c r="M939" s="145"/>
    </row>
    <row r="940" ht="15.75" customHeight="1">
      <c r="C940" s="143"/>
      <c r="D940" s="143"/>
      <c r="I940" s="145"/>
      <c r="J940" s="145"/>
      <c r="K940" s="145"/>
      <c r="L940" s="145"/>
      <c r="M940" s="145"/>
    </row>
    <row r="941" ht="15.75" customHeight="1">
      <c r="C941" s="143"/>
      <c r="D941" s="143"/>
      <c r="I941" s="145"/>
      <c r="J941" s="145"/>
      <c r="K941" s="145"/>
      <c r="L941" s="145"/>
      <c r="M941" s="145"/>
    </row>
    <row r="942" ht="15.75" customHeight="1">
      <c r="C942" s="143"/>
      <c r="D942" s="143"/>
      <c r="I942" s="145"/>
      <c r="J942" s="145"/>
      <c r="K942" s="145"/>
      <c r="L942" s="145"/>
      <c r="M942" s="145"/>
    </row>
    <row r="943" ht="15.75" customHeight="1">
      <c r="C943" s="143"/>
      <c r="D943" s="143"/>
      <c r="I943" s="145"/>
      <c r="J943" s="145"/>
      <c r="K943" s="145"/>
      <c r="L943" s="145"/>
      <c r="M943" s="145"/>
    </row>
    <row r="944" ht="15.75" customHeight="1">
      <c r="C944" s="143"/>
      <c r="D944" s="143"/>
      <c r="I944" s="145"/>
      <c r="J944" s="145"/>
      <c r="K944" s="145"/>
      <c r="L944" s="145"/>
      <c r="M944" s="145"/>
    </row>
    <row r="945" ht="15.75" customHeight="1">
      <c r="C945" s="143"/>
      <c r="D945" s="143"/>
      <c r="I945" s="145"/>
      <c r="J945" s="145"/>
      <c r="K945" s="145"/>
      <c r="L945" s="145"/>
      <c r="M945" s="145"/>
    </row>
    <row r="946" ht="15.75" customHeight="1">
      <c r="C946" s="143"/>
      <c r="D946" s="143"/>
      <c r="I946" s="145"/>
      <c r="J946" s="145"/>
      <c r="K946" s="145"/>
      <c r="L946" s="145"/>
      <c r="M946" s="145"/>
    </row>
    <row r="947" ht="15.75" customHeight="1">
      <c r="C947" s="143"/>
      <c r="D947" s="143"/>
      <c r="I947" s="145"/>
      <c r="J947" s="145"/>
      <c r="K947" s="145"/>
      <c r="L947" s="145"/>
      <c r="M947" s="145"/>
    </row>
    <row r="948" ht="15.75" customHeight="1">
      <c r="C948" s="143"/>
      <c r="D948" s="143"/>
      <c r="I948" s="145"/>
      <c r="J948" s="145"/>
      <c r="K948" s="145"/>
      <c r="L948" s="145"/>
      <c r="M948" s="145"/>
    </row>
    <row r="949" ht="15.75" customHeight="1">
      <c r="C949" s="143"/>
      <c r="D949" s="143"/>
      <c r="I949" s="145"/>
      <c r="J949" s="145"/>
      <c r="K949" s="145"/>
      <c r="L949" s="145"/>
      <c r="M949" s="145"/>
    </row>
    <row r="950" ht="15.75" customHeight="1">
      <c r="C950" s="143"/>
      <c r="D950" s="143"/>
      <c r="I950" s="145"/>
      <c r="J950" s="145"/>
      <c r="K950" s="145"/>
      <c r="L950" s="145"/>
      <c r="M950" s="145"/>
    </row>
    <row r="951" ht="15.75" customHeight="1">
      <c r="C951" s="143"/>
      <c r="D951" s="143"/>
      <c r="I951" s="145"/>
      <c r="J951" s="145"/>
      <c r="K951" s="145"/>
      <c r="L951" s="145"/>
      <c r="M951" s="145"/>
    </row>
    <row r="952" ht="15.75" customHeight="1">
      <c r="C952" s="143"/>
      <c r="D952" s="143"/>
      <c r="I952" s="145"/>
      <c r="J952" s="145"/>
      <c r="K952" s="145"/>
      <c r="L952" s="145"/>
      <c r="M952" s="145"/>
    </row>
    <row r="953" ht="15.75" customHeight="1">
      <c r="C953" s="143"/>
      <c r="D953" s="143"/>
      <c r="I953" s="145"/>
      <c r="J953" s="145"/>
      <c r="K953" s="145"/>
      <c r="L953" s="145"/>
      <c r="M953" s="145"/>
    </row>
    <row r="954" ht="15.75" customHeight="1">
      <c r="C954" s="143"/>
      <c r="D954" s="143"/>
      <c r="I954" s="145"/>
      <c r="J954" s="145"/>
      <c r="K954" s="145"/>
      <c r="L954" s="145"/>
      <c r="M954" s="145"/>
    </row>
    <row r="955" ht="15.75" customHeight="1">
      <c r="C955" s="143"/>
      <c r="D955" s="143"/>
      <c r="I955" s="145"/>
      <c r="J955" s="145"/>
      <c r="K955" s="145"/>
      <c r="L955" s="145"/>
      <c r="M955" s="145"/>
    </row>
    <row r="956" ht="15.75" customHeight="1">
      <c r="C956" s="143"/>
      <c r="D956" s="143"/>
      <c r="I956" s="145"/>
      <c r="J956" s="145"/>
      <c r="K956" s="145"/>
      <c r="L956" s="145"/>
      <c r="M956" s="145"/>
    </row>
    <row r="957" ht="15.75" customHeight="1">
      <c r="C957" s="143"/>
      <c r="D957" s="143"/>
      <c r="I957" s="145"/>
      <c r="J957" s="145"/>
      <c r="K957" s="145"/>
      <c r="L957" s="145"/>
      <c r="M957" s="145"/>
    </row>
    <row r="958" ht="15.75" customHeight="1">
      <c r="C958" s="143"/>
      <c r="D958" s="143"/>
      <c r="I958" s="145"/>
      <c r="J958" s="145"/>
      <c r="K958" s="145"/>
      <c r="L958" s="145"/>
      <c r="M958" s="145"/>
    </row>
    <row r="959" ht="15.75" customHeight="1">
      <c r="C959" s="143"/>
      <c r="D959" s="143"/>
      <c r="I959" s="145"/>
      <c r="J959" s="145"/>
      <c r="K959" s="145"/>
      <c r="L959" s="145"/>
      <c r="M959" s="145"/>
    </row>
    <row r="960" ht="15.75" customHeight="1">
      <c r="C960" s="143"/>
      <c r="D960" s="143"/>
      <c r="I960" s="145"/>
      <c r="J960" s="145"/>
      <c r="K960" s="145"/>
      <c r="L960" s="145"/>
      <c r="M960" s="145"/>
    </row>
    <row r="961" ht="15.75" customHeight="1">
      <c r="C961" s="143"/>
      <c r="D961" s="143"/>
      <c r="I961" s="145"/>
      <c r="J961" s="145"/>
      <c r="K961" s="145"/>
      <c r="L961" s="145"/>
      <c r="M961" s="145"/>
    </row>
    <row r="962" ht="15.75" customHeight="1">
      <c r="C962" s="143"/>
      <c r="D962" s="143"/>
      <c r="I962" s="145"/>
      <c r="J962" s="145"/>
      <c r="K962" s="145"/>
      <c r="L962" s="145"/>
      <c r="M962" s="145"/>
    </row>
    <row r="963" ht="15.75" customHeight="1">
      <c r="C963" s="143"/>
      <c r="D963" s="143"/>
      <c r="I963" s="145"/>
      <c r="J963" s="145"/>
      <c r="K963" s="145"/>
      <c r="L963" s="145"/>
      <c r="M963" s="145"/>
    </row>
    <row r="964" ht="15.75" customHeight="1">
      <c r="C964" s="143"/>
      <c r="D964" s="143"/>
      <c r="I964" s="145"/>
      <c r="J964" s="145"/>
      <c r="K964" s="145"/>
      <c r="L964" s="145"/>
      <c r="M964" s="145"/>
    </row>
    <row r="965" ht="15.75" customHeight="1">
      <c r="C965" s="143"/>
      <c r="D965" s="143"/>
      <c r="I965" s="145"/>
      <c r="J965" s="145"/>
      <c r="K965" s="145"/>
      <c r="L965" s="145"/>
      <c r="M965" s="145"/>
    </row>
    <row r="966" ht="15.75" customHeight="1">
      <c r="C966" s="143"/>
      <c r="D966" s="143"/>
      <c r="I966" s="145"/>
      <c r="J966" s="145"/>
      <c r="K966" s="145"/>
      <c r="L966" s="145"/>
      <c r="M966" s="145"/>
    </row>
    <row r="967" ht="15.75" customHeight="1">
      <c r="C967" s="143"/>
      <c r="D967" s="143"/>
      <c r="I967" s="145"/>
      <c r="J967" s="145"/>
      <c r="K967" s="145"/>
      <c r="L967" s="145"/>
      <c r="M967" s="145"/>
    </row>
    <row r="968" ht="15.75" customHeight="1">
      <c r="C968" s="143"/>
      <c r="D968" s="143"/>
      <c r="I968" s="145"/>
      <c r="J968" s="145"/>
      <c r="K968" s="145"/>
      <c r="L968" s="145"/>
      <c r="M968" s="145"/>
    </row>
    <row r="969" ht="15.75" customHeight="1">
      <c r="C969" s="143"/>
      <c r="D969" s="143"/>
      <c r="I969" s="145"/>
      <c r="J969" s="145"/>
      <c r="K969" s="145"/>
      <c r="L969" s="145"/>
      <c r="M969" s="145"/>
    </row>
    <row r="970" ht="15.75" customHeight="1">
      <c r="C970" s="143"/>
      <c r="D970" s="143"/>
      <c r="I970" s="145"/>
      <c r="J970" s="145"/>
      <c r="K970" s="145"/>
      <c r="L970" s="145"/>
      <c r="M970" s="145"/>
    </row>
    <row r="971" ht="15.75" customHeight="1">
      <c r="C971" s="143"/>
      <c r="D971" s="143"/>
      <c r="I971" s="145"/>
      <c r="J971" s="145"/>
      <c r="K971" s="145"/>
      <c r="L971" s="145"/>
      <c r="M971" s="145"/>
    </row>
    <row r="972" ht="15.75" customHeight="1">
      <c r="C972" s="143"/>
      <c r="D972" s="143"/>
      <c r="I972" s="145"/>
      <c r="J972" s="145"/>
      <c r="K972" s="145"/>
      <c r="L972" s="145"/>
      <c r="M972" s="145"/>
    </row>
    <row r="973" ht="15.75" customHeight="1">
      <c r="C973" s="143"/>
      <c r="D973" s="143"/>
      <c r="I973" s="145"/>
      <c r="J973" s="145"/>
      <c r="K973" s="145"/>
      <c r="L973" s="145"/>
      <c r="M973" s="145"/>
    </row>
    <row r="974" ht="15.75" customHeight="1">
      <c r="C974" s="143"/>
      <c r="D974" s="143"/>
      <c r="I974" s="145"/>
      <c r="J974" s="145"/>
      <c r="K974" s="145"/>
      <c r="L974" s="145"/>
      <c r="M974" s="145"/>
    </row>
    <row r="975" ht="15.75" customHeight="1">
      <c r="C975" s="143"/>
      <c r="D975" s="143"/>
      <c r="I975" s="145"/>
      <c r="J975" s="145"/>
      <c r="K975" s="145"/>
      <c r="L975" s="145"/>
      <c r="M975" s="145"/>
    </row>
    <row r="976" ht="15.75" customHeight="1">
      <c r="C976" s="143"/>
      <c r="D976" s="143"/>
      <c r="I976" s="145"/>
      <c r="J976" s="145"/>
      <c r="K976" s="145"/>
      <c r="L976" s="145"/>
      <c r="M976" s="145"/>
    </row>
    <row r="977" ht="15.75" customHeight="1">
      <c r="C977" s="143"/>
      <c r="D977" s="143"/>
      <c r="I977" s="145"/>
      <c r="J977" s="145"/>
      <c r="K977" s="145"/>
      <c r="L977" s="145"/>
      <c r="M977" s="145"/>
    </row>
    <row r="978" ht="15.75" customHeight="1">
      <c r="C978" s="143"/>
      <c r="D978" s="143"/>
      <c r="I978" s="145"/>
      <c r="J978" s="145"/>
      <c r="K978" s="145"/>
      <c r="L978" s="145"/>
      <c r="M978" s="145"/>
    </row>
    <row r="979" ht="15.75" customHeight="1">
      <c r="C979" s="143"/>
      <c r="D979" s="143"/>
      <c r="I979" s="145"/>
      <c r="J979" s="145"/>
      <c r="K979" s="145"/>
      <c r="L979" s="145"/>
      <c r="M979" s="145"/>
    </row>
    <row r="980" ht="15.75" customHeight="1">
      <c r="C980" s="143"/>
      <c r="D980" s="143"/>
      <c r="I980" s="145"/>
      <c r="J980" s="145"/>
      <c r="K980" s="145"/>
      <c r="L980" s="145"/>
      <c r="M980" s="145"/>
    </row>
    <row r="981" ht="15.75" customHeight="1">
      <c r="C981" s="143"/>
      <c r="D981" s="143"/>
      <c r="I981" s="145"/>
      <c r="J981" s="145"/>
      <c r="K981" s="145"/>
      <c r="L981" s="145"/>
      <c r="M981" s="145"/>
    </row>
    <row r="982" ht="15.75" customHeight="1">
      <c r="C982" s="143"/>
      <c r="D982" s="143"/>
      <c r="I982" s="145"/>
      <c r="J982" s="145"/>
      <c r="K982" s="145"/>
      <c r="L982" s="145"/>
      <c r="M982" s="145"/>
    </row>
    <row r="983" ht="15.75" customHeight="1">
      <c r="C983" s="143"/>
      <c r="D983" s="143"/>
      <c r="I983" s="145"/>
      <c r="J983" s="145"/>
      <c r="K983" s="145"/>
      <c r="L983" s="145"/>
      <c r="M983" s="145"/>
    </row>
    <row r="984" ht="15.75" customHeight="1">
      <c r="C984" s="143"/>
      <c r="D984" s="143"/>
      <c r="I984" s="145"/>
      <c r="J984" s="145"/>
      <c r="K984" s="145"/>
      <c r="L984" s="145"/>
      <c r="M984" s="145"/>
    </row>
    <row r="985" ht="15.75" customHeight="1">
      <c r="C985" s="143"/>
      <c r="D985" s="143"/>
      <c r="I985" s="145"/>
      <c r="J985" s="145"/>
      <c r="K985" s="145"/>
      <c r="L985" s="145"/>
      <c r="M985" s="145"/>
    </row>
    <row r="986" ht="15.75" customHeight="1">
      <c r="C986" s="143"/>
      <c r="D986" s="143"/>
      <c r="I986" s="145"/>
      <c r="J986" s="145"/>
      <c r="K986" s="145"/>
      <c r="L986" s="145"/>
      <c r="M986" s="145"/>
    </row>
    <row r="987" ht="15.75" customHeight="1">
      <c r="C987" s="143"/>
      <c r="D987" s="143"/>
      <c r="I987" s="145"/>
      <c r="J987" s="145"/>
      <c r="K987" s="145"/>
      <c r="L987" s="145"/>
      <c r="M987" s="145"/>
    </row>
    <row r="988" ht="15.75" customHeight="1">
      <c r="C988" s="143"/>
      <c r="D988" s="143"/>
      <c r="I988" s="145"/>
      <c r="J988" s="145"/>
      <c r="K988" s="145"/>
      <c r="L988" s="145"/>
      <c r="M988" s="145"/>
    </row>
    <row r="989" ht="15.75" customHeight="1">
      <c r="C989" s="143"/>
      <c r="D989" s="143"/>
      <c r="I989" s="145"/>
      <c r="J989" s="145"/>
      <c r="K989" s="145"/>
      <c r="L989" s="145"/>
      <c r="M989" s="145"/>
    </row>
    <row r="990" ht="15.75" customHeight="1">
      <c r="C990" s="143"/>
      <c r="D990" s="143"/>
      <c r="I990" s="145"/>
      <c r="J990" s="145"/>
      <c r="K990" s="145"/>
      <c r="L990" s="145"/>
      <c r="M990" s="145"/>
    </row>
    <row r="991" ht="15.75" customHeight="1">
      <c r="C991" s="143"/>
      <c r="D991" s="143"/>
      <c r="I991" s="145"/>
      <c r="J991" s="145"/>
      <c r="K991" s="145"/>
      <c r="L991" s="145"/>
      <c r="M991" s="145"/>
    </row>
    <row r="992" ht="15.75" customHeight="1">
      <c r="C992" s="143"/>
      <c r="D992" s="143"/>
      <c r="I992" s="145"/>
      <c r="J992" s="145"/>
      <c r="K992" s="145"/>
      <c r="L992" s="145"/>
      <c r="M992" s="145"/>
    </row>
    <row r="993" ht="15.75" customHeight="1">
      <c r="C993" s="143"/>
      <c r="D993" s="143"/>
      <c r="I993" s="145"/>
      <c r="J993" s="145"/>
      <c r="K993" s="145"/>
      <c r="L993" s="145"/>
      <c r="M993" s="145"/>
    </row>
    <row r="994" ht="15.75" customHeight="1">
      <c r="C994" s="143"/>
      <c r="D994" s="143"/>
      <c r="I994" s="145"/>
      <c r="J994" s="145"/>
      <c r="K994" s="145"/>
      <c r="L994" s="145"/>
      <c r="M994" s="145"/>
    </row>
    <row r="995" ht="15.75" customHeight="1">
      <c r="C995" s="143"/>
      <c r="D995" s="143"/>
      <c r="I995" s="145"/>
      <c r="J995" s="145"/>
      <c r="K995" s="145"/>
      <c r="L995" s="145"/>
      <c r="M995" s="145"/>
    </row>
    <row r="996" ht="15.75" customHeight="1">
      <c r="C996" s="143"/>
      <c r="D996" s="143"/>
      <c r="I996" s="145"/>
      <c r="J996" s="145"/>
      <c r="K996" s="145"/>
      <c r="L996" s="145"/>
      <c r="M996" s="145"/>
    </row>
    <row r="997" ht="15.75" customHeight="1">
      <c r="C997" s="143"/>
      <c r="D997" s="143"/>
      <c r="I997" s="145"/>
      <c r="J997" s="145"/>
      <c r="K997" s="145"/>
      <c r="L997" s="145"/>
      <c r="M997" s="145"/>
    </row>
    <row r="998" ht="15.75" customHeight="1">
      <c r="C998" s="143"/>
      <c r="D998" s="143"/>
      <c r="I998" s="145"/>
      <c r="J998" s="145"/>
      <c r="K998" s="145"/>
      <c r="L998" s="145"/>
      <c r="M998" s="145"/>
    </row>
    <row r="999" ht="15.75" customHeight="1">
      <c r="C999" s="143"/>
      <c r="D999" s="143"/>
      <c r="I999" s="145"/>
      <c r="J999" s="145"/>
      <c r="K999" s="145"/>
      <c r="L999" s="145"/>
      <c r="M999" s="145"/>
    </row>
    <row r="1000" ht="15.75" customHeight="1">
      <c r="C1000" s="143"/>
      <c r="D1000" s="143"/>
      <c r="I1000" s="145"/>
      <c r="J1000" s="145"/>
      <c r="K1000" s="145"/>
      <c r="L1000" s="145"/>
      <c r="M1000" s="145"/>
    </row>
    <row r="1001" ht="15.75" customHeight="1">
      <c r="C1001" s="143"/>
      <c r="D1001" s="143"/>
      <c r="I1001" s="145"/>
      <c r="J1001" s="145"/>
      <c r="K1001" s="145"/>
      <c r="L1001" s="145"/>
      <c r="M1001" s="145"/>
    </row>
    <row r="1002" ht="15.75" customHeight="1">
      <c r="C1002" s="143"/>
      <c r="D1002" s="143"/>
      <c r="I1002" s="145"/>
      <c r="J1002" s="145"/>
      <c r="K1002" s="145"/>
      <c r="L1002" s="145"/>
      <c r="M1002" s="145"/>
    </row>
    <row r="1003" ht="15.75" customHeight="1">
      <c r="C1003" s="143"/>
      <c r="D1003" s="143"/>
      <c r="I1003" s="145"/>
      <c r="J1003" s="145"/>
      <c r="K1003" s="145"/>
      <c r="L1003" s="145"/>
      <c r="M1003" s="145"/>
    </row>
    <row r="1004" ht="15.75" customHeight="1">
      <c r="C1004" s="143"/>
      <c r="D1004" s="143"/>
      <c r="I1004" s="145"/>
      <c r="J1004" s="145"/>
      <c r="K1004" s="145"/>
      <c r="L1004" s="145"/>
      <c r="M1004" s="145"/>
    </row>
    <row r="1005" ht="15.75" customHeight="1">
      <c r="C1005" s="143"/>
      <c r="D1005" s="143"/>
      <c r="I1005" s="145"/>
      <c r="J1005" s="145"/>
      <c r="K1005" s="145"/>
      <c r="L1005" s="145"/>
      <c r="M1005" s="145"/>
    </row>
    <row r="1006" ht="15.75" customHeight="1">
      <c r="C1006" s="143"/>
      <c r="D1006" s="143"/>
      <c r="I1006" s="145"/>
      <c r="J1006" s="145"/>
      <c r="K1006" s="145"/>
      <c r="L1006" s="145"/>
      <c r="M1006" s="145"/>
    </row>
    <row r="1007" ht="15.75" customHeight="1">
      <c r="C1007" s="143"/>
      <c r="D1007" s="143"/>
      <c r="I1007" s="145"/>
      <c r="J1007" s="145"/>
      <c r="K1007" s="145"/>
      <c r="L1007" s="145"/>
      <c r="M1007" s="145"/>
    </row>
    <row r="1008" ht="15.75" customHeight="1">
      <c r="C1008" s="143"/>
      <c r="D1008" s="143"/>
      <c r="I1008" s="145"/>
      <c r="J1008" s="145"/>
      <c r="K1008" s="145"/>
      <c r="L1008" s="145"/>
      <c r="M1008" s="145"/>
    </row>
    <row r="1009" ht="15.75" customHeight="1">
      <c r="C1009" s="143"/>
      <c r="D1009" s="143"/>
      <c r="I1009" s="145"/>
      <c r="J1009" s="145"/>
      <c r="K1009" s="145"/>
      <c r="L1009" s="145"/>
      <c r="M1009" s="145"/>
    </row>
    <row r="1010" ht="15.75" customHeight="1">
      <c r="C1010" s="143"/>
      <c r="D1010" s="143"/>
      <c r="I1010" s="145"/>
      <c r="J1010" s="145"/>
      <c r="K1010" s="145"/>
      <c r="L1010" s="145"/>
      <c r="M1010" s="145"/>
    </row>
    <row r="1011" ht="15.75" customHeight="1">
      <c r="C1011" s="143"/>
      <c r="D1011" s="143"/>
      <c r="I1011" s="145"/>
      <c r="J1011" s="145"/>
      <c r="K1011" s="145"/>
      <c r="L1011" s="145"/>
      <c r="M1011" s="145"/>
    </row>
    <row r="1012" ht="15.75" customHeight="1">
      <c r="C1012" s="143"/>
      <c r="D1012" s="143"/>
      <c r="I1012" s="145"/>
      <c r="J1012" s="145"/>
      <c r="K1012" s="145"/>
      <c r="L1012" s="145"/>
      <c r="M1012" s="145"/>
    </row>
    <row r="1013" ht="15.75" customHeight="1">
      <c r="C1013" s="143"/>
      <c r="D1013" s="143"/>
      <c r="I1013" s="145"/>
      <c r="J1013" s="145"/>
      <c r="K1013" s="145"/>
      <c r="L1013" s="145"/>
      <c r="M1013" s="145"/>
    </row>
    <row r="1014" ht="15.75" customHeight="1">
      <c r="C1014" s="143"/>
      <c r="D1014" s="143"/>
      <c r="I1014" s="145"/>
      <c r="J1014" s="145"/>
      <c r="K1014" s="145"/>
      <c r="L1014" s="145"/>
      <c r="M1014" s="145"/>
    </row>
    <row r="1015" ht="15.75" customHeight="1">
      <c r="C1015" s="143"/>
      <c r="D1015" s="143"/>
      <c r="I1015" s="145"/>
      <c r="J1015" s="145"/>
      <c r="K1015" s="145"/>
      <c r="L1015" s="145"/>
      <c r="M1015" s="145"/>
    </row>
    <row r="1016" ht="15.75" customHeight="1">
      <c r="C1016" s="143"/>
      <c r="D1016" s="143"/>
      <c r="I1016" s="145"/>
      <c r="J1016" s="145"/>
      <c r="K1016" s="145"/>
      <c r="L1016" s="145"/>
      <c r="M1016" s="145"/>
    </row>
    <row r="1017" ht="15.75" customHeight="1">
      <c r="C1017" s="143"/>
      <c r="D1017" s="143"/>
      <c r="I1017" s="145"/>
      <c r="J1017" s="145"/>
      <c r="K1017" s="145"/>
      <c r="L1017" s="145"/>
      <c r="M1017" s="145"/>
    </row>
    <row r="1018" ht="15.75" customHeight="1">
      <c r="C1018" s="143"/>
      <c r="D1018" s="143"/>
      <c r="I1018" s="145"/>
      <c r="J1018" s="145"/>
      <c r="K1018" s="145"/>
      <c r="L1018" s="145"/>
      <c r="M1018" s="145"/>
    </row>
    <row r="1019" ht="15.75" customHeight="1">
      <c r="C1019" s="143"/>
      <c r="D1019" s="143"/>
      <c r="I1019" s="145"/>
      <c r="J1019" s="145"/>
      <c r="K1019" s="145"/>
      <c r="L1019" s="145"/>
      <c r="M1019" s="145"/>
    </row>
    <row r="1020" ht="15.75" customHeight="1">
      <c r="C1020" s="143"/>
      <c r="D1020" s="143"/>
      <c r="I1020" s="145"/>
      <c r="J1020" s="145"/>
      <c r="K1020" s="145"/>
      <c r="L1020" s="145"/>
      <c r="M1020" s="145"/>
    </row>
    <row r="1021" ht="15.75" customHeight="1">
      <c r="C1021" s="143"/>
      <c r="D1021" s="143"/>
      <c r="I1021" s="145"/>
      <c r="J1021" s="145"/>
      <c r="K1021" s="145"/>
      <c r="L1021" s="145"/>
      <c r="M1021" s="145"/>
    </row>
    <row r="1022" ht="15.75" customHeight="1">
      <c r="C1022" s="143"/>
      <c r="D1022" s="143"/>
      <c r="I1022" s="145"/>
      <c r="J1022" s="145"/>
      <c r="K1022" s="145"/>
      <c r="L1022" s="145"/>
      <c r="M1022" s="145"/>
    </row>
    <row r="1023" ht="15.75" customHeight="1">
      <c r="C1023" s="143"/>
      <c r="D1023" s="143"/>
      <c r="I1023" s="145"/>
      <c r="J1023" s="145"/>
      <c r="K1023" s="145"/>
      <c r="L1023" s="145"/>
      <c r="M1023" s="145"/>
    </row>
    <row r="1024" ht="15.75" customHeight="1">
      <c r="C1024" s="143"/>
      <c r="D1024" s="143"/>
      <c r="I1024" s="145"/>
      <c r="J1024" s="145"/>
      <c r="K1024" s="145"/>
      <c r="L1024" s="145"/>
      <c r="M1024" s="145"/>
    </row>
    <row r="1025" ht="15.75" customHeight="1">
      <c r="C1025" s="143"/>
      <c r="D1025" s="143"/>
      <c r="I1025" s="145"/>
      <c r="J1025" s="145"/>
      <c r="K1025" s="145"/>
      <c r="L1025" s="145"/>
      <c r="M1025" s="145"/>
    </row>
    <row r="1026" ht="15.75" customHeight="1">
      <c r="C1026" s="143"/>
      <c r="D1026" s="143"/>
      <c r="I1026" s="145"/>
      <c r="J1026" s="145"/>
      <c r="K1026" s="145"/>
      <c r="L1026" s="145"/>
      <c r="M1026" s="145"/>
    </row>
    <row r="1027" ht="15.75" customHeight="1">
      <c r="C1027" s="143"/>
      <c r="D1027" s="143"/>
      <c r="I1027" s="145"/>
      <c r="J1027" s="145"/>
      <c r="K1027" s="145"/>
      <c r="L1027" s="145"/>
      <c r="M1027" s="145"/>
    </row>
    <row r="1028" ht="15.75" customHeight="1">
      <c r="C1028" s="143"/>
      <c r="D1028" s="143"/>
      <c r="I1028" s="145"/>
      <c r="J1028" s="145"/>
      <c r="K1028" s="145"/>
      <c r="L1028" s="145"/>
      <c r="M1028" s="145"/>
    </row>
    <row r="1029" ht="15.75" customHeight="1">
      <c r="C1029" s="143"/>
      <c r="D1029" s="143"/>
      <c r="I1029" s="145"/>
      <c r="J1029" s="145"/>
      <c r="K1029" s="145"/>
      <c r="L1029" s="145"/>
      <c r="M1029" s="145"/>
    </row>
    <row r="1030" ht="15.75" customHeight="1">
      <c r="C1030" s="143"/>
      <c r="D1030" s="143"/>
      <c r="I1030" s="145"/>
      <c r="J1030" s="145"/>
      <c r="K1030" s="145"/>
      <c r="L1030" s="145"/>
      <c r="M1030" s="145"/>
    </row>
    <row r="1031" ht="15.75" customHeight="1">
      <c r="C1031" s="143"/>
      <c r="D1031" s="143"/>
      <c r="I1031" s="145"/>
      <c r="J1031" s="145"/>
      <c r="K1031" s="145"/>
      <c r="L1031" s="145"/>
      <c r="M1031" s="145"/>
    </row>
    <row r="1032" ht="15.75" customHeight="1">
      <c r="C1032" s="143"/>
      <c r="D1032" s="143"/>
      <c r="I1032" s="145"/>
      <c r="J1032" s="145"/>
      <c r="K1032" s="145"/>
      <c r="L1032" s="145"/>
      <c r="M1032" s="145"/>
    </row>
    <row r="1033" ht="15.75" customHeight="1">
      <c r="C1033" s="143"/>
      <c r="D1033" s="143"/>
      <c r="I1033" s="145"/>
      <c r="J1033" s="145"/>
      <c r="K1033" s="145"/>
      <c r="L1033" s="145"/>
      <c r="M1033" s="145"/>
    </row>
    <row r="1034" ht="15.75" customHeight="1">
      <c r="C1034" s="143"/>
      <c r="D1034" s="143"/>
      <c r="I1034" s="145"/>
      <c r="J1034" s="145"/>
      <c r="K1034" s="145"/>
      <c r="L1034" s="145"/>
      <c r="M1034" s="145"/>
    </row>
    <row r="1035" ht="15.75" customHeight="1">
      <c r="C1035" s="143"/>
      <c r="D1035" s="143"/>
      <c r="I1035" s="145"/>
      <c r="J1035" s="145"/>
      <c r="K1035" s="145"/>
      <c r="L1035" s="145"/>
      <c r="M1035" s="145"/>
    </row>
    <row r="1036" ht="15.75" customHeight="1">
      <c r="C1036" s="143"/>
      <c r="D1036" s="143"/>
      <c r="I1036" s="145"/>
      <c r="J1036" s="145"/>
      <c r="K1036" s="145"/>
      <c r="L1036" s="145"/>
      <c r="M1036" s="145"/>
    </row>
    <row r="1037" ht="15.75" customHeight="1">
      <c r="C1037" s="143"/>
      <c r="D1037" s="143"/>
      <c r="I1037" s="145"/>
      <c r="J1037" s="145"/>
      <c r="K1037" s="145"/>
      <c r="L1037" s="145"/>
      <c r="M1037" s="145"/>
    </row>
    <row r="1038" ht="15.75" customHeight="1">
      <c r="C1038" s="143"/>
      <c r="D1038" s="143"/>
      <c r="I1038" s="145"/>
      <c r="J1038" s="145"/>
      <c r="K1038" s="145"/>
      <c r="L1038" s="145"/>
      <c r="M1038" s="145"/>
    </row>
    <row r="1039" ht="15.75" customHeight="1">
      <c r="C1039" s="143"/>
      <c r="D1039" s="143"/>
      <c r="I1039" s="145"/>
      <c r="J1039" s="145"/>
      <c r="K1039" s="145"/>
      <c r="L1039" s="145"/>
      <c r="M1039" s="145"/>
    </row>
    <row r="1040" ht="15.75" customHeight="1">
      <c r="C1040" s="143"/>
      <c r="D1040" s="143"/>
      <c r="I1040" s="145"/>
      <c r="J1040" s="145"/>
      <c r="K1040" s="145"/>
      <c r="L1040" s="145"/>
      <c r="M1040" s="145"/>
    </row>
    <row r="1041" ht="15.75" customHeight="1">
      <c r="C1041" s="143"/>
      <c r="D1041" s="143"/>
      <c r="I1041" s="145"/>
      <c r="J1041" s="145"/>
      <c r="K1041" s="145"/>
      <c r="L1041" s="145"/>
      <c r="M1041" s="145"/>
    </row>
    <row r="1042" ht="15.75" customHeight="1">
      <c r="C1042" s="143"/>
      <c r="D1042" s="143"/>
      <c r="I1042" s="145"/>
      <c r="J1042" s="145"/>
      <c r="K1042" s="145"/>
      <c r="L1042" s="145"/>
      <c r="M1042" s="145"/>
    </row>
    <row r="1043" ht="15.75" customHeight="1">
      <c r="C1043" s="143"/>
      <c r="D1043" s="143"/>
      <c r="I1043" s="145"/>
      <c r="J1043" s="145"/>
      <c r="K1043" s="145"/>
      <c r="L1043" s="145"/>
      <c r="M1043" s="145"/>
    </row>
    <row r="1044" ht="15.75" customHeight="1">
      <c r="C1044" s="143"/>
      <c r="D1044" s="143"/>
      <c r="I1044" s="145"/>
      <c r="J1044" s="145"/>
      <c r="K1044" s="145"/>
      <c r="L1044" s="145"/>
      <c r="M1044" s="145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1" t="s">
        <v>22</v>
      </c>
      <c r="D4" s="21" t="s">
        <v>23</v>
      </c>
      <c r="E4" s="18"/>
      <c r="F4" s="25">
        <v>46298.0</v>
      </c>
      <c r="G4" s="28"/>
      <c r="H4" s="31">
        <v>350000.0</v>
      </c>
      <c r="I4" s="33" t="s">
        <v>28</v>
      </c>
      <c r="J4" s="33" t="s">
        <v>30</v>
      </c>
      <c r="K4" s="33" t="s">
        <v>31</v>
      </c>
      <c r="L4" s="33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1" t="s">
        <v>36</v>
      </c>
      <c r="D5" s="21" t="s">
        <v>40</v>
      </c>
      <c r="E5" s="18"/>
      <c r="F5" s="33" t="s">
        <v>42</v>
      </c>
      <c r="G5" s="28"/>
      <c r="H5" s="31">
        <v>50000.0</v>
      </c>
      <c r="I5" s="33" t="s">
        <v>28</v>
      </c>
      <c r="J5" s="33" t="s">
        <v>30</v>
      </c>
      <c r="K5" s="33" t="s">
        <v>30</v>
      </c>
      <c r="L5" s="33" t="s">
        <v>29</v>
      </c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21" t="s">
        <v>47</v>
      </c>
      <c r="D6" s="21" t="s">
        <v>49</v>
      </c>
      <c r="E6" s="18"/>
      <c r="F6" s="33" t="s">
        <v>50</v>
      </c>
      <c r="G6" s="45" t="s">
        <v>44</v>
      </c>
      <c r="H6" s="31" t="s">
        <v>44</v>
      </c>
      <c r="I6" s="33" t="s">
        <v>28</v>
      </c>
      <c r="J6" s="33" t="s">
        <v>30</v>
      </c>
      <c r="K6" s="33" t="s">
        <v>30</v>
      </c>
      <c r="L6" s="33" t="s">
        <v>29</v>
      </c>
      <c r="M6" s="33" t="s">
        <v>46</v>
      </c>
      <c r="N6" s="43"/>
      <c r="O6" s="43"/>
      <c r="P6" s="43"/>
      <c r="Q6" s="1"/>
      <c r="R6" s="1"/>
    </row>
    <row r="7" ht="15.75" customHeight="1">
      <c r="A7" s="1"/>
      <c r="B7" s="18">
        <v>4.0</v>
      </c>
      <c r="C7" s="21" t="s">
        <v>57</v>
      </c>
      <c r="D7" s="21" t="s">
        <v>37</v>
      </c>
      <c r="E7" s="18"/>
      <c r="F7" s="33" t="s">
        <v>60</v>
      </c>
      <c r="G7" s="28"/>
      <c r="H7" s="31">
        <v>100000.0</v>
      </c>
      <c r="I7" s="33" t="s">
        <v>27</v>
      </c>
      <c r="J7" s="18"/>
      <c r="K7" s="18"/>
      <c r="L7" s="33" t="s">
        <v>29</v>
      </c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21" t="s">
        <v>63</v>
      </c>
      <c r="D8" s="21" t="s">
        <v>66</v>
      </c>
      <c r="E8" s="18"/>
      <c r="F8" s="33" t="s">
        <v>68</v>
      </c>
      <c r="G8" s="28"/>
      <c r="H8" s="31">
        <v>470000.0</v>
      </c>
      <c r="I8" s="33" t="s">
        <v>28</v>
      </c>
      <c r="J8" s="33" t="s">
        <v>30</v>
      </c>
      <c r="K8" s="33" t="s">
        <v>31</v>
      </c>
      <c r="L8" s="33" t="s">
        <v>29</v>
      </c>
      <c r="M8" s="33" t="s">
        <v>65</v>
      </c>
      <c r="N8" s="43"/>
      <c r="O8" s="43"/>
      <c r="P8" s="43"/>
      <c r="Q8" s="1"/>
      <c r="R8" s="1"/>
    </row>
    <row r="9" ht="15.75" customHeight="1">
      <c r="A9" s="1"/>
      <c r="B9" s="18">
        <v>6.0</v>
      </c>
      <c r="C9" s="21" t="s">
        <v>71</v>
      </c>
      <c r="D9" s="21" t="s">
        <v>23</v>
      </c>
      <c r="E9" s="18"/>
      <c r="F9" s="33" t="s">
        <v>38</v>
      </c>
      <c r="G9" s="28"/>
      <c r="H9" s="31">
        <v>250000.0</v>
      </c>
      <c r="I9" s="33" t="s">
        <v>28</v>
      </c>
      <c r="J9" s="33" t="s">
        <v>30</v>
      </c>
      <c r="K9" s="33" t="s">
        <v>31</v>
      </c>
      <c r="L9" s="33" t="s">
        <v>29</v>
      </c>
      <c r="M9" s="33" t="s">
        <v>46</v>
      </c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21" t="s">
        <v>76</v>
      </c>
      <c r="D10" s="21" t="s">
        <v>23</v>
      </c>
      <c r="E10" s="18"/>
      <c r="F10" s="33" t="s">
        <v>38</v>
      </c>
      <c r="G10" s="28"/>
      <c r="H10" s="31">
        <v>270000.0</v>
      </c>
      <c r="I10" s="33" t="s">
        <v>28</v>
      </c>
      <c r="J10" s="33" t="s">
        <v>30</v>
      </c>
      <c r="K10" s="33" t="s">
        <v>31</v>
      </c>
      <c r="L10" s="33" t="s">
        <v>29</v>
      </c>
      <c r="M10" s="33" t="s">
        <v>65</v>
      </c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21" t="s">
        <v>80</v>
      </c>
      <c r="D11" s="21" t="s">
        <v>23</v>
      </c>
      <c r="E11" s="18"/>
      <c r="F11" s="33" t="s">
        <v>38</v>
      </c>
      <c r="G11" s="28"/>
      <c r="H11" s="31">
        <v>270000.0</v>
      </c>
      <c r="I11" s="33" t="s">
        <v>28</v>
      </c>
      <c r="J11" s="33" t="s">
        <v>30</v>
      </c>
      <c r="K11" s="33" t="s">
        <v>31</v>
      </c>
      <c r="L11" s="33" t="s">
        <v>29</v>
      </c>
      <c r="M11" s="33" t="s">
        <v>65</v>
      </c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21" t="s">
        <v>84</v>
      </c>
      <c r="D12" s="21" t="s">
        <v>23</v>
      </c>
      <c r="E12" s="18"/>
      <c r="F12" s="57">
        <v>46299.0</v>
      </c>
      <c r="G12" s="28"/>
      <c r="H12" s="31">
        <v>250000.0</v>
      </c>
      <c r="I12" s="33" t="s">
        <v>28</v>
      </c>
      <c r="J12" s="33" t="s">
        <v>30</v>
      </c>
      <c r="K12" s="33" t="s">
        <v>31</v>
      </c>
      <c r="L12" s="33" t="s">
        <v>29</v>
      </c>
      <c r="M12" s="33" t="s">
        <v>46</v>
      </c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21" t="s">
        <v>92</v>
      </c>
      <c r="D13" s="21" t="s">
        <v>23</v>
      </c>
      <c r="E13" s="18"/>
      <c r="F13" s="57">
        <v>46299.0</v>
      </c>
      <c r="G13" s="28"/>
      <c r="H13" s="31">
        <v>290000.0</v>
      </c>
      <c r="I13" s="33" t="s">
        <v>28</v>
      </c>
      <c r="J13" s="33" t="s">
        <v>30</v>
      </c>
      <c r="K13" s="18"/>
      <c r="L13" s="33" t="s">
        <v>29</v>
      </c>
      <c r="M13" s="33" t="s">
        <v>87</v>
      </c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21" t="s">
        <v>96</v>
      </c>
      <c r="D14" s="21" t="s">
        <v>23</v>
      </c>
      <c r="E14" s="18"/>
      <c r="F14" s="57">
        <v>46299.0</v>
      </c>
      <c r="G14" s="28"/>
      <c r="H14" s="31">
        <v>270000.0</v>
      </c>
      <c r="I14" s="33" t="s">
        <v>28</v>
      </c>
      <c r="J14" s="33" t="s">
        <v>30</v>
      </c>
      <c r="K14" s="18"/>
      <c r="L14" s="33" t="s">
        <v>29</v>
      </c>
      <c r="M14" s="33" t="s">
        <v>99</v>
      </c>
      <c r="N14" s="43"/>
      <c r="O14" s="43"/>
      <c r="P14" s="43"/>
      <c r="Q14" s="1"/>
      <c r="R14" s="1"/>
    </row>
    <row r="15" ht="15.75" customHeight="1">
      <c r="A15" s="1"/>
      <c r="B15" s="18">
        <v>12.0</v>
      </c>
      <c r="C15" s="21" t="s">
        <v>101</v>
      </c>
      <c r="D15" s="21" t="s">
        <v>23</v>
      </c>
      <c r="E15" s="18"/>
      <c r="F15" s="57">
        <v>46299.0</v>
      </c>
      <c r="G15" s="45">
        <v>450000.0</v>
      </c>
      <c r="H15" s="31">
        <v>180000.0</v>
      </c>
      <c r="I15" s="33" t="s">
        <v>28</v>
      </c>
      <c r="J15" s="33" t="s">
        <v>30</v>
      </c>
      <c r="K15" s="33" t="s">
        <v>31</v>
      </c>
      <c r="L15" s="33" t="s">
        <v>29</v>
      </c>
      <c r="M15" s="33" t="s">
        <v>99</v>
      </c>
      <c r="N15" s="43"/>
      <c r="O15" s="43"/>
      <c r="P15" s="43"/>
      <c r="Q15" s="1"/>
      <c r="R15" s="1"/>
    </row>
    <row r="16" ht="15.75" customHeight="1">
      <c r="A16" s="1"/>
      <c r="B16" s="18">
        <v>13.0</v>
      </c>
      <c r="C16" s="61" t="s">
        <v>104</v>
      </c>
      <c r="D16" s="21" t="s">
        <v>23</v>
      </c>
      <c r="E16" s="18"/>
      <c r="F16" s="57">
        <v>46299.0</v>
      </c>
      <c r="G16" s="45">
        <v>250000.0</v>
      </c>
      <c r="H16" s="63"/>
      <c r="I16" s="33" t="s">
        <v>28</v>
      </c>
      <c r="J16" s="33" t="s">
        <v>30</v>
      </c>
      <c r="K16" s="18"/>
      <c r="L16" s="33" t="s">
        <v>29</v>
      </c>
      <c r="M16" s="33" t="s">
        <v>87</v>
      </c>
      <c r="N16" s="43"/>
      <c r="O16" s="43"/>
      <c r="P16" s="43"/>
      <c r="Q16" s="1"/>
      <c r="R16" s="1"/>
    </row>
    <row r="17" ht="15.75" customHeight="1">
      <c r="A17" s="1"/>
      <c r="B17" s="18">
        <v>14.0</v>
      </c>
      <c r="C17" s="21" t="s">
        <v>107</v>
      </c>
      <c r="D17" s="21" t="s">
        <v>23</v>
      </c>
      <c r="E17" s="18"/>
      <c r="F17" s="57">
        <v>46299.0</v>
      </c>
      <c r="G17" s="45">
        <v>370000.0</v>
      </c>
      <c r="H17" s="63"/>
      <c r="I17" s="33" t="s">
        <v>28</v>
      </c>
      <c r="J17" s="33" t="s">
        <v>30</v>
      </c>
      <c r="K17" s="18"/>
      <c r="L17" s="18"/>
      <c r="M17" s="33" t="s">
        <v>65</v>
      </c>
      <c r="N17" s="43"/>
      <c r="O17" s="43"/>
      <c r="P17" s="43"/>
      <c r="Q17" s="1"/>
      <c r="R17" s="1"/>
    </row>
    <row r="18" ht="15.75" customHeight="1">
      <c r="A18" s="1"/>
      <c r="B18" s="18">
        <v>15.0</v>
      </c>
      <c r="C18" s="21" t="s">
        <v>109</v>
      </c>
      <c r="D18" s="21" t="s">
        <v>23</v>
      </c>
      <c r="E18" s="18"/>
      <c r="F18" s="57">
        <v>46299.0</v>
      </c>
      <c r="G18" s="45">
        <v>290000.0</v>
      </c>
      <c r="H18" s="63"/>
      <c r="I18" s="33" t="s">
        <v>28</v>
      </c>
      <c r="J18" s="33" t="s">
        <v>30</v>
      </c>
      <c r="K18" s="18"/>
      <c r="L18" s="18"/>
      <c r="M18" s="33" t="s">
        <v>46</v>
      </c>
      <c r="N18" s="43"/>
      <c r="O18" s="43"/>
      <c r="P18" s="43"/>
      <c r="Q18" s="69"/>
      <c r="R18" s="1"/>
    </row>
    <row r="19" ht="15.75" customHeight="1">
      <c r="A19" s="1"/>
      <c r="B19" s="18">
        <v>16.0</v>
      </c>
      <c r="C19" s="72" t="s">
        <v>111</v>
      </c>
      <c r="D19" s="21" t="s">
        <v>23</v>
      </c>
      <c r="E19" s="18"/>
      <c r="F19" s="57">
        <v>46299.0</v>
      </c>
      <c r="G19" s="45">
        <v>460000.0</v>
      </c>
      <c r="H19" s="63"/>
      <c r="I19" s="33" t="s">
        <v>28</v>
      </c>
      <c r="J19" s="33" t="s">
        <v>30</v>
      </c>
      <c r="K19" s="18"/>
      <c r="L19" s="33" t="s">
        <v>29</v>
      </c>
      <c r="M19" s="33" t="s">
        <v>46</v>
      </c>
      <c r="N19" s="43"/>
      <c r="O19" s="43"/>
      <c r="P19" s="43"/>
      <c r="Q19" s="1"/>
      <c r="R19" s="1"/>
    </row>
    <row r="20" ht="15.75" customHeight="1">
      <c r="A20" s="1"/>
      <c r="B20" s="18">
        <v>17.0</v>
      </c>
      <c r="C20" s="21" t="s">
        <v>116</v>
      </c>
      <c r="D20" s="21" t="s">
        <v>24</v>
      </c>
      <c r="E20" s="18"/>
      <c r="F20" s="57">
        <v>46299.0</v>
      </c>
      <c r="G20" s="28"/>
      <c r="H20" s="31">
        <v>610000.0</v>
      </c>
      <c r="I20" s="33" t="s">
        <v>28</v>
      </c>
      <c r="J20" s="33" t="s">
        <v>30</v>
      </c>
      <c r="K20" s="18"/>
      <c r="L20" s="33" t="s">
        <v>29</v>
      </c>
      <c r="M20" s="33" t="s">
        <v>87</v>
      </c>
      <c r="N20" s="43"/>
      <c r="O20" s="43"/>
      <c r="P20" s="43"/>
      <c r="Q20" s="1"/>
      <c r="R20" s="1"/>
    </row>
    <row r="21" ht="15.75" customHeight="1">
      <c r="A21" s="1"/>
      <c r="B21" s="18">
        <v>18.0</v>
      </c>
      <c r="C21" s="21" t="s">
        <v>118</v>
      </c>
      <c r="D21" s="21" t="s">
        <v>23</v>
      </c>
      <c r="E21" s="18"/>
      <c r="F21" s="57">
        <v>46299.0</v>
      </c>
      <c r="G21" s="28"/>
      <c r="H21" s="31">
        <v>270000.0</v>
      </c>
      <c r="I21" s="33" t="s">
        <v>28</v>
      </c>
      <c r="J21" s="33" t="s">
        <v>30</v>
      </c>
      <c r="K21" s="18"/>
      <c r="L21" s="33" t="s">
        <v>29</v>
      </c>
      <c r="M21" s="33" t="s">
        <v>99</v>
      </c>
      <c r="N21" s="43"/>
      <c r="O21" s="43"/>
      <c r="P21" s="43"/>
      <c r="Q21" s="1"/>
      <c r="R21" s="1"/>
    </row>
    <row r="22" ht="15.75" customHeight="1">
      <c r="A22" s="1"/>
      <c r="B22" s="18">
        <v>19.0</v>
      </c>
      <c r="C22" s="81" t="s">
        <v>122</v>
      </c>
      <c r="D22" s="21" t="s">
        <v>23</v>
      </c>
      <c r="E22" s="18"/>
      <c r="F22" s="57">
        <v>46299.0</v>
      </c>
      <c r="G22" s="45">
        <v>270000.0</v>
      </c>
      <c r="H22" s="63"/>
      <c r="I22" s="33" t="s">
        <v>28</v>
      </c>
      <c r="J22" s="33" t="s">
        <v>30</v>
      </c>
      <c r="K22" s="33" t="s">
        <v>31</v>
      </c>
      <c r="L22" s="33" t="s">
        <v>29</v>
      </c>
      <c r="M22" s="33" t="s">
        <v>65</v>
      </c>
      <c r="N22" s="43"/>
      <c r="O22" s="43"/>
      <c r="P22" s="43"/>
      <c r="Q22" s="1"/>
      <c r="R22" s="1"/>
    </row>
    <row r="23" ht="15.75" customHeight="1">
      <c r="A23" s="1"/>
      <c r="B23" s="18">
        <v>20.0</v>
      </c>
      <c r="C23" s="21" t="s">
        <v>126</v>
      </c>
      <c r="D23" s="88"/>
      <c r="E23" s="18"/>
      <c r="F23" s="57">
        <v>46299.0</v>
      </c>
      <c r="G23" s="28"/>
      <c r="H23" s="31">
        <v>330000.0</v>
      </c>
      <c r="I23" s="33" t="s">
        <v>28</v>
      </c>
      <c r="J23" s="33" t="s">
        <v>30</v>
      </c>
      <c r="K23" s="33" t="s">
        <v>31</v>
      </c>
      <c r="L23" s="33" t="s">
        <v>29</v>
      </c>
      <c r="M23" s="33" t="s">
        <v>87</v>
      </c>
      <c r="N23" s="43"/>
      <c r="O23" s="43"/>
      <c r="P23" s="43"/>
      <c r="Q23" s="1"/>
      <c r="R23" s="1"/>
    </row>
    <row r="24" ht="15.75" customHeight="1">
      <c r="A24" s="1"/>
      <c r="B24" s="18">
        <v>21.0</v>
      </c>
      <c r="C24" s="21" t="s">
        <v>129</v>
      </c>
      <c r="D24" s="88"/>
      <c r="E24" s="18"/>
      <c r="F24" s="57">
        <v>46299.0</v>
      </c>
      <c r="G24" s="45">
        <v>250000.0</v>
      </c>
      <c r="H24" s="63"/>
      <c r="I24" s="33" t="s">
        <v>28</v>
      </c>
      <c r="J24" s="33" t="s">
        <v>30</v>
      </c>
      <c r="K24" s="18"/>
      <c r="L24" s="33" t="s">
        <v>29</v>
      </c>
      <c r="M24" s="33" t="s">
        <v>65</v>
      </c>
      <c r="N24" s="43"/>
      <c r="O24" s="43"/>
      <c r="P24" s="43"/>
      <c r="Q24" s="1"/>
      <c r="R24" s="1"/>
    </row>
    <row r="25" ht="15.75" customHeight="1">
      <c r="A25" s="1"/>
      <c r="B25" s="18">
        <v>22.0</v>
      </c>
      <c r="C25" s="21" t="s">
        <v>133</v>
      </c>
      <c r="D25" s="21" t="s">
        <v>23</v>
      </c>
      <c r="E25" s="18"/>
      <c r="F25" s="57">
        <v>46299.0</v>
      </c>
      <c r="G25" s="45">
        <v>290000.0</v>
      </c>
      <c r="H25" s="63"/>
      <c r="I25" s="33" t="s">
        <v>28</v>
      </c>
      <c r="J25" s="33" t="s">
        <v>30</v>
      </c>
      <c r="K25" s="18"/>
      <c r="L25" s="33" t="s">
        <v>29</v>
      </c>
      <c r="M25" s="33" t="s">
        <v>46</v>
      </c>
      <c r="N25" s="43"/>
      <c r="O25" s="43"/>
      <c r="P25" s="43"/>
      <c r="Q25" s="1"/>
      <c r="R25" s="1"/>
    </row>
    <row r="26" ht="15.75" customHeight="1">
      <c r="A26" s="1"/>
      <c r="B26" s="18">
        <v>23.0</v>
      </c>
      <c r="C26" s="21" t="s">
        <v>136</v>
      </c>
      <c r="D26" s="21" t="s">
        <v>23</v>
      </c>
      <c r="E26" s="18"/>
      <c r="F26" s="57">
        <v>46299.0</v>
      </c>
      <c r="G26" s="28"/>
      <c r="H26" s="31">
        <v>250000.0</v>
      </c>
      <c r="I26" s="33" t="s">
        <v>28</v>
      </c>
      <c r="J26" s="33" t="s">
        <v>30</v>
      </c>
      <c r="K26" s="33" t="s">
        <v>31</v>
      </c>
      <c r="L26" s="33" t="s">
        <v>29</v>
      </c>
      <c r="M26" s="33" t="s">
        <v>99</v>
      </c>
      <c r="N26" s="43"/>
      <c r="O26" s="43"/>
      <c r="P26" s="43"/>
      <c r="Q26" s="1"/>
      <c r="R26" s="1"/>
    </row>
    <row r="27" ht="15.75" customHeight="1">
      <c r="A27" s="1"/>
      <c r="B27" s="18">
        <v>24.0</v>
      </c>
      <c r="C27" s="61" t="s">
        <v>147</v>
      </c>
      <c r="D27" s="21" t="s">
        <v>23</v>
      </c>
      <c r="E27" s="18"/>
      <c r="F27" s="57">
        <v>46299.0</v>
      </c>
      <c r="G27" s="45">
        <v>430000.0</v>
      </c>
      <c r="H27" s="63"/>
      <c r="I27" s="33" t="s">
        <v>28</v>
      </c>
      <c r="J27" s="33" t="s">
        <v>30</v>
      </c>
      <c r="K27" s="18"/>
      <c r="L27" s="33" t="s">
        <v>29</v>
      </c>
      <c r="M27" s="33" t="s">
        <v>87</v>
      </c>
      <c r="N27" s="43"/>
      <c r="O27" s="43"/>
      <c r="P27" s="43"/>
      <c r="Q27" s="1"/>
      <c r="R27" s="1"/>
    </row>
    <row r="28" ht="15.75" customHeight="1">
      <c r="A28" s="1"/>
      <c r="B28" s="18">
        <v>25.0</v>
      </c>
      <c r="C28" s="61" t="s">
        <v>150</v>
      </c>
      <c r="D28" s="21" t="s">
        <v>23</v>
      </c>
      <c r="E28" s="18"/>
      <c r="F28" s="57">
        <v>46299.0</v>
      </c>
      <c r="G28" s="28"/>
      <c r="H28" s="31">
        <v>150000.0</v>
      </c>
      <c r="I28" s="33" t="s">
        <v>28</v>
      </c>
      <c r="J28" s="33" t="s">
        <v>30</v>
      </c>
      <c r="K28" s="18"/>
      <c r="L28" s="33" t="s">
        <v>29</v>
      </c>
      <c r="M28" s="33" t="s">
        <v>99</v>
      </c>
      <c r="N28" s="43"/>
      <c r="O28" s="43"/>
      <c r="P28" s="43"/>
      <c r="Q28" s="1"/>
      <c r="R28" s="1"/>
    </row>
    <row r="29" ht="15.75" customHeight="1">
      <c r="A29" s="1"/>
      <c r="B29" s="18">
        <v>26.0</v>
      </c>
      <c r="C29" s="21" t="s">
        <v>152</v>
      </c>
      <c r="D29" s="21" t="s">
        <v>23</v>
      </c>
      <c r="E29" s="18"/>
      <c r="F29" s="57">
        <v>46299.0</v>
      </c>
      <c r="G29" s="28"/>
      <c r="H29" s="31">
        <v>350000.0</v>
      </c>
      <c r="I29" s="33" t="s">
        <v>28</v>
      </c>
      <c r="J29" s="33" t="s">
        <v>30</v>
      </c>
      <c r="K29" s="18"/>
      <c r="L29" s="18"/>
      <c r="M29" s="33" t="s">
        <v>46</v>
      </c>
      <c r="N29" s="43"/>
      <c r="O29" s="43"/>
      <c r="P29" s="43"/>
      <c r="Q29" s="1"/>
      <c r="R29" s="1"/>
    </row>
    <row r="30" ht="15.75" customHeight="1">
      <c r="A30" s="1"/>
      <c r="B30" s="18">
        <v>27.0</v>
      </c>
      <c r="C30" s="61" t="s">
        <v>154</v>
      </c>
      <c r="D30" s="88"/>
      <c r="E30" s="18"/>
      <c r="F30" s="57">
        <v>46299.0</v>
      </c>
      <c r="G30" s="45">
        <v>250000.0</v>
      </c>
      <c r="H30" s="63"/>
      <c r="I30" s="33" t="s">
        <v>28</v>
      </c>
      <c r="J30" s="33" t="s">
        <v>30</v>
      </c>
      <c r="K30" s="18"/>
      <c r="L30" s="33" t="s">
        <v>29</v>
      </c>
      <c r="M30" s="33" t="s">
        <v>87</v>
      </c>
      <c r="N30" s="43"/>
      <c r="O30" s="43"/>
      <c r="P30" s="43"/>
      <c r="Q30" s="69"/>
      <c r="R30" s="1"/>
    </row>
    <row r="31" ht="15.75" customHeight="1">
      <c r="A31" s="1"/>
      <c r="B31" s="18">
        <v>28.0</v>
      </c>
      <c r="C31" s="21" t="s">
        <v>156</v>
      </c>
      <c r="D31" s="21" t="s">
        <v>23</v>
      </c>
      <c r="E31" s="18"/>
      <c r="F31" s="57">
        <v>46299.0</v>
      </c>
      <c r="G31" s="28"/>
      <c r="H31" s="31">
        <v>310000.0</v>
      </c>
      <c r="I31" s="33" t="s">
        <v>28</v>
      </c>
      <c r="J31" s="33" t="s">
        <v>30</v>
      </c>
      <c r="K31" s="18"/>
      <c r="L31" s="33" t="s">
        <v>29</v>
      </c>
      <c r="M31" s="33" t="s">
        <v>99</v>
      </c>
      <c r="N31" s="43"/>
      <c r="O31" s="43"/>
      <c r="P31" s="43"/>
      <c r="Q31" s="1"/>
      <c r="R31" s="1"/>
    </row>
    <row r="32" ht="15.75" customHeight="1">
      <c r="A32" s="1"/>
      <c r="B32" s="18">
        <v>29.0</v>
      </c>
      <c r="C32" s="61" t="s">
        <v>158</v>
      </c>
      <c r="D32" s="21" t="s">
        <v>23</v>
      </c>
      <c r="E32" s="18"/>
      <c r="F32" s="105"/>
      <c r="G32" s="28"/>
      <c r="H32" s="31">
        <v>330000.0</v>
      </c>
      <c r="I32" s="33" t="s">
        <v>28</v>
      </c>
      <c r="J32" s="33" t="s">
        <v>30</v>
      </c>
      <c r="K32" s="18"/>
      <c r="L32" s="33" t="s">
        <v>29</v>
      </c>
      <c r="M32" s="33" t="s">
        <v>46</v>
      </c>
      <c r="N32" s="43"/>
      <c r="O32" s="43"/>
      <c r="P32" s="43"/>
      <c r="Q32" s="1"/>
      <c r="R32" s="1"/>
    </row>
    <row r="33" ht="15.75" customHeight="1">
      <c r="A33" s="1"/>
      <c r="B33" s="18">
        <v>30.0</v>
      </c>
      <c r="C33" s="21" t="s">
        <v>160</v>
      </c>
      <c r="D33" s="21" t="s">
        <v>23</v>
      </c>
      <c r="E33" s="18"/>
      <c r="F33" s="57">
        <v>46299.0</v>
      </c>
      <c r="G33" s="45">
        <v>250000.0</v>
      </c>
      <c r="H33" s="63"/>
      <c r="I33" s="33" t="s">
        <v>28</v>
      </c>
      <c r="J33" s="33" t="s">
        <v>30</v>
      </c>
      <c r="K33" s="18"/>
      <c r="L33" s="33" t="s">
        <v>29</v>
      </c>
      <c r="M33" s="33" t="s">
        <v>87</v>
      </c>
      <c r="N33" s="43"/>
      <c r="O33" s="43"/>
      <c r="P33" s="43"/>
      <c r="Q33" s="1"/>
      <c r="R33" s="1"/>
    </row>
    <row r="34" ht="15.75" customHeight="1">
      <c r="A34" s="1"/>
      <c r="B34" s="18">
        <v>31.0</v>
      </c>
      <c r="C34" s="21" t="s">
        <v>162</v>
      </c>
      <c r="D34" s="21" t="s">
        <v>23</v>
      </c>
      <c r="E34" s="18"/>
      <c r="F34" s="57">
        <v>46299.0</v>
      </c>
      <c r="G34" s="45">
        <v>250000.0</v>
      </c>
      <c r="H34" s="63"/>
      <c r="I34" s="33" t="s">
        <v>28</v>
      </c>
      <c r="J34" s="33" t="s">
        <v>30</v>
      </c>
      <c r="K34" s="33" t="s">
        <v>31</v>
      </c>
      <c r="L34" s="33" t="s">
        <v>29</v>
      </c>
      <c r="M34" s="33" t="s">
        <v>99</v>
      </c>
      <c r="N34" s="43"/>
      <c r="O34" s="43"/>
      <c r="P34" s="43"/>
      <c r="Q34" s="1"/>
      <c r="R34" s="1"/>
    </row>
    <row r="35" ht="15.75" customHeight="1">
      <c r="A35" s="1"/>
      <c r="B35" s="18">
        <v>32.0</v>
      </c>
      <c r="C35" s="21" t="s">
        <v>163</v>
      </c>
      <c r="D35" s="21" t="s">
        <v>24</v>
      </c>
      <c r="E35" s="18"/>
      <c r="F35" s="57">
        <v>46299.0</v>
      </c>
      <c r="G35" s="45">
        <v>420000.0</v>
      </c>
      <c r="H35" s="63"/>
      <c r="I35" s="33" t="s">
        <v>28</v>
      </c>
      <c r="J35" s="33" t="s">
        <v>30</v>
      </c>
      <c r="K35" s="33" t="s">
        <v>31</v>
      </c>
      <c r="L35" s="33" t="s">
        <v>29</v>
      </c>
      <c r="M35" s="33" t="s">
        <v>65</v>
      </c>
      <c r="N35" s="43"/>
      <c r="O35" s="43"/>
      <c r="P35" s="43"/>
      <c r="Q35" s="1"/>
      <c r="R35" s="1"/>
    </row>
    <row r="36" ht="15.75" customHeight="1">
      <c r="A36" s="1"/>
      <c r="B36" s="18">
        <v>33.0</v>
      </c>
      <c r="C36" s="21" t="s">
        <v>165</v>
      </c>
      <c r="D36" s="21" t="s">
        <v>24</v>
      </c>
      <c r="E36" s="18"/>
      <c r="F36" s="57">
        <v>46299.0</v>
      </c>
      <c r="G36" s="45">
        <v>580000.0</v>
      </c>
      <c r="H36" s="63"/>
      <c r="I36" s="33" t="s">
        <v>28</v>
      </c>
      <c r="J36" s="33" t="s">
        <v>30</v>
      </c>
      <c r="K36" s="33" t="s">
        <v>31</v>
      </c>
      <c r="L36" s="33" t="s">
        <v>29</v>
      </c>
      <c r="M36" s="33" t="s">
        <v>46</v>
      </c>
      <c r="N36" s="43"/>
      <c r="O36" s="43"/>
      <c r="P36" s="43"/>
      <c r="Q36" s="1"/>
      <c r="R36" s="1"/>
    </row>
    <row r="37" ht="15.75" customHeight="1">
      <c r="A37" s="1"/>
      <c r="B37" s="18">
        <v>34.0</v>
      </c>
      <c r="C37" s="81" t="s">
        <v>167</v>
      </c>
      <c r="D37" s="21" t="s">
        <v>23</v>
      </c>
      <c r="E37" s="18"/>
      <c r="F37" s="57">
        <v>46299.0</v>
      </c>
      <c r="G37" s="45">
        <v>430000.0</v>
      </c>
      <c r="H37" s="63"/>
      <c r="I37" s="33" t="s">
        <v>28</v>
      </c>
      <c r="J37" s="33" t="s">
        <v>30</v>
      </c>
      <c r="K37" s="18"/>
      <c r="L37" s="33" t="s">
        <v>29</v>
      </c>
      <c r="M37" s="33" t="s">
        <v>87</v>
      </c>
      <c r="N37" s="43"/>
      <c r="O37" s="43"/>
      <c r="P37" s="43"/>
      <c r="Q37" s="1"/>
      <c r="R37" s="1"/>
    </row>
    <row r="38" ht="15.75" customHeight="1">
      <c r="A38" s="1"/>
      <c r="B38" s="18">
        <v>35.0</v>
      </c>
      <c r="C38" s="21" t="s">
        <v>169</v>
      </c>
      <c r="D38" s="21" t="s">
        <v>23</v>
      </c>
      <c r="E38" s="18"/>
      <c r="F38" s="57">
        <v>46299.0</v>
      </c>
      <c r="G38" s="45">
        <v>330000.0</v>
      </c>
      <c r="H38" s="63"/>
      <c r="I38" s="33" t="s">
        <v>28</v>
      </c>
      <c r="J38" s="33" t="s">
        <v>30</v>
      </c>
      <c r="K38" s="18"/>
      <c r="L38" s="18"/>
      <c r="M38" s="33" t="s">
        <v>87</v>
      </c>
      <c r="N38" s="43"/>
      <c r="O38" s="43"/>
      <c r="P38" s="43"/>
      <c r="Q38" s="1"/>
      <c r="R38" s="1"/>
    </row>
    <row r="39" ht="15.75" customHeight="1">
      <c r="A39" s="1"/>
      <c r="B39" s="18">
        <v>36.0</v>
      </c>
      <c r="C39" s="21" t="s">
        <v>171</v>
      </c>
      <c r="D39" s="21" t="s">
        <v>23</v>
      </c>
      <c r="E39" s="18"/>
      <c r="F39" s="57">
        <v>46299.0</v>
      </c>
      <c r="G39" s="28"/>
      <c r="H39" s="31">
        <v>270000.0</v>
      </c>
      <c r="I39" s="33" t="s">
        <v>28</v>
      </c>
      <c r="J39" s="33" t="s">
        <v>30</v>
      </c>
      <c r="K39" s="18"/>
      <c r="L39" s="33" t="s">
        <v>29</v>
      </c>
      <c r="M39" s="33" t="s">
        <v>99</v>
      </c>
      <c r="N39" s="43"/>
      <c r="O39" s="43"/>
      <c r="P39" s="43"/>
      <c r="Q39" s="1"/>
      <c r="R39" s="1"/>
    </row>
    <row r="40" ht="15.75" customHeight="1">
      <c r="A40" s="1"/>
      <c r="B40" s="33">
        <v>37.0</v>
      </c>
      <c r="C40" s="21" t="s">
        <v>173</v>
      </c>
      <c r="D40" s="21" t="s">
        <v>23</v>
      </c>
      <c r="E40" s="18"/>
      <c r="F40" s="57">
        <v>46299.0</v>
      </c>
      <c r="G40" s="45" t="s">
        <v>44</v>
      </c>
      <c r="H40" s="31" t="s">
        <v>44</v>
      </c>
      <c r="I40" s="33" t="s">
        <v>28</v>
      </c>
      <c r="J40" s="33" t="s">
        <v>30</v>
      </c>
      <c r="K40" s="33" t="s">
        <v>31</v>
      </c>
      <c r="L40" s="33" t="s">
        <v>29</v>
      </c>
      <c r="M40" s="33" t="s">
        <v>87</v>
      </c>
      <c r="N40" s="43"/>
      <c r="O40" s="43"/>
      <c r="P40" s="43"/>
      <c r="Q40" s="1"/>
      <c r="R40" s="1"/>
    </row>
    <row r="41" ht="15.75" customHeight="1">
      <c r="A41" s="1"/>
      <c r="B41" s="33">
        <v>38.0</v>
      </c>
      <c r="C41" s="114" t="s">
        <v>174</v>
      </c>
      <c r="D41" s="21" t="s">
        <v>23</v>
      </c>
      <c r="E41" s="18"/>
      <c r="F41" s="57"/>
      <c r="G41" s="28"/>
      <c r="H41" s="31">
        <v>290000.0</v>
      </c>
      <c r="I41" s="33" t="s">
        <v>28</v>
      </c>
      <c r="J41" s="33" t="s">
        <v>30</v>
      </c>
      <c r="K41" s="33" t="s">
        <v>31</v>
      </c>
      <c r="L41" s="33" t="s">
        <v>29</v>
      </c>
      <c r="M41" s="33" t="s">
        <v>99</v>
      </c>
      <c r="N41" s="43"/>
      <c r="O41" s="43"/>
      <c r="P41" s="43"/>
      <c r="Q41" s="1"/>
      <c r="R41" s="1"/>
    </row>
    <row r="42" ht="15.75" customHeight="1">
      <c r="A42" s="1"/>
      <c r="B42" s="18"/>
      <c r="C42" s="21" t="s">
        <v>176</v>
      </c>
      <c r="D42" s="21" t="s">
        <v>23</v>
      </c>
      <c r="E42" s="18"/>
      <c r="F42" s="57"/>
      <c r="G42" s="28"/>
      <c r="H42" s="31">
        <v>310000.0</v>
      </c>
      <c r="I42" s="33" t="s">
        <v>28</v>
      </c>
      <c r="J42" s="33" t="s">
        <v>30</v>
      </c>
      <c r="K42" s="33" t="s">
        <v>31</v>
      </c>
      <c r="L42" s="33" t="s">
        <v>29</v>
      </c>
      <c r="M42" s="33" t="s">
        <v>46</v>
      </c>
      <c r="N42" s="43"/>
      <c r="O42" s="43"/>
      <c r="P42" s="43"/>
      <c r="Q42" s="1"/>
      <c r="R42" s="1"/>
    </row>
    <row r="43" ht="15.75" customHeight="1">
      <c r="A43" s="1"/>
      <c r="B43" s="18"/>
      <c r="C43" s="21" t="s">
        <v>178</v>
      </c>
      <c r="D43" s="88"/>
      <c r="E43" s="18"/>
      <c r="F43" s="105"/>
      <c r="G43" s="28"/>
      <c r="H43" s="31">
        <v>350000.0</v>
      </c>
      <c r="I43" s="33" t="s">
        <v>28</v>
      </c>
      <c r="J43" s="33" t="s">
        <v>30</v>
      </c>
      <c r="K43" s="18"/>
      <c r="L43" s="33" t="s">
        <v>29</v>
      </c>
      <c r="M43" s="33" t="s">
        <v>46</v>
      </c>
      <c r="N43" s="43"/>
      <c r="O43" s="43"/>
      <c r="P43" s="43"/>
      <c r="Q43" s="1"/>
      <c r="R43" s="1"/>
    </row>
    <row r="44" ht="15.75" customHeight="1">
      <c r="A44" s="1"/>
      <c r="B44" s="18">
        <v>14.0</v>
      </c>
      <c r="C44" s="21" t="s">
        <v>180</v>
      </c>
      <c r="D44" s="21" t="s">
        <v>81</v>
      </c>
      <c r="E44" s="18"/>
      <c r="F44" s="33" t="s">
        <v>60</v>
      </c>
      <c r="G44" s="28"/>
      <c r="H44" s="31">
        <v>150000.0</v>
      </c>
      <c r="I44" s="33" t="s">
        <v>28</v>
      </c>
      <c r="J44" s="18"/>
      <c r="K44" s="18"/>
      <c r="L44" s="33" t="s">
        <v>29</v>
      </c>
      <c r="M44" s="33" t="s">
        <v>46</v>
      </c>
      <c r="N44" s="43"/>
      <c r="O44" s="43"/>
      <c r="P44" s="43"/>
      <c r="Q44" s="1"/>
      <c r="R44" s="1"/>
    </row>
    <row r="45" ht="15.75" customHeight="1">
      <c r="A45" s="1"/>
      <c r="B45" s="18">
        <v>15.0</v>
      </c>
      <c r="C45" s="21" t="s">
        <v>182</v>
      </c>
      <c r="D45" s="21" t="s">
        <v>23</v>
      </c>
      <c r="E45" s="18"/>
      <c r="F45" s="57">
        <v>46299.0</v>
      </c>
      <c r="G45" s="45">
        <v>370000.0</v>
      </c>
      <c r="H45" s="63"/>
      <c r="I45" s="33" t="s">
        <v>28</v>
      </c>
      <c r="J45" s="33" t="s">
        <v>30</v>
      </c>
      <c r="K45" s="33" t="s">
        <v>31</v>
      </c>
      <c r="L45" s="33" t="s">
        <v>32</v>
      </c>
      <c r="M45" s="33" t="s">
        <v>65</v>
      </c>
      <c r="N45" s="43"/>
      <c r="O45" s="43"/>
      <c r="P45" s="43"/>
      <c r="Q45" s="1"/>
      <c r="R45" s="1"/>
    </row>
    <row r="46" ht="15.75" customHeight="1">
      <c r="A46" s="1"/>
      <c r="B46" s="18">
        <v>16.0</v>
      </c>
      <c r="C46" s="21" t="s">
        <v>185</v>
      </c>
      <c r="D46" s="21" t="s">
        <v>23</v>
      </c>
      <c r="E46" s="18"/>
      <c r="F46" s="57">
        <v>46299.0</v>
      </c>
      <c r="G46" s="45">
        <v>0.0</v>
      </c>
      <c r="H46" s="31">
        <v>0.0</v>
      </c>
      <c r="I46" s="33" t="s">
        <v>28</v>
      </c>
      <c r="J46" s="33" t="s">
        <v>30</v>
      </c>
      <c r="K46" s="33" t="s">
        <v>31</v>
      </c>
      <c r="L46" s="33" t="s">
        <v>32</v>
      </c>
      <c r="M46" s="33" t="s">
        <v>46</v>
      </c>
      <c r="N46" s="43"/>
      <c r="O46" s="43"/>
      <c r="P46" s="43"/>
      <c r="Q46" s="1"/>
      <c r="R46" s="1"/>
    </row>
    <row r="47" ht="15.75" customHeight="1">
      <c r="A47" s="1"/>
      <c r="B47" s="18">
        <v>17.0</v>
      </c>
      <c r="C47" s="21" t="s">
        <v>188</v>
      </c>
      <c r="D47" s="21" t="s">
        <v>23</v>
      </c>
      <c r="E47" s="18"/>
      <c r="F47" s="57">
        <v>46299.0</v>
      </c>
      <c r="G47" s="45">
        <v>270000.0</v>
      </c>
      <c r="H47" s="63"/>
      <c r="I47" s="33" t="s">
        <v>28</v>
      </c>
      <c r="J47" s="33" t="s">
        <v>30</v>
      </c>
      <c r="K47" s="33" t="s">
        <v>31</v>
      </c>
      <c r="L47" s="33" t="s">
        <v>32</v>
      </c>
      <c r="M47" s="33" t="s">
        <v>65</v>
      </c>
      <c r="N47" s="43"/>
      <c r="O47" s="43"/>
      <c r="P47" s="43"/>
      <c r="Q47" s="1"/>
      <c r="R47" s="1"/>
    </row>
    <row r="48" ht="15.75" customHeight="1">
      <c r="A48" s="1"/>
      <c r="B48" s="18">
        <v>18.0</v>
      </c>
      <c r="C48" s="21" t="s">
        <v>192</v>
      </c>
      <c r="D48" s="21" t="s">
        <v>23</v>
      </c>
      <c r="E48" s="18"/>
      <c r="F48" s="57">
        <v>46299.0</v>
      </c>
      <c r="G48" s="45">
        <v>430000.0</v>
      </c>
      <c r="H48" s="63"/>
      <c r="I48" s="33" t="s">
        <v>28</v>
      </c>
      <c r="J48" s="33" t="s">
        <v>30</v>
      </c>
      <c r="K48" s="33" t="s">
        <v>31</v>
      </c>
      <c r="L48" s="33" t="s">
        <v>32</v>
      </c>
      <c r="M48" s="33" t="s">
        <v>99</v>
      </c>
      <c r="N48" s="43"/>
      <c r="O48" s="43"/>
      <c r="P48" s="43"/>
      <c r="Q48" s="2"/>
      <c r="R48" s="1"/>
    </row>
    <row r="49" ht="15.75" customHeight="1">
      <c r="A49" s="1"/>
      <c r="B49" s="18">
        <v>19.0</v>
      </c>
      <c r="C49" s="21" t="s">
        <v>195</v>
      </c>
      <c r="D49" s="21" t="s">
        <v>23</v>
      </c>
      <c r="E49" s="18"/>
      <c r="F49" s="57">
        <v>46299.0</v>
      </c>
      <c r="G49" s="45">
        <v>250000.0</v>
      </c>
      <c r="H49" s="63"/>
      <c r="I49" s="33" t="s">
        <v>28</v>
      </c>
      <c r="J49" s="33" t="s">
        <v>30</v>
      </c>
      <c r="K49" s="33" t="s">
        <v>31</v>
      </c>
      <c r="L49" s="33" t="s">
        <v>32</v>
      </c>
      <c r="M49" s="33" t="s">
        <v>99</v>
      </c>
      <c r="N49" s="43"/>
      <c r="O49" s="43"/>
      <c r="P49" s="43"/>
      <c r="Q49" s="1"/>
      <c r="R49" s="1"/>
    </row>
    <row r="50" ht="15.75" customHeight="1">
      <c r="A50" s="1"/>
      <c r="B50" s="18">
        <v>20.0</v>
      </c>
      <c r="C50" s="21" t="s">
        <v>198</v>
      </c>
      <c r="D50" s="21" t="s">
        <v>23</v>
      </c>
      <c r="E50" s="18"/>
      <c r="F50" s="57">
        <v>46299.0</v>
      </c>
      <c r="G50" s="28"/>
      <c r="H50" s="31">
        <v>530000.0</v>
      </c>
      <c r="I50" s="33" t="s">
        <v>28</v>
      </c>
      <c r="J50" s="33" t="s">
        <v>30</v>
      </c>
      <c r="K50" s="33" t="s">
        <v>31</v>
      </c>
      <c r="L50" s="33" t="s">
        <v>32</v>
      </c>
      <c r="M50" s="33" t="s">
        <v>87</v>
      </c>
      <c r="N50" s="43"/>
      <c r="O50" s="43"/>
      <c r="P50" s="43"/>
      <c r="Q50" s="1"/>
      <c r="R50" s="1"/>
    </row>
    <row r="51" ht="15.75" customHeight="1">
      <c r="A51" s="1"/>
      <c r="B51" s="18">
        <v>21.0</v>
      </c>
      <c r="C51" s="21" t="s">
        <v>200</v>
      </c>
      <c r="D51" s="21" t="s">
        <v>23</v>
      </c>
      <c r="E51" s="18"/>
      <c r="F51" s="57">
        <v>46299.0</v>
      </c>
      <c r="G51" s="45">
        <v>330000.0</v>
      </c>
      <c r="H51" s="63"/>
      <c r="I51" s="33" t="s">
        <v>28</v>
      </c>
      <c r="J51" s="33" t="s">
        <v>30</v>
      </c>
      <c r="K51" s="33" t="s">
        <v>31</v>
      </c>
      <c r="L51" s="33" t="s">
        <v>32</v>
      </c>
      <c r="M51" s="33" t="s">
        <v>65</v>
      </c>
      <c r="N51" s="43"/>
      <c r="O51" s="43"/>
      <c r="P51" s="43"/>
      <c r="Q51" s="2"/>
      <c r="R51" s="1"/>
    </row>
    <row r="52" ht="15.75" customHeight="1">
      <c r="A52" s="1"/>
      <c r="B52" s="18">
        <v>22.0</v>
      </c>
      <c r="C52" s="21" t="s">
        <v>203</v>
      </c>
      <c r="D52" s="21" t="s">
        <v>23</v>
      </c>
      <c r="E52" s="18"/>
      <c r="F52" s="57">
        <v>46299.0</v>
      </c>
      <c r="G52" s="45">
        <v>390000.0</v>
      </c>
      <c r="H52" s="63"/>
      <c r="I52" s="33" t="s">
        <v>28</v>
      </c>
      <c r="J52" s="33" t="s">
        <v>30</v>
      </c>
      <c r="K52" s="33" t="s">
        <v>31</v>
      </c>
      <c r="L52" s="33" t="s">
        <v>32</v>
      </c>
      <c r="M52" s="33" t="s">
        <v>65</v>
      </c>
      <c r="N52" s="43"/>
      <c r="O52" s="43"/>
      <c r="P52" s="43"/>
      <c r="Q52" s="1"/>
      <c r="R52" s="1"/>
    </row>
    <row r="53" ht="15.75" customHeight="1">
      <c r="A53" s="1"/>
      <c r="B53" s="18">
        <v>23.0</v>
      </c>
      <c r="C53" s="21" t="s">
        <v>204</v>
      </c>
      <c r="D53" s="21" t="s">
        <v>23</v>
      </c>
      <c r="E53" s="18"/>
      <c r="F53" s="57">
        <v>46299.0</v>
      </c>
      <c r="G53" s="45">
        <v>350000.0</v>
      </c>
      <c r="H53" s="63"/>
      <c r="I53" s="33" t="s">
        <v>28</v>
      </c>
      <c r="J53" s="33" t="s">
        <v>30</v>
      </c>
      <c r="K53" s="33" t="s">
        <v>31</v>
      </c>
      <c r="L53" s="33" t="s">
        <v>32</v>
      </c>
      <c r="M53" s="33" t="s">
        <v>65</v>
      </c>
      <c r="N53" s="43"/>
      <c r="O53" s="43"/>
      <c r="P53" s="43"/>
      <c r="Q53" s="2"/>
      <c r="R53" s="1"/>
    </row>
    <row r="54" ht="15.75" customHeight="1">
      <c r="A54" s="1"/>
      <c r="B54" s="18">
        <v>24.0</v>
      </c>
      <c r="C54" s="21" t="s">
        <v>205</v>
      </c>
      <c r="D54" s="21" t="s">
        <v>24</v>
      </c>
      <c r="E54" s="18"/>
      <c r="F54" s="57">
        <v>46299.0</v>
      </c>
      <c r="G54" s="45">
        <v>420000.0</v>
      </c>
      <c r="H54" s="63"/>
      <c r="I54" s="33" t="s">
        <v>28</v>
      </c>
      <c r="J54" s="33" t="s">
        <v>30</v>
      </c>
      <c r="K54" s="33" t="s">
        <v>31</v>
      </c>
      <c r="L54" s="33" t="s">
        <v>32</v>
      </c>
      <c r="M54" s="33" t="s">
        <v>65</v>
      </c>
      <c r="N54" s="43"/>
      <c r="O54" s="43"/>
      <c r="P54" s="43"/>
      <c r="Q54" s="1"/>
      <c r="R54" s="1"/>
    </row>
    <row r="55" ht="15.75" customHeight="1">
      <c r="A55" s="1"/>
      <c r="B55" s="18">
        <v>25.0</v>
      </c>
      <c r="C55" s="21" t="s">
        <v>206</v>
      </c>
      <c r="D55" s="21" t="s">
        <v>41</v>
      </c>
      <c r="E55" s="18"/>
      <c r="F55" s="57">
        <v>46299.0</v>
      </c>
      <c r="G55" s="28"/>
      <c r="H55" s="31">
        <v>100000.0</v>
      </c>
      <c r="I55" s="33" t="s">
        <v>27</v>
      </c>
      <c r="J55" s="18"/>
      <c r="K55" s="18"/>
      <c r="L55" s="33" t="s">
        <v>32</v>
      </c>
      <c r="M55" s="18"/>
      <c r="N55" s="43"/>
      <c r="O55" s="43"/>
      <c r="P55" s="43"/>
      <c r="Q55" s="1"/>
      <c r="R55" s="1"/>
    </row>
    <row r="56" ht="15.75" customHeight="1">
      <c r="A56" s="1"/>
      <c r="B56" s="18">
        <v>26.0</v>
      </c>
      <c r="C56" s="21" t="s">
        <v>207</v>
      </c>
      <c r="D56" s="21" t="s">
        <v>23</v>
      </c>
      <c r="E56" s="33" t="s">
        <v>208</v>
      </c>
      <c r="F56" s="57">
        <v>46299.0</v>
      </c>
      <c r="G56" s="28"/>
      <c r="H56" s="31">
        <v>410000.0</v>
      </c>
      <c r="I56" s="33" t="s">
        <v>28</v>
      </c>
      <c r="J56" s="33" t="s">
        <v>30</v>
      </c>
      <c r="K56" s="33" t="s">
        <v>31</v>
      </c>
      <c r="L56" s="33" t="s">
        <v>32</v>
      </c>
      <c r="M56" s="33" t="s">
        <v>65</v>
      </c>
      <c r="N56" s="43"/>
      <c r="O56" s="43"/>
      <c r="P56" s="43"/>
      <c r="Q56" s="1"/>
      <c r="R56" s="1"/>
    </row>
    <row r="57" ht="15.75" customHeight="1">
      <c r="A57" s="1"/>
      <c r="B57" s="18">
        <v>27.0</v>
      </c>
      <c r="C57" s="21" t="s">
        <v>209</v>
      </c>
      <c r="D57" s="21" t="s">
        <v>23</v>
      </c>
      <c r="E57" s="18"/>
      <c r="F57" s="57">
        <v>46301.0</v>
      </c>
      <c r="G57" s="28"/>
      <c r="H57" s="31">
        <v>100000.0</v>
      </c>
      <c r="I57" s="33" t="s">
        <v>27</v>
      </c>
      <c r="J57" s="18"/>
      <c r="K57" s="18"/>
      <c r="L57" s="33" t="s">
        <v>32</v>
      </c>
      <c r="M57" s="18"/>
      <c r="N57" s="43"/>
      <c r="O57" s="43"/>
      <c r="P57" s="43"/>
      <c r="Q57" s="1"/>
      <c r="R57" s="1"/>
    </row>
    <row r="58" ht="15.75" customHeight="1">
      <c r="A58" s="1"/>
      <c r="B58" s="18">
        <v>28.0</v>
      </c>
      <c r="C58" s="21" t="s">
        <v>210</v>
      </c>
      <c r="D58" s="21" t="s">
        <v>23</v>
      </c>
      <c r="E58" s="18"/>
      <c r="F58" s="33" t="s">
        <v>25</v>
      </c>
      <c r="G58" s="28"/>
      <c r="H58" s="31">
        <v>410000.0</v>
      </c>
      <c r="I58" s="33" t="s">
        <v>28</v>
      </c>
      <c r="J58" s="33" t="s">
        <v>30</v>
      </c>
      <c r="K58" s="33" t="s">
        <v>31</v>
      </c>
      <c r="L58" s="33" t="s">
        <v>29</v>
      </c>
      <c r="M58" s="33" t="s">
        <v>46</v>
      </c>
      <c r="N58" s="43"/>
      <c r="O58" s="43"/>
      <c r="P58" s="43"/>
      <c r="Q58" s="1"/>
      <c r="R58" s="1"/>
    </row>
    <row r="59" ht="15.75" customHeight="1">
      <c r="A59" s="1"/>
      <c r="B59" s="18">
        <v>29.0</v>
      </c>
      <c r="C59" s="21" t="s">
        <v>166</v>
      </c>
      <c r="D59" s="21" t="s">
        <v>24</v>
      </c>
      <c r="E59" s="18"/>
      <c r="F59" s="33" t="s">
        <v>42</v>
      </c>
      <c r="G59" s="28"/>
      <c r="H59" s="31">
        <v>150000.0</v>
      </c>
      <c r="I59" s="33" t="s">
        <v>28</v>
      </c>
      <c r="J59" s="33" t="s">
        <v>30</v>
      </c>
      <c r="K59" s="33" t="s">
        <v>31</v>
      </c>
      <c r="L59" s="33" t="s">
        <v>29</v>
      </c>
      <c r="M59" s="18"/>
      <c r="N59" s="43"/>
      <c r="O59" s="43"/>
      <c r="P59" s="43"/>
      <c r="Q59" s="1"/>
      <c r="R59" s="1"/>
    </row>
    <row r="60" ht="15.75" customHeight="1">
      <c r="A60" s="1"/>
      <c r="B60" s="18">
        <v>30.0</v>
      </c>
      <c r="C60" s="88"/>
      <c r="D60" s="88"/>
      <c r="E60" s="18"/>
      <c r="F60" s="105"/>
      <c r="G60" s="28"/>
      <c r="H60" s="63"/>
      <c r="I60" s="18"/>
      <c r="J60" s="18"/>
      <c r="K60" s="18"/>
      <c r="L60" s="18"/>
      <c r="M60" s="18"/>
      <c r="N60" s="43"/>
      <c r="O60" s="43"/>
      <c r="P60" s="43"/>
      <c r="Q60" s="1"/>
      <c r="R60" s="1"/>
    </row>
    <row r="61" ht="15.75" customHeight="1">
      <c r="A61" s="1"/>
      <c r="B61" s="18">
        <v>31.0</v>
      </c>
      <c r="C61" s="88"/>
      <c r="D61" s="88"/>
      <c r="E61" s="18"/>
      <c r="F61" s="105"/>
      <c r="G61" s="28"/>
      <c r="H61" s="63"/>
      <c r="I61" s="18"/>
      <c r="J61" s="18"/>
      <c r="K61" s="18"/>
      <c r="L61" s="18"/>
      <c r="M61" s="18"/>
      <c r="N61" s="43"/>
      <c r="O61" s="43"/>
      <c r="P61" s="43"/>
      <c r="Q61" s="1"/>
      <c r="R61" s="1"/>
    </row>
    <row r="62" ht="15.75" customHeight="1">
      <c r="A62" s="1"/>
      <c r="B62" s="18">
        <v>32.0</v>
      </c>
      <c r="C62" s="88"/>
      <c r="D62" s="88"/>
      <c r="E62" s="18"/>
      <c r="F62" s="105"/>
      <c r="G62" s="28"/>
      <c r="H62" s="63"/>
      <c r="I62" s="18"/>
      <c r="J62" s="18"/>
      <c r="K62" s="18"/>
      <c r="L62" s="18"/>
      <c r="M62" s="18"/>
      <c r="N62" s="43"/>
      <c r="O62" s="43"/>
      <c r="P62" s="43"/>
      <c r="Q62" s="1"/>
      <c r="R62" s="1"/>
    </row>
    <row r="63" ht="15.75" customHeight="1">
      <c r="A63" s="1"/>
      <c r="B63" s="18">
        <v>33.0</v>
      </c>
      <c r="C63" s="88"/>
      <c r="D63" s="88"/>
      <c r="E63" s="18"/>
      <c r="F63" s="105"/>
      <c r="G63" s="28"/>
      <c r="H63" s="63"/>
      <c r="I63" s="18"/>
      <c r="J63" s="18"/>
      <c r="K63" s="18"/>
      <c r="L63" s="18"/>
      <c r="M63" s="18"/>
      <c r="N63" s="43"/>
      <c r="O63" s="43"/>
      <c r="P63" s="43"/>
      <c r="Q63" s="1"/>
      <c r="R63" s="1"/>
    </row>
    <row r="64" ht="15.75" customHeight="1">
      <c r="A64" s="1"/>
      <c r="B64" s="18">
        <v>34.0</v>
      </c>
      <c r="C64" s="88"/>
      <c r="D64" s="88"/>
      <c r="E64" s="18"/>
      <c r="F64" s="105"/>
      <c r="G64" s="28"/>
      <c r="H64" s="63"/>
      <c r="I64" s="18"/>
      <c r="J64" s="18"/>
      <c r="K64" s="18"/>
      <c r="L64" s="18"/>
      <c r="M64" s="18"/>
      <c r="N64" s="43"/>
      <c r="O64" s="43"/>
      <c r="P64" s="43"/>
      <c r="Q64" s="1"/>
      <c r="R64" s="1"/>
    </row>
    <row r="65" ht="15.75" customHeight="1">
      <c r="A65" s="1"/>
      <c r="B65" s="18">
        <v>35.0</v>
      </c>
      <c r="C65" s="88"/>
      <c r="D65" s="88"/>
      <c r="E65" s="18"/>
      <c r="F65" s="105"/>
      <c r="G65" s="28"/>
      <c r="H65" s="63"/>
      <c r="I65" s="18"/>
      <c r="J65" s="18"/>
      <c r="K65" s="18"/>
      <c r="L65" s="18"/>
      <c r="M65" s="18"/>
      <c r="N65" s="43"/>
      <c r="O65" s="43"/>
      <c r="P65" s="43"/>
      <c r="Q65" s="1"/>
      <c r="R65" s="1"/>
    </row>
    <row r="66" ht="15.75" customHeight="1">
      <c r="A66" s="1"/>
      <c r="B66" s="18">
        <v>36.0</v>
      </c>
      <c r="C66" s="88"/>
      <c r="D66" s="88"/>
      <c r="E66" s="18"/>
      <c r="F66" s="105"/>
      <c r="G66" s="28"/>
      <c r="H66" s="63"/>
      <c r="I66" s="18"/>
      <c r="J66" s="18"/>
      <c r="K66" s="18"/>
      <c r="L66" s="18"/>
      <c r="M66" s="18"/>
      <c r="N66" s="43"/>
      <c r="O66" s="43"/>
      <c r="P66" s="43"/>
      <c r="Q66" s="1"/>
      <c r="R66" s="1"/>
    </row>
    <row r="67" ht="15.75" customHeight="1">
      <c r="A67" s="1"/>
      <c r="B67" s="18">
        <v>37.0</v>
      </c>
      <c r="C67" s="88"/>
      <c r="D67" s="88"/>
      <c r="E67" s="18"/>
      <c r="F67" s="105"/>
      <c r="G67" s="28"/>
      <c r="H67" s="63"/>
      <c r="I67" s="18"/>
      <c r="J67" s="18"/>
      <c r="K67" s="18"/>
      <c r="L67" s="18"/>
      <c r="M67" s="18"/>
      <c r="N67" s="43"/>
      <c r="O67" s="43"/>
      <c r="P67" s="43"/>
      <c r="Q67" s="1"/>
      <c r="R67" s="1"/>
    </row>
    <row r="68" ht="15.75" customHeight="1">
      <c r="A68" s="1"/>
      <c r="B68" s="18">
        <v>38.0</v>
      </c>
      <c r="C68" s="88"/>
      <c r="D68" s="88"/>
      <c r="E68" s="18"/>
      <c r="F68" s="105"/>
      <c r="G68" s="28"/>
      <c r="H68" s="63"/>
      <c r="I68" s="18"/>
      <c r="J68" s="18"/>
      <c r="K68" s="18"/>
      <c r="L68" s="18"/>
      <c r="M68" s="18"/>
      <c r="N68" s="43"/>
      <c r="O68" s="43"/>
      <c r="P68" s="43"/>
      <c r="Q68" s="1"/>
      <c r="R68" s="1"/>
    </row>
    <row r="69" ht="15.75" customHeight="1">
      <c r="A69" s="1"/>
      <c r="B69" s="18">
        <v>39.0</v>
      </c>
      <c r="C69" s="88"/>
      <c r="D69" s="88"/>
      <c r="E69" s="18"/>
      <c r="F69" s="105"/>
      <c r="G69" s="28"/>
      <c r="H69" s="63"/>
      <c r="I69" s="18"/>
      <c r="J69" s="18"/>
      <c r="K69" s="18"/>
      <c r="L69" s="18"/>
      <c r="M69" s="18"/>
      <c r="N69" s="43"/>
      <c r="O69" s="43"/>
      <c r="P69" s="43"/>
      <c r="Q69" s="1"/>
      <c r="R69" s="1"/>
    </row>
    <row r="70" ht="15.75" customHeight="1">
      <c r="A70" s="1"/>
      <c r="B70" s="18">
        <v>40.0</v>
      </c>
      <c r="C70" s="88"/>
      <c r="D70" s="88"/>
      <c r="E70" s="18"/>
      <c r="F70" s="105"/>
      <c r="G70" s="28"/>
      <c r="H70" s="63"/>
      <c r="I70" s="18"/>
      <c r="J70" s="18"/>
      <c r="K70" s="18"/>
      <c r="L70" s="18"/>
      <c r="M70" s="18"/>
      <c r="N70" s="43"/>
      <c r="O70" s="43"/>
      <c r="P70" s="43"/>
      <c r="Q70" s="1"/>
      <c r="R70" s="1"/>
    </row>
    <row r="71" ht="15.75" customHeight="1">
      <c r="A71" s="1"/>
      <c r="B71" s="18">
        <v>41.0</v>
      </c>
      <c r="C71" s="88"/>
      <c r="D71" s="88"/>
      <c r="E71" s="18"/>
      <c r="F71" s="105"/>
      <c r="G71" s="28"/>
      <c r="H71" s="63"/>
      <c r="I71" s="18"/>
      <c r="J71" s="18"/>
      <c r="K71" s="18"/>
      <c r="L71" s="18"/>
      <c r="M71" s="18"/>
      <c r="N71" s="43"/>
      <c r="O71" s="43"/>
      <c r="P71" s="43"/>
      <c r="Q71" s="1"/>
      <c r="R71" s="1"/>
    </row>
    <row r="72" ht="15.75" customHeight="1">
      <c r="A72" s="1"/>
      <c r="B72" s="18">
        <v>42.0</v>
      </c>
      <c r="C72" s="88"/>
      <c r="D72" s="88"/>
      <c r="E72" s="18"/>
      <c r="F72" s="105"/>
      <c r="G72" s="28"/>
      <c r="H72" s="63"/>
      <c r="I72" s="18"/>
      <c r="J72" s="18"/>
      <c r="K72" s="18"/>
      <c r="L72" s="18"/>
      <c r="M72" s="18"/>
      <c r="N72" s="43"/>
      <c r="O72" s="43"/>
      <c r="P72" s="43"/>
      <c r="Q72" s="1"/>
      <c r="R72" s="1"/>
    </row>
    <row r="73" ht="15.75" customHeight="1">
      <c r="A73" s="1"/>
      <c r="B73" s="18">
        <v>43.0</v>
      </c>
      <c r="C73" s="88"/>
      <c r="D73" s="88"/>
      <c r="E73" s="18"/>
      <c r="F73" s="105"/>
      <c r="G73" s="28"/>
      <c r="H73" s="63"/>
      <c r="I73" s="18"/>
      <c r="J73" s="18"/>
      <c r="K73" s="18"/>
      <c r="L73" s="18"/>
      <c r="M73" s="18"/>
      <c r="N73" s="43"/>
      <c r="O73" s="43"/>
      <c r="P73" s="43"/>
      <c r="Q73" s="1"/>
      <c r="R73" s="1"/>
    </row>
    <row r="74" ht="15.75" customHeight="1">
      <c r="A74" s="1"/>
      <c r="B74" s="18">
        <v>44.0</v>
      </c>
      <c r="C74" s="88"/>
      <c r="D74" s="88"/>
      <c r="E74" s="18"/>
      <c r="F74" s="105"/>
      <c r="G74" s="28"/>
      <c r="H74" s="63"/>
      <c r="I74" s="18"/>
      <c r="J74" s="18"/>
      <c r="K74" s="18"/>
      <c r="L74" s="18"/>
      <c r="M74" s="18"/>
      <c r="N74" s="43"/>
      <c r="O74" s="43"/>
      <c r="P74" s="43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5">
        <f t="shared" ref="G75:H75" si="1">SUM(G4:G74)</f>
        <v>8380000</v>
      </c>
      <c r="H75" s="71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0" t="s">
        <v>1</v>
      </c>
      <c r="C78" s="88" t="s">
        <v>7</v>
      </c>
      <c r="D78" s="73" t="s">
        <v>112</v>
      </c>
      <c r="E78" s="1"/>
      <c r="F78" s="1"/>
      <c r="G78" s="1"/>
      <c r="H78" s="1"/>
      <c r="I78" s="1"/>
      <c r="J78" s="1"/>
      <c r="K78" s="1"/>
      <c r="L78" s="1"/>
      <c r="M78" s="1"/>
      <c r="N78" s="73" t="s">
        <v>114</v>
      </c>
      <c r="O78" s="73" t="s">
        <v>2</v>
      </c>
      <c r="P78" s="1"/>
      <c r="Q78" s="1"/>
      <c r="R78" s="1"/>
    </row>
    <row r="79" ht="15.75" customHeight="1">
      <c r="A79" s="1"/>
      <c r="B79" s="74">
        <v>1.0</v>
      </c>
      <c r="C79" s="75" t="s">
        <v>115</v>
      </c>
      <c r="D79" s="76">
        <f>SUM(G75)</f>
        <v>8380000</v>
      </c>
      <c r="E79" s="77"/>
      <c r="F79" s="1"/>
      <c r="G79" s="1"/>
      <c r="H79" s="1"/>
      <c r="I79" s="1"/>
      <c r="J79" s="1"/>
      <c r="K79" s="1"/>
      <c r="L79" s="1"/>
      <c r="M79" s="1"/>
      <c r="N79" s="78" t="s">
        <v>119</v>
      </c>
      <c r="O79" s="79" t="s">
        <v>32</v>
      </c>
      <c r="P79" s="1"/>
      <c r="Q79" s="1"/>
      <c r="R79" s="1"/>
    </row>
    <row r="80" ht="15.75" customHeight="1">
      <c r="A80" s="1"/>
      <c r="B80" s="80">
        <v>2.0</v>
      </c>
      <c r="C80" s="144" t="s">
        <v>213</v>
      </c>
      <c r="D80" s="146">
        <v>-110000.0</v>
      </c>
      <c r="E80" s="77"/>
      <c r="F80" s="1"/>
      <c r="G80" s="1"/>
      <c r="H80" s="1"/>
      <c r="I80" s="1"/>
      <c r="J80" s="1"/>
      <c r="K80" s="1"/>
      <c r="L80" s="1"/>
      <c r="M80" s="1"/>
      <c r="N80" s="84" t="s">
        <v>125</v>
      </c>
      <c r="O80" s="85" t="s">
        <v>29</v>
      </c>
      <c r="P80" s="1"/>
      <c r="Q80" s="1"/>
      <c r="R80" s="1"/>
    </row>
    <row r="81" ht="15.75" customHeight="1">
      <c r="A81" s="1"/>
      <c r="B81" s="74">
        <v>3.0</v>
      </c>
      <c r="C81" s="75"/>
      <c r="D81" s="76"/>
      <c r="E81" s="77"/>
      <c r="F81" s="1"/>
      <c r="G81" s="1"/>
      <c r="H81" s="1"/>
      <c r="I81" s="1"/>
      <c r="J81" s="1"/>
      <c r="K81" s="1"/>
      <c r="L81" s="1"/>
      <c r="M81" s="1"/>
      <c r="N81" s="91" t="s">
        <v>128</v>
      </c>
      <c r="O81" s="92" t="s">
        <v>46</v>
      </c>
      <c r="P81" s="1"/>
      <c r="Q81" s="1"/>
      <c r="R81" s="1"/>
    </row>
    <row r="82" ht="15.75" customHeight="1">
      <c r="A82" s="1"/>
      <c r="B82" s="80">
        <v>4.0</v>
      </c>
      <c r="C82" s="75"/>
      <c r="D82" s="95"/>
      <c r="E82" s="77"/>
      <c r="F82" s="1"/>
      <c r="G82" s="1"/>
      <c r="H82" s="1"/>
      <c r="I82" s="1"/>
      <c r="J82" s="1"/>
      <c r="K82" s="1"/>
      <c r="L82" s="1"/>
      <c r="M82" s="1"/>
      <c r="N82" s="93" t="s">
        <v>131</v>
      </c>
      <c r="O82" s="85" t="s">
        <v>65</v>
      </c>
      <c r="P82" s="1"/>
      <c r="Q82" s="1"/>
      <c r="R82" s="1"/>
    </row>
    <row r="83" ht="15.75" customHeight="1">
      <c r="A83" s="1"/>
      <c r="B83" s="74">
        <v>5.0</v>
      </c>
      <c r="C83" s="75"/>
      <c r="D83" s="76"/>
      <c r="E83" s="77"/>
      <c r="F83" s="1"/>
      <c r="G83" s="1"/>
      <c r="H83" s="1"/>
      <c r="I83" s="1"/>
      <c r="J83" s="1"/>
      <c r="K83" s="1"/>
      <c r="L83" s="1"/>
      <c r="M83" s="1"/>
      <c r="N83" s="97"/>
      <c r="O83" s="1"/>
      <c r="P83" s="1"/>
      <c r="Q83" s="1"/>
      <c r="R83" s="1"/>
    </row>
    <row r="84" ht="15.75" customHeight="1">
      <c r="A84" s="1"/>
      <c r="B84" s="80">
        <v>6.0</v>
      </c>
      <c r="C84" s="75"/>
      <c r="D84" s="95"/>
      <c r="E84" s="77"/>
      <c r="F84" s="1"/>
      <c r="G84" s="1"/>
      <c r="H84" s="1"/>
      <c r="I84" s="1"/>
      <c r="J84" s="1"/>
      <c r="K84" s="98" t="s">
        <v>134</v>
      </c>
      <c r="Q84" s="1"/>
      <c r="R84" s="1"/>
    </row>
    <row r="85" ht="15.75" customHeight="1">
      <c r="A85" s="1"/>
      <c r="B85" s="74">
        <v>7.0</v>
      </c>
      <c r="C85" s="75"/>
      <c r="D85" s="76"/>
      <c r="E85" s="77"/>
      <c r="F85" s="1"/>
      <c r="G85" s="1"/>
      <c r="H85" s="1"/>
      <c r="I85" s="1"/>
      <c r="J85" s="1"/>
      <c r="K85" s="99" t="s">
        <v>2</v>
      </c>
      <c r="L85" s="99" t="s">
        <v>137</v>
      </c>
      <c r="M85" s="99" t="s">
        <v>138</v>
      </c>
      <c r="N85" s="99" t="s">
        <v>139</v>
      </c>
      <c r="O85" s="99" t="s">
        <v>140</v>
      </c>
      <c r="P85" s="99" t="s">
        <v>141</v>
      </c>
      <c r="Q85" s="1"/>
      <c r="R85" s="1"/>
      <c r="AC85" s="100" t="s">
        <v>143</v>
      </c>
      <c r="AD85" s="100" t="s">
        <v>144</v>
      </c>
      <c r="AE85" s="100" t="s">
        <v>145</v>
      </c>
      <c r="AF85" s="100" t="s">
        <v>146</v>
      </c>
      <c r="AG85" s="100" t="s">
        <v>148</v>
      </c>
    </row>
    <row r="86" ht="15.75" customHeight="1">
      <c r="A86" s="1"/>
      <c r="B86" s="80">
        <v>8.0</v>
      </c>
      <c r="C86" s="75"/>
      <c r="D86" s="95"/>
      <c r="E86" s="77"/>
      <c r="F86" s="1"/>
      <c r="G86" s="1"/>
      <c r="H86" s="1"/>
      <c r="I86" s="1"/>
      <c r="J86" s="1"/>
      <c r="K86" s="102" t="str">
        <f t="shared" ref="K86:K89" si="2">IF(O79="","",O79)</f>
        <v>INDAH</v>
      </c>
      <c r="L86" s="152">
        <v>5.0</v>
      </c>
      <c r="M86" s="152">
        <v>5.0</v>
      </c>
      <c r="N86" s="152">
        <v>5.0</v>
      </c>
      <c r="O86" s="152">
        <v>5.0</v>
      </c>
      <c r="P86" s="152">
        <v>5.0</v>
      </c>
      <c r="Q86" s="2" t="s">
        <v>217</v>
      </c>
      <c r="R86" s="1"/>
      <c r="AC86" s="100">
        <f t="shared" ref="AC86:AC91" si="3">IF(AG86="","",IF(COUNT(L86:P86)&lt;5,"",L86/5*20+M86/5*25+N86/5*25+O86/5*15+P86/5*15))</f>
        <v>100</v>
      </c>
      <c r="AD86" s="100" t="str">
        <f t="shared" ref="AD86:AD91" si="4">IF(AC86="","",IF(AC86&gt;=90,"Sangat Baik",IF(AC86&gt;=80,"Baik",IF(AC86&gt;=70,"Coaching","Underperform"))))</f>
        <v>Sangat Baik</v>
      </c>
      <c r="AE86" s="100" t="str">
        <f t="shared" ref="AE86:AE91" si="5">IF(AG86="","",IF(OR(AG86="INDAH",AG86="ADDEL",AG86="AMEL",AG86="PENTIL",AG86="JIJANG"),"Admin/CS","Fotografer"))</f>
        <v>Admin/CS</v>
      </c>
      <c r="AF86" s="100">
        <f t="shared" ref="AF86:AF91" si="6">IF(OR(AG86="",COUNT(L86:P86)&lt;5),"",1)</f>
        <v>1</v>
      </c>
      <c r="AG86" s="100" t="str">
        <f t="shared" ref="AG86:AG91" si="7">IFERROR(K86,"")</f>
        <v>INDAH</v>
      </c>
    </row>
    <row r="87" ht="15.75" customHeight="1">
      <c r="A87" s="1"/>
      <c r="B87" s="74">
        <v>9.0</v>
      </c>
      <c r="C87" s="75"/>
      <c r="D87" s="76"/>
      <c r="E87" s="77"/>
      <c r="F87" s="1"/>
      <c r="G87" s="1"/>
      <c r="H87" s="1"/>
      <c r="I87" s="1"/>
      <c r="J87" s="1"/>
      <c r="K87" s="102" t="str">
        <f t="shared" si="2"/>
        <v>AMEL</v>
      </c>
      <c r="L87" s="152">
        <v>5.0</v>
      </c>
      <c r="M87" s="152">
        <v>5.0</v>
      </c>
      <c r="N87" s="152">
        <v>5.0</v>
      </c>
      <c r="O87" s="152">
        <v>5.0</v>
      </c>
      <c r="P87" s="152">
        <v>5.0</v>
      </c>
      <c r="Q87" s="2" t="s">
        <v>218</v>
      </c>
      <c r="R87" s="1"/>
      <c r="AC87" s="100">
        <f t="shared" si="3"/>
        <v>100</v>
      </c>
      <c r="AD87" s="100" t="str">
        <f t="shared" si="4"/>
        <v>Sangat Baik</v>
      </c>
      <c r="AE87" s="100" t="str">
        <f t="shared" si="5"/>
        <v>Admin/CS</v>
      </c>
      <c r="AF87" s="100">
        <f t="shared" si="6"/>
        <v>1</v>
      </c>
      <c r="AG87" s="100" t="str">
        <f t="shared" si="7"/>
        <v>AMEL</v>
      </c>
    </row>
    <row r="88" ht="15.75" customHeight="1">
      <c r="A88" s="1"/>
      <c r="B88" s="80">
        <v>10.0</v>
      </c>
      <c r="C88" s="75"/>
      <c r="D88" s="95"/>
      <c r="E88" s="77"/>
      <c r="F88" s="1"/>
      <c r="G88" s="1"/>
      <c r="H88" s="1"/>
      <c r="I88" s="1"/>
      <c r="J88" s="1"/>
      <c r="K88" s="102" t="str">
        <f t="shared" si="2"/>
        <v>ADIF</v>
      </c>
      <c r="L88" s="152">
        <v>5.0</v>
      </c>
      <c r="M88" s="152">
        <v>5.0</v>
      </c>
      <c r="N88" s="152">
        <v>5.0</v>
      </c>
      <c r="O88" s="152">
        <v>5.0</v>
      </c>
      <c r="P88" s="152">
        <v>5.0</v>
      </c>
      <c r="Q88" s="2" t="s">
        <v>219</v>
      </c>
      <c r="R88" s="1"/>
      <c r="AC88" s="100">
        <f t="shared" si="3"/>
        <v>100</v>
      </c>
      <c r="AD88" s="100" t="str">
        <f t="shared" si="4"/>
        <v>Sangat Baik</v>
      </c>
      <c r="AE88" s="100" t="str">
        <f t="shared" si="5"/>
        <v>Fotografer</v>
      </c>
      <c r="AF88" s="100">
        <f t="shared" si="6"/>
        <v>1</v>
      </c>
      <c r="AG88" s="100" t="str">
        <f t="shared" si="7"/>
        <v>ADIF</v>
      </c>
    </row>
    <row r="89" ht="15.75" customHeight="1">
      <c r="A89" s="1"/>
      <c r="B89" s="110">
        <v>11.0</v>
      </c>
      <c r="C89" s="111"/>
      <c r="D89" s="112"/>
      <c r="E89" s="77"/>
      <c r="F89" s="1"/>
      <c r="G89" s="1"/>
      <c r="H89" s="1"/>
      <c r="I89" s="1"/>
      <c r="J89" s="1"/>
      <c r="K89" s="102" t="str">
        <f t="shared" si="2"/>
        <v>SAKA</v>
      </c>
      <c r="L89" s="152">
        <v>5.0</v>
      </c>
      <c r="M89" s="152">
        <v>5.0</v>
      </c>
      <c r="N89" s="152">
        <v>5.0</v>
      </c>
      <c r="O89" s="152">
        <v>5.0</v>
      </c>
      <c r="P89" s="152">
        <v>5.0</v>
      </c>
      <c r="Q89" s="1"/>
      <c r="R89" s="1"/>
      <c r="AC89" s="100">
        <f t="shared" si="3"/>
        <v>100</v>
      </c>
      <c r="AD89" s="100" t="str">
        <f t="shared" si="4"/>
        <v>Sangat Baik</v>
      </c>
      <c r="AE89" s="100" t="str">
        <f t="shared" si="5"/>
        <v>Fotografer</v>
      </c>
      <c r="AF89" s="100">
        <f t="shared" si="6"/>
        <v>1</v>
      </c>
      <c r="AG89" s="100" t="str">
        <f t="shared" si="7"/>
        <v>SAKA</v>
      </c>
    </row>
    <row r="90" ht="15.75" customHeight="1">
      <c r="A90" s="1"/>
      <c r="B90" s="1"/>
      <c r="C90" s="3"/>
      <c r="D90" s="115">
        <f>SUM(D79:D89)</f>
        <v>8270000</v>
      </c>
      <c r="E90" s="1"/>
      <c r="F90" s="1"/>
      <c r="G90" s="1"/>
      <c r="H90" s="1"/>
      <c r="I90" s="1"/>
      <c r="J90" s="1"/>
      <c r="K90" s="102"/>
      <c r="L90" s="117"/>
      <c r="M90" s="117"/>
      <c r="N90" s="117"/>
      <c r="O90" s="117"/>
      <c r="P90" s="117"/>
      <c r="Q90" s="1"/>
      <c r="R90" s="1"/>
      <c r="AC90" s="100" t="str">
        <f t="shared" si="3"/>
        <v/>
      </c>
      <c r="AD90" s="100" t="str">
        <f t="shared" si="4"/>
        <v/>
      </c>
      <c r="AE90" s="100" t="str">
        <f t="shared" si="5"/>
        <v/>
      </c>
      <c r="AF90" s="100" t="str">
        <f t="shared" si="6"/>
        <v/>
      </c>
      <c r="AG90" s="100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2"/>
      <c r="L91" s="117"/>
      <c r="M91" s="117"/>
      <c r="N91" s="117"/>
      <c r="O91" s="117"/>
      <c r="P91" s="117"/>
      <c r="Q91" s="1"/>
      <c r="R91" s="1"/>
      <c r="AC91" s="100" t="str">
        <f t="shared" si="3"/>
        <v/>
      </c>
      <c r="AD91" s="100" t="str">
        <f t="shared" si="4"/>
        <v/>
      </c>
      <c r="AE91" s="100" t="str">
        <f t="shared" si="5"/>
        <v/>
      </c>
      <c r="AF91" s="100" t="str">
        <f t="shared" si="6"/>
        <v/>
      </c>
      <c r="AG91" s="100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8" t="s">
        <v>186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9" t="s">
        <v>187</v>
      </c>
      <c r="N94" s="1"/>
      <c r="O94" s="1"/>
      <c r="P94" s="1"/>
      <c r="Q94" s="1"/>
      <c r="R94" s="1"/>
    </row>
    <row r="95" ht="15.75" customHeight="1">
      <c r="K95" s="121" t="s">
        <v>8</v>
      </c>
      <c r="L95" s="121" t="s">
        <v>189</v>
      </c>
      <c r="M95" s="121" t="s">
        <v>190</v>
      </c>
    </row>
    <row r="96" ht="15.75" customHeight="1">
      <c r="K96" s="123" t="str">
        <f t="shared" ref="K96:K97" si="8">IF(O79="","",O79)</f>
        <v>INDAH</v>
      </c>
      <c r="L96" s="124">
        <v>3.0</v>
      </c>
      <c r="M96" s="127"/>
    </row>
    <row r="97" ht="15.75" customHeight="1">
      <c r="K97" s="123" t="str">
        <f t="shared" si="8"/>
        <v>AMEL</v>
      </c>
      <c r="L97" s="127"/>
      <c r="M97" s="127"/>
    </row>
    <row r="98" ht="15.75" customHeight="1"/>
    <row r="99" ht="19.5" customHeight="1">
      <c r="K99" s="129" t="s">
        <v>194</v>
      </c>
    </row>
    <row r="100" ht="19.5" customHeight="1">
      <c r="K100" s="130" t="s">
        <v>196</v>
      </c>
      <c r="M100" s="124">
        <v>24.0</v>
      </c>
    </row>
    <row r="101" ht="19.5" customHeight="1">
      <c r="K101" s="131" t="s">
        <v>197</v>
      </c>
      <c r="M101" s="132">
        <f>COUNTIF($I$4:$I$77,"DP")</f>
        <v>3</v>
      </c>
    </row>
    <row r="102" ht="19.5" customHeight="1">
      <c r="K102" s="131" t="s">
        <v>199</v>
      </c>
      <c r="M102" s="132">
        <f>COUNTIFS($I$4:$I$77,"&lt;&gt;DP",$I$4:$I$77,"&lt;&gt;")</f>
        <v>53</v>
      </c>
    </row>
    <row r="103" ht="19.5" customHeight="1">
      <c r="K103" s="133" t="s">
        <v>201</v>
      </c>
      <c r="M103" s="132">
        <f>M101+M102</f>
        <v>56</v>
      </c>
    </row>
    <row r="104" ht="19.5" customHeight="1">
      <c r="K104" s="130" t="s">
        <v>202</v>
      </c>
      <c r="M104" s="134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8">
        <v>1.0</v>
      </c>
      <c r="C4" s="21" t="s">
        <v>220</v>
      </c>
      <c r="D4" s="21" t="s">
        <v>41</v>
      </c>
      <c r="E4" s="154"/>
      <c r="F4" s="33" t="s">
        <v>221</v>
      </c>
      <c r="G4" s="155"/>
      <c r="H4" s="31">
        <v>100000.0</v>
      </c>
      <c r="I4" s="33" t="s">
        <v>27</v>
      </c>
      <c r="J4" s="18"/>
      <c r="K4" s="18"/>
      <c r="L4" s="33" t="s">
        <v>29</v>
      </c>
      <c r="M4" s="18"/>
      <c r="N4" s="35"/>
      <c r="O4" s="35"/>
      <c r="P4" s="3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8">
        <v>2.0</v>
      </c>
      <c r="C5" s="21" t="s">
        <v>222</v>
      </c>
      <c r="D5" s="21" t="s">
        <v>23</v>
      </c>
      <c r="E5" s="154"/>
      <c r="F5" s="33" t="s">
        <v>223</v>
      </c>
      <c r="G5" s="155"/>
      <c r="H5" s="31">
        <v>250000.0</v>
      </c>
      <c r="I5" s="33" t="s">
        <v>28</v>
      </c>
      <c r="J5" s="33" t="s">
        <v>30</v>
      </c>
      <c r="K5" s="33" t="s">
        <v>31</v>
      </c>
      <c r="L5" s="33" t="s">
        <v>29</v>
      </c>
      <c r="M5" s="33" t="s">
        <v>46</v>
      </c>
      <c r="N5" s="43"/>
      <c r="O5" s="43"/>
      <c r="P5" s="43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8">
        <v>3.0</v>
      </c>
      <c r="C6" s="21" t="s">
        <v>107</v>
      </c>
      <c r="D6" s="21" t="s">
        <v>89</v>
      </c>
      <c r="E6" s="154"/>
      <c r="F6" s="33" t="s">
        <v>38</v>
      </c>
      <c r="G6" s="155"/>
      <c r="H6" s="31">
        <v>20000.0</v>
      </c>
      <c r="I6" s="33" t="s">
        <v>28</v>
      </c>
      <c r="J6" s="33" t="s">
        <v>30</v>
      </c>
      <c r="K6" s="33" t="s">
        <v>30</v>
      </c>
      <c r="L6" s="33" t="s">
        <v>29</v>
      </c>
      <c r="M6" s="18"/>
      <c r="N6" s="43"/>
      <c r="O6" s="43"/>
      <c r="P6" s="43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8">
        <v>4.0</v>
      </c>
      <c r="C7" s="21" t="s">
        <v>224</v>
      </c>
      <c r="D7" s="21" t="s">
        <v>89</v>
      </c>
      <c r="E7" s="154"/>
      <c r="F7" s="33" t="s">
        <v>42</v>
      </c>
      <c r="G7" s="155"/>
      <c r="H7" s="31">
        <v>125000.0</v>
      </c>
      <c r="I7" s="33" t="s">
        <v>28</v>
      </c>
      <c r="J7" s="33" t="s">
        <v>30</v>
      </c>
      <c r="K7" s="33" t="s">
        <v>30</v>
      </c>
      <c r="L7" s="33" t="s">
        <v>29</v>
      </c>
      <c r="M7" s="18"/>
      <c r="N7" s="43"/>
      <c r="O7" s="43"/>
      <c r="P7" s="43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8">
        <v>5.0</v>
      </c>
      <c r="C8" s="68" t="s">
        <v>226</v>
      </c>
      <c r="D8" s="21" t="s">
        <v>23</v>
      </c>
      <c r="E8" s="156"/>
      <c r="F8" s="33" t="s">
        <v>223</v>
      </c>
      <c r="G8" s="155"/>
      <c r="H8" s="31">
        <v>150000.0</v>
      </c>
      <c r="I8" s="33" t="s">
        <v>28</v>
      </c>
      <c r="J8" s="33" t="s">
        <v>30</v>
      </c>
      <c r="K8" s="33" t="s">
        <v>31</v>
      </c>
      <c r="L8" s="33" t="s">
        <v>29</v>
      </c>
      <c r="M8" s="33" t="s">
        <v>46</v>
      </c>
      <c r="N8" s="43"/>
      <c r="O8" s="43"/>
      <c r="P8" s="43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8">
        <v>6.0</v>
      </c>
      <c r="C9" s="21" t="s">
        <v>228</v>
      </c>
      <c r="D9" s="21" t="s">
        <v>24</v>
      </c>
      <c r="E9" s="154"/>
      <c r="F9" s="33" t="s">
        <v>42</v>
      </c>
      <c r="G9" s="155"/>
      <c r="H9" s="31">
        <v>150000.0</v>
      </c>
      <c r="I9" s="33" t="s">
        <v>28</v>
      </c>
      <c r="J9" s="33" t="s">
        <v>30</v>
      </c>
      <c r="K9" s="33" t="s">
        <v>30</v>
      </c>
      <c r="L9" s="33" t="s">
        <v>29</v>
      </c>
      <c r="M9" s="18"/>
      <c r="N9" s="43"/>
      <c r="O9" s="43"/>
      <c r="P9" s="43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8">
        <v>7.0</v>
      </c>
      <c r="C10" s="21" t="s">
        <v>231</v>
      </c>
      <c r="D10" s="21" t="s">
        <v>81</v>
      </c>
      <c r="E10" s="154"/>
      <c r="F10" s="157">
        <v>46300.0</v>
      </c>
      <c r="G10" s="155"/>
      <c r="H10" s="31">
        <v>50000.0</v>
      </c>
      <c r="I10" s="33" t="s">
        <v>28</v>
      </c>
      <c r="J10" s="33" t="s">
        <v>30</v>
      </c>
      <c r="K10" s="33" t="s">
        <v>31</v>
      </c>
      <c r="L10" s="33" t="s">
        <v>32</v>
      </c>
      <c r="M10" s="33" t="s">
        <v>65</v>
      </c>
      <c r="N10" s="43"/>
      <c r="O10" s="43"/>
      <c r="P10" s="43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8">
        <v>8.0</v>
      </c>
      <c r="C11" s="72" t="s">
        <v>233</v>
      </c>
      <c r="D11" s="21" t="s">
        <v>54</v>
      </c>
      <c r="E11" s="156"/>
      <c r="F11" s="158">
        <v>46299.0</v>
      </c>
      <c r="G11" s="155"/>
      <c r="H11" s="31">
        <v>30000.0</v>
      </c>
      <c r="I11" s="33" t="s">
        <v>28</v>
      </c>
      <c r="J11" s="18"/>
      <c r="K11" s="18"/>
      <c r="L11" s="33" t="s">
        <v>32</v>
      </c>
      <c r="M11" s="18"/>
      <c r="N11" s="43"/>
      <c r="O11" s="43"/>
      <c r="P11" s="43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8">
        <v>9.0</v>
      </c>
      <c r="C12" s="21" t="s">
        <v>235</v>
      </c>
      <c r="D12" s="21" t="s">
        <v>23</v>
      </c>
      <c r="E12" s="156"/>
      <c r="F12" s="157">
        <v>46301.0</v>
      </c>
      <c r="G12" s="155"/>
      <c r="H12" s="31">
        <v>100000.0</v>
      </c>
      <c r="I12" s="33" t="s">
        <v>27</v>
      </c>
      <c r="J12" s="18"/>
      <c r="K12" s="18"/>
      <c r="L12" s="33" t="s">
        <v>32</v>
      </c>
      <c r="M12" s="18"/>
      <c r="N12" s="43"/>
      <c r="O12" s="43"/>
      <c r="P12" s="43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8"/>
      <c r="C13" s="21" t="s">
        <v>237</v>
      </c>
      <c r="D13" s="21" t="s">
        <v>238</v>
      </c>
      <c r="E13" s="18"/>
      <c r="F13" s="157">
        <v>46267.0</v>
      </c>
      <c r="G13" s="159"/>
      <c r="H13" s="31">
        <v>20000.0</v>
      </c>
      <c r="I13" s="33" t="s">
        <v>28</v>
      </c>
      <c r="J13" s="18"/>
      <c r="K13" s="18"/>
      <c r="L13" s="33" t="s">
        <v>32</v>
      </c>
      <c r="M13" s="18"/>
      <c r="N13" s="43"/>
      <c r="O13" s="43"/>
      <c r="P13" s="43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8"/>
      <c r="C14" s="21" t="s">
        <v>206</v>
      </c>
      <c r="D14" s="21" t="s">
        <v>41</v>
      </c>
      <c r="E14" s="160">
        <v>0.2</v>
      </c>
      <c r="F14" s="157">
        <v>46270.0</v>
      </c>
      <c r="G14" s="159"/>
      <c r="H14" s="31">
        <v>80000.0</v>
      </c>
      <c r="I14" s="33" t="s">
        <v>28</v>
      </c>
      <c r="J14" s="33" t="s">
        <v>30</v>
      </c>
      <c r="K14" s="33" t="s">
        <v>31</v>
      </c>
      <c r="L14" s="33" t="s">
        <v>32</v>
      </c>
      <c r="M14" s="33" t="s">
        <v>65</v>
      </c>
      <c r="N14" s="43"/>
      <c r="O14" s="43"/>
      <c r="P14" s="43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8"/>
      <c r="C15" s="88"/>
      <c r="D15" s="88"/>
      <c r="E15" s="18"/>
      <c r="F15" s="18"/>
      <c r="G15" s="159"/>
      <c r="H15" s="63"/>
      <c r="I15" s="18"/>
      <c r="J15" s="18"/>
      <c r="K15" s="18"/>
      <c r="L15" s="18"/>
      <c r="M15" s="18"/>
      <c r="N15" s="43"/>
      <c r="O15" s="43"/>
      <c r="P15" s="43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35">
        <f t="shared" ref="G16:H16" si="1">SUM(G4:G15)</f>
        <v>0</v>
      </c>
      <c r="H16" s="71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0" t="s">
        <v>1</v>
      </c>
      <c r="C19" s="73" t="s">
        <v>7</v>
      </c>
      <c r="D19" s="73" t="s">
        <v>112</v>
      </c>
      <c r="E19" s="1"/>
      <c r="F19" s="1"/>
      <c r="G19" s="1"/>
      <c r="H19" s="1"/>
      <c r="I19" s="1"/>
      <c r="J19" s="1"/>
      <c r="K19" s="1"/>
      <c r="L19" s="1"/>
      <c r="M19" s="1"/>
      <c r="N19" s="73" t="s">
        <v>114</v>
      </c>
      <c r="O19" s="73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4">
        <v>1.0</v>
      </c>
      <c r="C20" s="75" t="s">
        <v>115</v>
      </c>
      <c r="D20" s="76">
        <f>SUM(G16)</f>
        <v>0</v>
      </c>
      <c r="E20" s="77"/>
      <c r="F20" s="1"/>
      <c r="G20" s="1"/>
      <c r="H20" s="1"/>
      <c r="I20" s="1"/>
      <c r="J20" s="1"/>
      <c r="K20" s="1"/>
      <c r="L20" s="1"/>
      <c r="M20" s="1"/>
      <c r="N20" s="78" t="s">
        <v>119</v>
      </c>
      <c r="O20" s="79" t="s">
        <v>29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0">
        <v>2.0</v>
      </c>
      <c r="C21" s="94"/>
      <c r="D21" s="95"/>
      <c r="E21" s="77"/>
      <c r="F21" s="1"/>
      <c r="G21" s="1"/>
      <c r="H21" s="1"/>
      <c r="I21" s="1"/>
      <c r="J21" s="1"/>
      <c r="K21" s="1"/>
      <c r="L21" s="1"/>
      <c r="M21" s="1"/>
      <c r="N21" s="84" t="s">
        <v>125</v>
      </c>
      <c r="O21" s="85" t="s">
        <v>32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4">
        <v>3.0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1" t="s">
        <v>128</v>
      </c>
      <c r="O22" s="92" t="s">
        <v>46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0">
        <v>4.0</v>
      </c>
      <c r="C23" s="94"/>
      <c r="D23" s="95"/>
      <c r="E23" s="77"/>
      <c r="F23" s="1"/>
      <c r="G23" s="1"/>
      <c r="H23" s="1"/>
      <c r="I23" s="1"/>
      <c r="J23" s="1"/>
      <c r="K23" s="1"/>
      <c r="L23" s="1"/>
      <c r="M23" s="1"/>
      <c r="N23" s="93" t="s">
        <v>131</v>
      </c>
      <c r="O23" s="85" t="s">
        <v>65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4">
        <v>5.0</v>
      </c>
      <c r="C24" s="75"/>
      <c r="D24" s="76"/>
      <c r="E24" s="77"/>
      <c r="F24" s="1"/>
      <c r="G24" s="1"/>
      <c r="H24" s="1"/>
      <c r="I24" s="1"/>
      <c r="J24" s="1"/>
      <c r="K24" s="1"/>
      <c r="L24" s="1"/>
      <c r="M24" s="1"/>
      <c r="N24" s="97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0">
        <v>6.0</v>
      </c>
      <c r="C25" s="94"/>
      <c r="D25" s="95"/>
      <c r="E25" s="77"/>
      <c r="F25" s="1"/>
      <c r="G25" s="1"/>
      <c r="H25" s="1"/>
      <c r="I25" s="1"/>
      <c r="J25" s="1"/>
      <c r="K25" s="98" t="s">
        <v>134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4">
        <v>7.0</v>
      </c>
      <c r="C26" s="75"/>
      <c r="D26" s="76"/>
      <c r="E26" s="77"/>
      <c r="F26" s="1"/>
      <c r="G26" s="1"/>
      <c r="H26" s="1"/>
      <c r="I26" s="1"/>
      <c r="J26" s="1"/>
      <c r="K26" s="99" t="s">
        <v>2</v>
      </c>
      <c r="L26" s="99" t="s">
        <v>137</v>
      </c>
      <c r="M26" s="99" t="s">
        <v>138</v>
      </c>
      <c r="N26" s="99" t="s">
        <v>139</v>
      </c>
      <c r="O26" s="99" t="s">
        <v>140</v>
      </c>
      <c r="P26" s="99" t="s">
        <v>141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143</v>
      </c>
      <c r="AD26" s="153" t="s">
        <v>144</v>
      </c>
      <c r="AE26" s="153" t="s">
        <v>145</v>
      </c>
      <c r="AF26" s="153" t="s">
        <v>146</v>
      </c>
      <c r="AG26" s="153" t="s">
        <v>148</v>
      </c>
    </row>
    <row r="27" ht="15.75" customHeight="1">
      <c r="A27" s="1"/>
      <c r="B27" s="80">
        <v>8.0</v>
      </c>
      <c r="C27" s="94"/>
      <c r="D27" s="95"/>
      <c r="E27" s="77"/>
      <c r="F27" s="1"/>
      <c r="G27" s="1"/>
      <c r="H27" s="1"/>
      <c r="I27" s="1"/>
      <c r="J27" s="1"/>
      <c r="K27" s="102" t="str">
        <f t="shared" ref="K27:K30" si="2">IF(O20="","",O20)</f>
        <v>AMEL</v>
      </c>
      <c r="L27" s="103">
        <v>5.0</v>
      </c>
      <c r="M27" s="103">
        <v>5.0</v>
      </c>
      <c r="N27" s="103">
        <v>5.0</v>
      </c>
      <c r="O27" s="103">
        <v>5.0</v>
      </c>
      <c r="P27" s="103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4">
        <v>9.0</v>
      </c>
      <c r="C28" s="75"/>
      <c r="D28" s="76"/>
      <c r="E28" s="77"/>
      <c r="F28" s="1"/>
      <c r="G28" s="1"/>
      <c r="H28" s="1"/>
      <c r="I28" s="1"/>
      <c r="J28" s="1"/>
      <c r="K28" s="102" t="str">
        <f t="shared" si="2"/>
        <v>INDAH</v>
      </c>
      <c r="L28" s="103">
        <v>5.0</v>
      </c>
      <c r="M28" s="103">
        <v>5.0</v>
      </c>
      <c r="N28" s="103">
        <v>5.0</v>
      </c>
      <c r="O28" s="103">
        <v>5.0</v>
      </c>
      <c r="P28" s="103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0">
        <v>10.0</v>
      </c>
      <c r="C29" s="94"/>
      <c r="D29" s="95"/>
      <c r="E29" s="77"/>
      <c r="F29" s="1"/>
      <c r="G29" s="1"/>
      <c r="H29" s="1"/>
      <c r="I29" s="1"/>
      <c r="J29" s="1"/>
      <c r="K29" s="102" t="str">
        <f t="shared" si="2"/>
        <v>ADIF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0">
        <v>11.0</v>
      </c>
      <c r="C30" s="111"/>
      <c r="D30" s="112"/>
      <c r="E30" s="77"/>
      <c r="F30" s="1"/>
      <c r="G30" s="1"/>
      <c r="H30" s="1"/>
      <c r="I30" s="1"/>
      <c r="J30" s="1"/>
      <c r="K30" s="102" t="str">
        <f t="shared" si="2"/>
        <v>SAKA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15">
        <f>SUM(D20:D30)</f>
        <v>0</v>
      </c>
      <c r="E31" s="1"/>
      <c r="F31" s="1"/>
      <c r="G31" s="1"/>
      <c r="H31" s="1"/>
      <c r="I31" s="1"/>
      <c r="J31" s="1"/>
      <c r="K31" s="102"/>
      <c r="L31" s="117"/>
      <c r="M31" s="117"/>
      <c r="N31" s="117"/>
      <c r="O31" s="117"/>
      <c r="P31" s="117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2"/>
      <c r="L32" s="117"/>
      <c r="M32" s="117"/>
      <c r="N32" s="117"/>
      <c r="O32" s="117"/>
      <c r="P32" s="117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186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187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1" t="s">
        <v>8</v>
      </c>
      <c r="L36" s="121" t="s">
        <v>189</v>
      </c>
      <c r="M36" s="121" t="s">
        <v>190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3" t="str">
        <f t="shared" ref="K37:K38" si="8">IF(O20="","",O20)</f>
        <v>AMEL</v>
      </c>
      <c r="L37" s="127"/>
      <c r="M37" s="127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3" t="str">
        <f t="shared" si="8"/>
        <v>INDAH</v>
      </c>
      <c r="L38" s="127"/>
      <c r="M38" s="124" t="s">
        <v>193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9" t="s">
        <v>194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0" t="s">
        <v>196</v>
      </c>
      <c r="M41" s="124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1" t="s">
        <v>197</v>
      </c>
      <c r="M42" s="132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1" t="s">
        <v>199</v>
      </c>
      <c r="M43" s="132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3" t="s">
        <v>201</v>
      </c>
      <c r="M44" s="132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0" t="s">
        <v>202</v>
      </c>
      <c r="M45" s="134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225</v>
      </c>
      <c r="D4" s="22" t="s">
        <v>37</v>
      </c>
      <c r="E4" s="24"/>
      <c r="F4" s="53">
        <v>46307.0</v>
      </c>
      <c r="G4" s="30"/>
      <c r="H4" s="34">
        <v>100000.0</v>
      </c>
      <c r="I4" s="26" t="s">
        <v>27</v>
      </c>
      <c r="J4" s="18"/>
      <c r="K4" s="18"/>
      <c r="L4" s="33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" t="s">
        <v>227</v>
      </c>
      <c r="D5" s="22" t="s">
        <v>23</v>
      </c>
      <c r="E5" s="58" t="s">
        <v>229</v>
      </c>
      <c r="F5" s="53">
        <v>46301.0</v>
      </c>
      <c r="G5" s="30"/>
      <c r="H5" s="34">
        <v>390000.0</v>
      </c>
      <c r="I5" s="26" t="s">
        <v>28</v>
      </c>
      <c r="J5" s="33" t="s">
        <v>30</v>
      </c>
      <c r="K5" s="33" t="s">
        <v>31</v>
      </c>
      <c r="L5" s="33" t="s">
        <v>32</v>
      </c>
      <c r="M5" s="33" t="s">
        <v>46</v>
      </c>
      <c r="N5" s="43"/>
      <c r="O5" s="43"/>
      <c r="P5" s="43"/>
      <c r="Q5" s="1"/>
      <c r="R5" s="1"/>
    </row>
    <row r="6" ht="15.75" customHeight="1">
      <c r="A6" s="1"/>
      <c r="B6" s="18">
        <v>3.0</v>
      </c>
      <c r="C6" s="19" t="s">
        <v>230</v>
      </c>
      <c r="D6" s="22" t="s">
        <v>41</v>
      </c>
      <c r="E6" s="24"/>
      <c r="F6" s="53">
        <v>46303.0</v>
      </c>
      <c r="G6" s="30"/>
      <c r="H6" s="34">
        <v>100000.0</v>
      </c>
      <c r="I6" s="26" t="s">
        <v>27</v>
      </c>
      <c r="J6" s="18"/>
      <c r="K6" s="18"/>
      <c r="L6" s="33" t="s">
        <v>32</v>
      </c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49" t="s">
        <v>232</v>
      </c>
      <c r="D7" s="22" t="s">
        <v>23</v>
      </c>
      <c r="E7" s="24"/>
      <c r="F7" s="53">
        <v>46301.0</v>
      </c>
      <c r="G7" s="41"/>
      <c r="H7" s="42">
        <v>250000.0</v>
      </c>
      <c r="I7" s="26" t="s">
        <v>28</v>
      </c>
      <c r="J7" s="33" t="s">
        <v>30</v>
      </c>
      <c r="K7" s="33" t="s">
        <v>31</v>
      </c>
      <c r="L7" s="33" t="s">
        <v>32</v>
      </c>
      <c r="M7" s="33" t="s">
        <v>46</v>
      </c>
      <c r="N7" s="43"/>
      <c r="O7" s="43"/>
      <c r="P7" s="43"/>
      <c r="Q7" s="1"/>
      <c r="R7" s="1"/>
    </row>
    <row r="8" ht="15.75" customHeight="1">
      <c r="A8" s="1"/>
      <c r="B8" s="18">
        <v>5.0</v>
      </c>
      <c r="C8" s="19" t="s">
        <v>234</v>
      </c>
      <c r="D8" s="22" t="s">
        <v>23</v>
      </c>
      <c r="E8" s="24"/>
      <c r="F8" s="53">
        <v>46301.0</v>
      </c>
      <c r="G8" s="30"/>
      <c r="H8" s="34">
        <v>250000.0</v>
      </c>
      <c r="I8" s="26" t="s">
        <v>28</v>
      </c>
      <c r="J8" s="33" t="s">
        <v>30</v>
      </c>
      <c r="K8" s="33" t="s">
        <v>31</v>
      </c>
      <c r="L8" s="33" t="s">
        <v>32</v>
      </c>
      <c r="M8" s="33" t="s">
        <v>46</v>
      </c>
      <c r="N8" s="43"/>
      <c r="O8" s="43"/>
      <c r="P8" s="43"/>
      <c r="Q8" s="1"/>
      <c r="R8" s="1"/>
    </row>
    <row r="9" ht="15.75" customHeight="1">
      <c r="A9" s="1"/>
      <c r="B9" s="18">
        <v>6.0</v>
      </c>
      <c r="C9" s="19" t="s">
        <v>236</v>
      </c>
      <c r="D9" s="22" t="s">
        <v>24</v>
      </c>
      <c r="E9" s="24"/>
      <c r="F9" s="53">
        <v>46301.0</v>
      </c>
      <c r="G9" s="50">
        <v>400000.0</v>
      </c>
      <c r="H9" s="107"/>
      <c r="I9" s="26" t="s">
        <v>28</v>
      </c>
      <c r="J9" s="33" t="s">
        <v>30</v>
      </c>
      <c r="K9" s="33" t="s">
        <v>31</v>
      </c>
      <c r="L9" s="33" t="s">
        <v>32</v>
      </c>
      <c r="M9" s="33" t="s">
        <v>46</v>
      </c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9" t="s">
        <v>239</v>
      </c>
      <c r="D10" s="22" t="s">
        <v>37</v>
      </c>
      <c r="E10" s="23"/>
      <c r="F10" s="53">
        <v>46306.0</v>
      </c>
      <c r="G10" s="41"/>
      <c r="H10" s="42">
        <v>100000.0</v>
      </c>
      <c r="I10" s="26" t="s">
        <v>27</v>
      </c>
      <c r="J10" s="18"/>
      <c r="K10" s="18"/>
      <c r="L10" s="33" t="s">
        <v>32</v>
      </c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21" t="s">
        <v>240</v>
      </c>
      <c r="D11" s="19" t="s">
        <v>23</v>
      </c>
      <c r="E11" s="17"/>
      <c r="F11" s="157">
        <v>46301.0</v>
      </c>
      <c r="G11" s="161">
        <v>250000.0</v>
      </c>
      <c r="H11" s="63"/>
      <c r="I11" s="33" t="s">
        <v>28</v>
      </c>
      <c r="J11" s="33" t="s">
        <v>30</v>
      </c>
      <c r="K11" s="33" t="s">
        <v>31</v>
      </c>
      <c r="L11" s="33" t="s">
        <v>32</v>
      </c>
      <c r="M11" s="33" t="s">
        <v>46</v>
      </c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49" t="s">
        <v>241</v>
      </c>
      <c r="D12" s="19" t="s">
        <v>23</v>
      </c>
      <c r="E12" s="17"/>
      <c r="F12" s="33" t="s">
        <v>25</v>
      </c>
      <c r="G12" s="161">
        <v>330000.0</v>
      </c>
      <c r="H12" s="63"/>
      <c r="I12" s="33" t="s">
        <v>28</v>
      </c>
      <c r="J12" s="33" t="s">
        <v>30</v>
      </c>
      <c r="K12" s="33" t="s">
        <v>31</v>
      </c>
      <c r="L12" s="33" t="s">
        <v>29</v>
      </c>
      <c r="M12" s="33" t="s">
        <v>46</v>
      </c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21" t="s">
        <v>242</v>
      </c>
      <c r="D13" s="19" t="s">
        <v>49</v>
      </c>
      <c r="E13" s="17"/>
      <c r="F13" s="33" t="s">
        <v>221</v>
      </c>
      <c r="G13" s="159"/>
      <c r="H13" s="31">
        <v>100000.0</v>
      </c>
      <c r="I13" s="33" t="s">
        <v>28</v>
      </c>
      <c r="J13" s="33"/>
      <c r="K13" s="33"/>
      <c r="L13" s="33" t="s">
        <v>29</v>
      </c>
      <c r="M13" s="18"/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21" t="s">
        <v>243</v>
      </c>
      <c r="D14" s="19" t="s">
        <v>23</v>
      </c>
      <c r="E14" s="17"/>
      <c r="F14" s="33" t="s">
        <v>25</v>
      </c>
      <c r="G14" s="161">
        <v>250000.0</v>
      </c>
      <c r="H14" s="63"/>
      <c r="I14" s="33" t="s">
        <v>28</v>
      </c>
      <c r="J14" s="33" t="s">
        <v>30</v>
      </c>
      <c r="K14" s="33" t="s">
        <v>31</v>
      </c>
      <c r="L14" s="33" t="s">
        <v>29</v>
      </c>
      <c r="M14" s="33" t="s">
        <v>65</v>
      </c>
      <c r="N14" s="43"/>
      <c r="O14" s="43"/>
      <c r="P14" s="43"/>
      <c r="Q14" s="1"/>
      <c r="R14" s="1"/>
    </row>
    <row r="15" ht="15.75" customHeight="1">
      <c r="A15" s="1"/>
      <c r="B15" s="18">
        <v>12.0</v>
      </c>
      <c r="C15" s="21" t="s">
        <v>244</v>
      </c>
      <c r="D15" s="19" t="s">
        <v>23</v>
      </c>
      <c r="E15" s="17"/>
      <c r="F15" s="33" t="s">
        <v>25</v>
      </c>
      <c r="G15" s="159"/>
      <c r="H15" s="31">
        <v>350000.0</v>
      </c>
      <c r="I15" s="33" t="s">
        <v>28</v>
      </c>
      <c r="J15" s="33" t="s">
        <v>30</v>
      </c>
      <c r="K15" s="33" t="s">
        <v>31</v>
      </c>
      <c r="L15" s="33" t="s">
        <v>29</v>
      </c>
      <c r="M15" s="33" t="s">
        <v>65</v>
      </c>
      <c r="N15" s="43"/>
      <c r="O15" s="43"/>
      <c r="P15" s="43"/>
      <c r="Q15" s="1"/>
      <c r="R15" s="1"/>
    </row>
    <row r="16" ht="15.75" customHeight="1">
      <c r="A16" s="1"/>
      <c r="B16" s="18">
        <v>13.0</v>
      </c>
      <c r="C16" s="21" t="s">
        <v>245</v>
      </c>
      <c r="D16" s="19" t="s">
        <v>23</v>
      </c>
      <c r="E16" s="17"/>
      <c r="F16" s="33" t="s">
        <v>25</v>
      </c>
      <c r="G16" s="159"/>
      <c r="H16" s="31">
        <v>330000.0</v>
      </c>
      <c r="I16" s="33" t="s">
        <v>28</v>
      </c>
      <c r="J16" s="33" t="s">
        <v>30</v>
      </c>
      <c r="K16" s="33" t="s">
        <v>31</v>
      </c>
      <c r="L16" s="33" t="s">
        <v>29</v>
      </c>
      <c r="M16" s="33" t="s">
        <v>65</v>
      </c>
      <c r="N16" s="43"/>
      <c r="O16" s="43"/>
      <c r="P16" s="43"/>
      <c r="Q16" s="1"/>
      <c r="R16" s="1"/>
    </row>
    <row r="17" ht="15.75" customHeight="1">
      <c r="A17" s="1"/>
      <c r="B17" s="18">
        <v>14.0</v>
      </c>
      <c r="C17" s="21" t="s">
        <v>246</v>
      </c>
      <c r="D17" s="19" t="s">
        <v>41</v>
      </c>
      <c r="E17" s="17"/>
      <c r="F17" s="33" t="s">
        <v>25</v>
      </c>
      <c r="G17" s="159"/>
      <c r="H17" s="31">
        <v>100000.0</v>
      </c>
      <c r="I17" s="33" t="s">
        <v>27</v>
      </c>
      <c r="J17" s="18"/>
      <c r="K17" s="18"/>
      <c r="L17" s="33" t="s">
        <v>29</v>
      </c>
      <c r="M17" s="18"/>
      <c r="N17" s="43"/>
      <c r="O17" s="43"/>
      <c r="P17" s="43"/>
      <c r="Q17" s="1"/>
      <c r="R17" s="1"/>
    </row>
    <row r="18" ht="15.75" customHeight="1">
      <c r="A18" s="1"/>
      <c r="B18" s="18">
        <v>15.0</v>
      </c>
      <c r="C18" s="21" t="s">
        <v>246</v>
      </c>
      <c r="D18" s="19" t="s">
        <v>41</v>
      </c>
      <c r="E18" s="17"/>
      <c r="F18" s="33" t="s">
        <v>25</v>
      </c>
      <c r="G18" s="159"/>
      <c r="H18" s="31">
        <v>325000.0</v>
      </c>
      <c r="I18" s="33" t="s">
        <v>28</v>
      </c>
      <c r="J18" s="33" t="s">
        <v>30</v>
      </c>
      <c r="K18" s="33" t="s">
        <v>31</v>
      </c>
      <c r="L18" s="33" t="s">
        <v>29</v>
      </c>
      <c r="M18" s="33" t="s">
        <v>65</v>
      </c>
      <c r="N18" s="43"/>
      <c r="O18" s="43"/>
      <c r="P18" s="43"/>
      <c r="Q18" s="1"/>
      <c r="R18" s="1"/>
    </row>
    <row r="19" ht="15.75" customHeight="1">
      <c r="A19" s="1"/>
      <c r="B19" s="18">
        <v>16.0</v>
      </c>
      <c r="C19" s="21" t="s">
        <v>247</v>
      </c>
      <c r="D19" s="19" t="s">
        <v>41</v>
      </c>
      <c r="E19" s="17"/>
      <c r="F19" s="33" t="s">
        <v>248</v>
      </c>
      <c r="G19" s="159"/>
      <c r="H19" s="31">
        <v>100000.0</v>
      </c>
      <c r="I19" s="33" t="s">
        <v>27</v>
      </c>
      <c r="J19" s="18"/>
      <c r="K19" s="18"/>
      <c r="L19" s="33" t="s">
        <v>29</v>
      </c>
      <c r="M19" s="18"/>
      <c r="N19" s="43"/>
      <c r="O19" s="43"/>
      <c r="P19" s="43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1230000</v>
      </c>
      <c r="H20" s="71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0" t="s">
        <v>1</v>
      </c>
      <c r="C23" s="73" t="s">
        <v>7</v>
      </c>
      <c r="D23" s="73" t="s">
        <v>112</v>
      </c>
      <c r="E23" s="1"/>
      <c r="F23" s="1"/>
      <c r="G23" s="1"/>
      <c r="H23" s="1"/>
      <c r="I23" s="1"/>
      <c r="J23" s="1"/>
      <c r="K23" s="1"/>
      <c r="L23" s="1"/>
      <c r="M23" s="1"/>
      <c r="N23" s="73" t="s">
        <v>114</v>
      </c>
      <c r="O23" s="73" t="s">
        <v>2</v>
      </c>
      <c r="P23" s="1"/>
      <c r="Q23" s="1"/>
      <c r="R23" s="1"/>
    </row>
    <row r="24" ht="15.75" customHeight="1">
      <c r="A24" s="1"/>
      <c r="B24" s="74">
        <v>1.0</v>
      </c>
      <c r="C24" s="75" t="s">
        <v>115</v>
      </c>
      <c r="D24" s="76">
        <f>SUM(G20)</f>
        <v>1230000</v>
      </c>
      <c r="E24" s="77"/>
      <c r="F24" s="1"/>
      <c r="G24" s="1"/>
      <c r="H24" s="1"/>
      <c r="I24" s="1"/>
      <c r="J24" s="1"/>
      <c r="K24" s="1"/>
      <c r="L24" s="1"/>
      <c r="M24" s="1"/>
      <c r="N24" s="78" t="s">
        <v>119</v>
      </c>
      <c r="O24" s="79" t="s">
        <v>32</v>
      </c>
      <c r="P24" s="1"/>
      <c r="Q24" s="1"/>
      <c r="R24" s="1"/>
    </row>
    <row r="25" ht="15.75" customHeight="1">
      <c r="A25" s="1"/>
      <c r="B25" s="80">
        <v>2.0</v>
      </c>
      <c r="C25" s="82" t="s">
        <v>249</v>
      </c>
      <c r="D25" s="83">
        <v>-80000.0</v>
      </c>
      <c r="E25" s="77"/>
      <c r="F25" s="1"/>
      <c r="G25" s="1"/>
      <c r="H25" s="1"/>
      <c r="I25" s="1"/>
      <c r="J25" s="1"/>
      <c r="K25" s="1"/>
      <c r="L25" s="1"/>
      <c r="M25" s="1"/>
      <c r="N25" s="84" t="s">
        <v>125</v>
      </c>
      <c r="O25" s="85" t="s">
        <v>29</v>
      </c>
      <c r="P25" s="1"/>
      <c r="Q25" s="1"/>
      <c r="R25" s="1"/>
    </row>
    <row r="26" ht="15.75" customHeight="1">
      <c r="A26" s="1"/>
      <c r="B26" s="74">
        <v>3.0</v>
      </c>
      <c r="C26" s="89"/>
      <c r="D26" s="90"/>
      <c r="E26" s="77"/>
      <c r="F26" s="1"/>
      <c r="G26" s="1"/>
      <c r="H26" s="1"/>
      <c r="I26" s="1"/>
      <c r="J26" s="1"/>
      <c r="K26" s="1"/>
      <c r="L26" s="1"/>
      <c r="M26" s="1"/>
      <c r="N26" s="91" t="s">
        <v>128</v>
      </c>
      <c r="O26" s="92" t="s">
        <v>46</v>
      </c>
      <c r="P26" s="1"/>
      <c r="Q26" s="1"/>
      <c r="R26" s="1"/>
    </row>
    <row r="27" ht="15.75" customHeight="1">
      <c r="A27" s="1"/>
      <c r="B27" s="80">
        <v>4.0</v>
      </c>
      <c r="C27" s="94"/>
      <c r="D27" s="95"/>
      <c r="E27" s="77"/>
      <c r="F27" s="1"/>
      <c r="G27" s="1"/>
      <c r="H27" s="1"/>
      <c r="I27" s="1"/>
      <c r="J27" s="1"/>
      <c r="K27" s="1"/>
      <c r="L27" s="1"/>
      <c r="M27" s="1"/>
      <c r="N27" s="93" t="s">
        <v>131</v>
      </c>
      <c r="O27" s="85" t="s">
        <v>65</v>
      </c>
      <c r="P27" s="1"/>
      <c r="Q27" s="1"/>
      <c r="R27" s="1"/>
    </row>
    <row r="28" ht="15.75" customHeight="1">
      <c r="A28" s="1"/>
      <c r="B28" s="74">
        <v>5.0</v>
      </c>
      <c r="C28" s="75"/>
      <c r="D28" s="76"/>
      <c r="E28" s="77"/>
      <c r="F28" s="1"/>
      <c r="G28" s="1"/>
      <c r="H28" s="1"/>
      <c r="I28" s="1"/>
      <c r="J28" s="1"/>
      <c r="K28" s="1"/>
      <c r="L28" s="1"/>
      <c r="M28" s="1"/>
      <c r="N28" s="97"/>
      <c r="O28" s="1"/>
      <c r="P28" s="1"/>
      <c r="Q28" s="1"/>
      <c r="R28" s="1"/>
    </row>
    <row r="29" ht="15.75" customHeight="1">
      <c r="A29" s="1"/>
      <c r="B29" s="80">
        <v>6.0</v>
      </c>
      <c r="C29" s="94"/>
      <c r="D29" s="95"/>
      <c r="E29" s="77"/>
      <c r="F29" s="1"/>
      <c r="G29" s="1"/>
      <c r="H29" s="1"/>
      <c r="I29" s="1"/>
      <c r="J29" s="1"/>
      <c r="K29" s="98" t="s">
        <v>134</v>
      </c>
      <c r="Q29" s="1"/>
      <c r="R29" s="1"/>
    </row>
    <row r="30" ht="15.75" customHeight="1">
      <c r="A30" s="1"/>
      <c r="B30" s="74">
        <v>7.0</v>
      </c>
      <c r="C30" s="75"/>
      <c r="D30" s="76"/>
      <c r="E30" s="77"/>
      <c r="F30" s="1"/>
      <c r="G30" s="1"/>
      <c r="H30" s="1"/>
      <c r="I30" s="1"/>
      <c r="J30" s="1"/>
      <c r="K30" s="99" t="s">
        <v>2</v>
      </c>
      <c r="L30" s="99" t="s">
        <v>137</v>
      </c>
      <c r="M30" s="99" t="s">
        <v>138</v>
      </c>
      <c r="N30" s="99" t="s">
        <v>139</v>
      </c>
      <c r="O30" s="99" t="s">
        <v>140</v>
      </c>
      <c r="P30" s="99" t="s">
        <v>141</v>
      </c>
      <c r="Q30" s="1"/>
      <c r="R30" s="1"/>
      <c r="AC30" s="100" t="s">
        <v>143</v>
      </c>
      <c r="AD30" s="100" t="s">
        <v>144</v>
      </c>
      <c r="AE30" s="100" t="s">
        <v>145</v>
      </c>
      <c r="AF30" s="100" t="s">
        <v>146</v>
      </c>
      <c r="AG30" s="100" t="s">
        <v>148</v>
      </c>
    </row>
    <row r="31" ht="15.75" customHeight="1">
      <c r="A31" s="1"/>
      <c r="B31" s="80">
        <v>8.0</v>
      </c>
      <c r="C31" s="94"/>
      <c r="D31" s="95"/>
      <c r="E31" s="77"/>
      <c r="F31" s="1"/>
      <c r="G31" s="1"/>
      <c r="H31" s="1"/>
      <c r="I31" s="1"/>
      <c r="J31" s="1"/>
      <c r="K31" s="102" t="str">
        <f t="shared" ref="K31:K34" si="2">IF(O24="","",O24)</f>
        <v>INDAH</v>
      </c>
      <c r="L31" s="103">
        <v>5.0</v>
      </c>
      <c r="M31" s="103">
        <v>5.0</v>
      </c>
      <c r="N31" s="103">
        <v>5.0</v>
      </c>
      <c r="O31" s="103">
        <v>5.0</v>
      </c>
      <c r="P31" s="103">
        <v>5.0</v>
      </c>
      <c r="Q31" s="1"/>
      <c r="R31" s="1"/>
      <c r="AC31" s="100">
        <f t="shared" ref="AC31:AC36" si="3">IF(AG31="","",IF(COUNT(L31:P31)&lt;5,"",L31/5*20+M31/5*25+N31/5*25+O31/5*15+P31/5*15))</f>
        <v>100</v>
      </c>
      <c r="AD31" s="100" t="str">
        <f t="shared" ref="AD31:AD36" si="4">IF(AC31="","",IF(AC31&gt;=90,"Sangat Baik",IF(AC31&gt;=80,"Baik",IF(AC31&gt;=70,"Coaching","Underperform"))))</f>
        <v>Sangat Baik</v>
      </c>
      <c r="AE31" s="100" t="str">
        <f t="shared" ref="AE31:AE36" si="5">IF(AG31="","",IF(OR(AG31="INDAH",AG31="ADDEL",AG31="AMEL",AG31="PENTIL",AG31="JIJANG"),"Admin/CS","Fotografer"))</f>
        <v>Admin/CS</v>
      </c>
      <c r="AF31" s="100">
        <f t="shared" ref="AF31:AF36" si="6">IF(OR(AG31="",COUNT(L31:P31)&lt;5),"",1)</f>
        <v>1</v>
      </c>
      <c r="AG31" s="100" t="str">
        <f t="shared" ref="AG31:AG36" si="7">IFERROR(K31,"")</f>
        <v>INDAH</v>
      </c>
    </row>
    <row r="32" ht="15.75" customHeight="1">
      <c r="A32" s="1"/>
      <c r="B32" s="74">
        <v>9.0</v>
      </c>
      <c r="C32" s="75"/>
      <c r="D32" s="76"/>
      <c r="E32" s="77"/>
      <c r="F32" s="1"/>
      <c r="G32" s="1"/>
      <c r="H32" s="1"/>
      <c r="I32" s="1"/>
      <c r="J32" s="1"/>
      <c r="K32" s="102" t="str">
        <f t="shared" si="2"/>
        <v>AMEL</v>
      </c>
      <c r="L32" s="103">
        <v>4.0</v>
      </c>
      <c r="M32" s="103">
        <v>3.0</v>
      </c>
      <c r="N32" s="103">
        <v>5.0</v>
      </c>
      <c r="O32" s="103">
        <v>5.0</v>
      </c>
      <c r="P32" s="103">
        <v>4.0</v>
      </c>
      <c r="Q32" s="1"/>
      <c r="R32" s="1"/>
      <c r="AC32" s="100">
        <f t="shared" si="3"/>
        <v>83</v>
      </c>
      <c r="AD32" s="100" t="str">
        <f t="shared" si="4"/>
        <v>Baik</v>
      </c>
      <c r="AE32" s="100" t="str">
        <f t="shared" si="5"/>
        <v>Admin/CS</v>
      </c>
      <c r="AF32" s="100">
        <f t="shared" si="6"/>
        <v>1</v>
      </c>
      <c r="AG32" s="100" t="str">
        <f t="shared" si="7"/>
        <v>AMEL</v>
      </c>
    </row>
    <row r="33" ht="15.75" customHeight="1">
      <c r="A33" s="1"/>
      <c r="B33" s="80">
        <v>10.0</v>
      </c>
      <c r="C33" s="94"/>
      <c r="D33" s="95"/>
      <c r="E33" s="77"/>
      <c r="F33" s="1"/>
      <c r="G33" s="1"/>
      <c r="H33" s="1"/>
      <c r="I33" s="1"/>
      <c r="J33" s="1"/>
      <c r="K33" s="102" t="str">
        <f t="shared" si="2"/>
        <v>ADIF</v>
      </c>
      <c r="L33" s="103">
        <v>5.0</v>
      </c>
      <c r="M33" s="103">
        <v>5.0</v>
      </c>
      <c r="N33" s="103">
        <v>5.0</v>
      </c>
      <c r="O33" s="103">
        <v>5.0</v>
      </c>
      <c r="P33" s="103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ADIF</v>
      </c>
    </row>
    <row r="34" ht="15.75" customHeight="1">
      <c r="A34" s="1"/>
      <c r="B34" s="110">
        <v>11.0</v>
      </c>
      <c r="C34" s="111"/>
      <c r="D34" s="112"/>
      <c r="E34" s="77"/>
      <c r="F34" s="1"/>
      <c r="G34" s="1"/>
      <c r="H34" s="1"/>
      <c r="I34" s="1"/>
      <c r="J34" s="1"/>
      <c r="K34" s="102" t="str">
        <f t="shared" si="2"/>
        <v>SAKA</v>
      </c>
      <c r="L34" s="103">
        <v>5.0</v>
      </c>
      <c r="M34" s="103">
        <v>5.0</v>
      </c>
      <c r="N34" s="103">
        <v>5.0</v>
      </c>
      <c r="O34" s="103">
        <v>5.0</v>
      </c>
      <c r="P34" s="103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Fotografer</v>
      </c>
      <c r="AF34" s="100">
        <f t="shared" si="6"/>
        <v>1</v>
      </c>
      <c r="AG34" s="100" t="str">
        <f t="shared" si="7"/>
        <v>SAKA</v>
      </c>
    </row>
    <row r="35" ht="15.75" customHeight="1">
      <c r="A35" s="1"/>
      <c r="B35" s="1"/>
      <c r="C35" s="3"/>
      <c r="D35" s="115">
        <f>SUM(D24:D34)</f>
        <v>1150000</v>
      </c>
      <c r="E35" s="1"/>
      <c r="F35" s="1"/>
      <c r="G35" s="1"/>
      <c r="H35" s="1"/>
      <c r="I35" s="1"/>
      <c r="J35" s="1"/>
      <c r="K35" s="102"/>
      <c r="L35" s="117"/>
      <c r="M35" s="117"/>
      <c r="N35" s="117"/>
      <c r="O35" s="117"/>
      <c r="P35" s="117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2"/>
      <c r="L36" s="117"/>
      <c r="M36" s="117"/>
      <c r="N36" s="117"/>
      <c r="O36" s="117"/>
      <c r="P36" s="117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186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187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189</v>
      </c>
      <c r="M40" s="121" t="s">
        <v>190</v>
      </c>
    </row>
    <row r="41" ht="15.75" customHeight="1">
      <c r="K41" s="123" t="str">
        <f t="shared" ref="K41:K42" si="8">IF(O24="","",O24)</f>
        <v>INDAH</v>
      </c>
      <c r="L41" s="124">
        <v>4.0</v>
      </c>
      <c r="M41" s="127"/>
    </row>
    <row r="42" ht="15.75" customHeight="1">
      <c r="K42" s="123" t="str">
        <f t="shared" si="8"/>
        <v>AMEL</v>
      </c>
      <c r="L42" s="124">
        <v>3.0</v>
      </c>
      <c r="M42" s="127"/>
    </row>
    <row r="43" ht="15.75" customHeight="1"/>
    <row r="44" ht="19.5" customHeight="1">
      <c r="K44" s="129" t="s">
        <v>194</v>
      </c>
    </row>
    <row r="45" ht="19.5" customHeight="1">
      <c r="K45" s="130" t="s">
        <v>196</v>
      </c>
      <c r="M45" s="124">
        <v>26.0</v>
      </c>
    </row>
    <row r="46" ht="19.5" customHeight="1">
      <c r="K46" s="131" t="s">
        <v>197</v>
      </c>
      <c r="M46" s="132">
        <f>COUNTIF($I$4:$I$22,"DP")</f>
        <v>5</v>
      </c>
    </row>
    <row r="47" ht="19.5" customHeight="1">
      <c r="K47" s="131" t="s">
        <v>199</v>
      </c>
      <c r="M47" s="132">
        <f>COUNTIFS($I$4:$I$22,"&lt;&gt;DP",$I$4:$I$22,"&lt;&gt;")</f>
        <v>11</v>
      </c>
    </row>
    <row r="48" ht="19.5" customHeight="1">
      <c r="K48" s="133" t="s">
        <v>201</v>
      </c>
      <c r="M48" s="132">
        <f>M46+M47</f>
        <v>16</v>
      </c>
    </row>
    <row r="49" ht="19.5" customHeight="1">
      <c r="K49" s="130" t="s">
        <v>202</v>
      </c>
      <c r="M49" s="134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250</v>
      </c>
      <c r="D4" s="22" t="s">
        <v>251</v>
      </c>
      <c r="E4" s="24"/>
      <c r="F4" s="53">
        <v>46302.0</v>
      </c>
      <c r="G4" s="30"/>
      <c r="H4" s="34">
        <v>100000.0</v>
      </c>
      <c r="I4" s="26" t="s">
        <v>27</v>
      </c>
      <c r="J4" s="18"/>
      <c r="K4" s="18"/>
      <c r="L4" s="26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" t="s">
        <v>252</v>
      </c>
      <c r="D5" s="22" t="s">
        <v>251</v>
      </c>
      <c r="E5" s="24"/>
      <c r="F5" s="53">
        <v>46302.0</v>
      </c>
      <c r="G5" s="30"/>
      <c r="H5" s="34">
        <v>250000.0</v>
      </c>
      <c r="I5" s="26" t="s">
        <v>28</v>
      </c>
      <c r="J5" s="33" t="s">
        <v>30</v>
      </c>
      <c r="K5" s="33" t="s">
        <v>31</v>
      </c>
      <c r="L5" s="26" t="s">
        <v>32</v>
      </c>
      <c r="M5" s="26" t="s">
        <v>65</v>
      </c>
      <c r="N5" s="43"/>
      <c r="O5" s="43"/>
      <c r="P5" s="43"/>
      <c r="Q5" s="1"/>
      <c r="R5" s="1"/>
    </row>
    <row r="6" ht="15.75" customHeight="1">
      <c r="A6" s="1"/>
      <c r="B6" s="18">
        <v>3.0</v>
      </c>
      <c r="C6" s="162" t="s">
        <v>253</v>
      </c>
      <c r="D6" s="22" t="s">
        <v>37</v>
      </c>
      <c r="E6" s="52"/>
      <c r="F6" s="53">
        <v>46271.0</v>
      </c>
      <c r="G6" s="41"/>
      <c r="H6" s="34">
        <v>225000.0</v>
      </c>
      <c r="I6" s="26" t="s">
        <v>28</v>
      </c>
      <c r="J6" s="33" t="s">
        <v>30</v>
      </c>
      <c r="K6" s="33" t="s">
        <v>30</v>
      </c>
      <c r="L6" s="26" t="s">
        <v>32</v>
      </c>
      <c r="M6" s="26" t="s">
        <v>65</v>
      </c>
      <c r="N6" s="43"/>
      <c r="O6" s="43"/>
      <c r="P6" s="43"/>
      <c r="Q6" s="1"/>
      <c r="R6" s="1"/>
    </row>
    <row r="7" ht="15.75" customHeight="1">
      <c r="A7" s="1"/>
      <c r="B7" s="18">
        <v>4.0</v>
      </c>
      <c r="C7" s="19" t="s">
        <v>254</v>
      </c>
      <c r="D7" s="22" t="s">
        <v>23</v>
      </c>
      <c r="E7" s="24"/>
      <c r="F7" s="53">
        <v>46302.0</v>
      </c>
      <c r="G7" s="30"/>
      <c r="H7" s="34">
        <v>250000.0</v>
      </c>
      <c r="I7" s="26" t="s">
        <v>28</v>
      </c>
      <c r="J7" s="33" t="s">
        <v>30</v>
      </c>
      <c r="K7" s="33" t="s">
        <v>31</v>
      </c>
      <c r="L7" s="26" t="s">
        <v>32</v>
      </c>
      <c r="M7" s="26" t="s">
        <v>65</v>
      </c>
      <c r="N7" s="43"/>
      <c r="O7" s="43"/>
      <c r="P7" s="43"/>
      <c r="Q7" s="1"/>
      <c r="R7" s="1"/>
    </row>
    <row r="8" ht="15.75" customHeight="1">
      <c r="A8" s="1"/>
      <c r="B8" s="18">
        <v>5.0</v>
      </c>
      <c r="C8" s="19" t="s">
        <v>255</v>
      </c>
      <c r="D8" s="22" t="s">
        <v>41</v>
      </c>
      <c r="E8" s="24"/>
      <c r="F8" s="163">
        <v>46302.0</v>
      </c>
      <c r="G8" s="30"/>
      <c r="H8" s="34">
        <v>175000.0</v>
      </c>
      <c r="I8" s="33" t="s">
        <v>28</v>
      </c>
      <c r="J8" s="33" t="s">
        <v>30</v>
      </c>
      <c r="K8" s="33" t="s">
        <v>30</v>
      </c>
      <c r="L8" s="33" t="s">
        <v>32</v>
      </c>
      <c r="M8" s="33" t="s">
        <v>65</v>
      </c>
      <c r="N8" s="43"/>
      <c r="O8" s="43"/>
      <c r="P8" s="43"/>
      <c r="Q8" s="1"/>
      <c r="R8" s="1"/>
    </row>
    <row r="9" ht="15.75" customHeight="1">
      <c r="A9" s="1"/>
      <c r="B9" s="18">
        <v>6.0</v>
      </c>
      <c r="C9" s="19" t="s">
        <v>124</v>
      </c>
      <c r="D9" s="22" t="s">
        <v>89</v>
      </c>
      <c r="E9" s="164" t="s">
        <v>256</v>
      </c>
      <c r="F9" s="163">
        <v>46298.0</v>
      </c>
      <c r="G9" s="30"/>
      <c r="H9" s="34">
        <v>50000.0</v>
      </c>
      <c r="I9" s="33" t="s">
        <v>28</v>
      </c>
      <c r="J9" s="18"/>
      <c r="K9" s="18"/>
      <c r="L9" s="33" t="s">
        <v>32</v>
      </c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9" t="s">
        <v>257</v>
      </c>
      <c r="D10" s="22" t="s">
        <v>41</v>
      </c>
      <c r="E10" s="39"/>
      <c r="F10" s="163">
        <v>46312.0</v>
      </c>
      <c r="G10" s="30"/>
      <c r="H10" s="34">
        <v>100000.0</v>
      </c>
      <c r="I10" s="33" t="s">
        <v>27</v>
      </c>
      <c r="J10" s="18"/>
      <c r="K10" s="18"/>
      <c r="L10" s="33" t="s">
        <v>32</v>
      </c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9" t="s">
        <v>258</v>
      </c>
      <c r="D11" s="22" t="s">
        <v>49</v>
      </c>
      <c r="E11" s="23"/>
      <c r="F11" s="26" t="s">
        <v>259</v>
      </c>
      <c r="G11" s="30"/>
      <c r="H11" s="34">
        <v>100000.0</v>
      </c>
      <c r="I11" s="33" t="s">
        <v>28</v>
      </c>
      <c r="J11" s="18"/>
      <c r="K11" s="18"/>
      <c r="L11" s="33" t="s">
        <v>29</v>
      </c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9" t="s">
        <v>260</v>
      </c>
      <c r="D12" s="22" t="s">
        <v>72</v>
      </c>
      <c r="E12" s="24"/>
      <c r="F12" s="26" t="s">
        <v>221</v>
      </c>
      <c r="G12" s="30"/>
      <c r="H12" s="34">
        <v>100000.0</v>
      </c>
      <c r="I12" s="33" t="s">
        <v>27</v>
      </c>
      <c r="J12" s="18"/>
      <c r="K12" s="18"/>
      <c r="L12" s="33" t="s">
        <v>29</v>
      </c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9" t="s">
        <v>261</v>
      </c>
      <c r="D13" s="22" t="s">
        <v>37</v>
      </c>
      <c r="E13" s="24"/>
      <c r="F13" s="26" t="s">
        <v>248</v>
      </c>
      <c r="G13" s="55">
        <v>125000.0</v>
      </c>
      <c r="H13" s="40"/>
      <c r="I13" s="33" t="s">
        <v>28</v>
      </c>
      <c r="J13" s="33" t="s">
        <v>30</v>
      </c>
      <c r="K13" s="33" t="s">
        <v>44</v>
      </c>
      <c r="L13" s="33" t="s">
        <v>29</v>
      </c>
      <c r="M13" s="33" t="s">
        <v>65</v>
      </c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19" t="s">
        <v>262</v>
      </c>
      <c r="D14" s="22" t="s">
        <v>41</v>
      </c>
      <c r="E14" s="24"/>
      <c r="F14" s="26" t="s">
        <v>263</v>
      </c>
      <c r="G14" s="30"/>
      <c r="H14" s="34">
        <v>100000.0</v>
      </c>
      <c r="I14" s="33" t="s">
        <v>27</v>
      </c>
      <c r="J14" s="18"/>
      <c r="K14" s="18"/>
      <c r="L14" s="33" t="s">
        <v>29</v>
      </c>
      <c r="M14" s="18"/>
      <c r="N14" s="43"/>
      <c r="O14" s="43"/>
      <c r="P14" s="43"/>
      <c r="Q14" s="1"/>
      <c r="R14" s="1"/>
    </row>
    <row r="15" ht="15.75" customHeight="1">
      <c r="A15" s="1"/>
      <c r="B15" s="18">
        <v>12.0</v>
      </c>
      <c r="C15" s="62"/>
      <c r="D15" s="64"/>
      <c r="E15" s="24"/>
      <c r="F15" s="165"/>
      <c r="G15" s="30"/>
      <c r="H15" s="40"/>
      <c r="I15" s="18"/>
      <c r="J15" s="18"/>
      <c r="K15" s="18"/>
      <c r="L15" s="18"/>
      <c r="M15" s="18"/>
      <c r="N15" s="43"/>
      <c r="O15" s="43"/>
      <c r="P15" s="43"/>
      <c r="Q15" s="1"/>
      <c r="R15" s="1"/>
    </row>
    <row r="16" ht="15.75" customHeight="1">
      <c r="A16" s="1"/>
      <c r="B16" s="18">
        <v>13.0</v>
      </c>
      <c r="C16" s="62"/>
      <c r="D16" s="64"/>
      <c r="E16" s="24"/>
      <c r="F16" s="165"/>
      <c r="G16" s="30"/>
      <c r="H16" s="40"/>
      <c r="I16" s="18"/>
      <c r="J16" s="18"/>
      <c r="K16" s="18"/>
      <c r="L16" s="18"/>
      <c r="M16" s="18"/>
      <c r="N16" s="43"/>
      <c r="O16" s="43"/>
      <c r="P16" s="43"/>
      <c r="Q16" s="1"/>
      <c r="R16" s="1"/>
    </row>
    <row r="17" ht="15.75" customHeight="1">
      <c r="A17" s="1"/>
      <c r="B17" s="18">
        <v>14.0</v>
      </c>
      <c r="C17" s="62"/>
      <c r="D17" s="64"/>
      <c r="E17" s="23"/>
      <c r="F17" s="165"/>
      <c r="G17" s="41"/>
      <c r="H17" s="107"/>
      <c r="I17" s="18"/>
      <c r="J17" s="18"/>
      <c r="K17" s="18"/>
      <c r="L17" s="18"/>
      <c r="M17" s="18"/>
      <c r="N17" s="43"/>
      <c r="O17" s="43"/>
      <c r="P17" s="43"/>
      <c r="Q17" s="1"/>
      <c r="R17" s="1"/>
    </row>
    <row r="18" ht="15.75" customHeight="1">
      <c r="A18" s="1"/>
      <c r="B18" s="18">
        <v>15.0</v>
      </c>
      <c r="C18" s="88"/>
      <c r="D18" s="62"/>
      <c r="E18" s="17"/>
      <c r="F18" s="18"/>
      <c r="G18" s="159"/>
      <c r="H18" s="63"/>
      <c r="I18" s="18"/>
      <c r="J18" s="18"/>
      <c r="K18" s="18"/>
      <c r="L18" s="18"/>
      <c r="M18" s="18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5">
        <f t="shared" ref="G19:H19" si="1">SUM(G4:G18)</f>
        <v>125000</v>
      </c>
      <c r="H19" s="71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1</v>
      </c>
      <c r="C22" s="73" t="s">
        <v>7</v>
      </c>
      <c r="D22" s="73" t="s">
        <v>112</v>
      </c>
      <c r="E22" s="1"/>
      <c r="F22" s="1"/>
      <c r="G22" s="1"/>
      <c r="H22" s="1"/>
      <c r="I22" s="1"/>
      <c r="J22" s="1"/>
      <c r="K22" s="1"/>
      <c r="L22" s="1"/>
      <c r="M22" s="1"/>
      <c r="N22" s="73" t="s">
        <v>114</v>
      </c>
      <c r="O22" s="73" t="s">
        <v>2</v>
      </c>
      <c r="P22" s="1"/>
      <c r="Q22" s="1"/>
      <c r="R22" s="1"/>
    </row>
    <row r="23" ht="15.75" customHeight="1">
      <c r="A23" s="1"/>
      <c r="B23" s="74">
        <v>1.0</v>
      </c>
      <c r="C23" s="75" t="s">
        <v>115</v>
      </c>
      <c r="D23" s="76">
        <f>SUM(G19)</f>
        <v>125000</v>
      </c>
      <c r="E23" s="77"/>
      <c r="F23" s="1"/>
      <c r="G23" s="1"/>
      <c r="H23" s="1"/>
      <c r="I23" s="1"/>
      <c r="J23" s="1"/>
      <c r="K23" s="1"/>
      <c r="L23" s="1"/>
      <c r="M23" s="1"/>
      <c r="N23" s="78" t="s">
        <v>119</v>
      </c>
      <c r="O23" s="79" t="s">
        <v>32</v>
      </c>
      <c r="P23" s="1"/>
      <c r="Q23" s="1"/>
      <c r="R23" s="1"/>
    </row>
    <row r="24" ht="15.75" customHeight="1">
      <c r="A24" s="1"/>
      <c r="B24" s="80">
        <v>2.0</v>
      </c>
      <c r="C24" s="86"/>
      <c r="D24" s="87"/>
      <c r="E24" s="77"/>
      <c r="F24" s="1"/>
      <c r="G24" s="1"/>
      <c r="H24" s="1"/>
      <c r="I24" s="1"/>
      <c r="J24" s="1"/>
      <c r="K24" s="1"/>
      <c r="L24" s="1"/>
      <c r="M24" s="1"/>
      <c r="N24" s="84" t="s">
        <v>125</v>
      </c>
      <c r="O24" s="85" t="s">
        <v>29</v>
      </c>
      <c r="P24" s="1"/>
      <c r="Q24" s="1"/>
      <c r="R24" s="1"/>
    </row>
    <row r="25" ht="15.75" customHeight="1">
      <c r="A25" s="1"/>
      <c r="B25" s="74">
        <v>3.0</v>
      </c>
      <c r="C25" s="89"/>
      <c r="D25" s="90"/>
      <c r="E25" s="77"/>
      <c r="F25" s="1"/>
      <c r="G25" s="1"/>
      <c r="H25" s="1"/>
      <c r="I25" s="1"/>
      <c r="J25" s="1"/>
      <c r="K25" s="1"/>
      <c r="L25" s="1"/>
      <c r="M25" s="1"/>
      <c r="N25" s="91" t="s">
        <v>128</v>
      </c>
      <c r="O25" s="92" t="s">
        <v>65</v>
      </c>
      <c r="P25" s="1"/>
      <c r="Q25" s="1"/>
      <c r="R25" s="1"/>
    </row>
    <row r="26" ht="15.75" customHeight="1">
      <c r="A26" s="1"/>
      <c r="B26" s="80">
        <v>4.0</v>
      </c>
      <c r="C26" s="94"/>
      <c r="D26" s="95"/>
      <c r="E26" s="77"/>
      <c r="F26" s="1"/>
      <c r="G26" s="1"/>
      <c r="H26" s="1"/>
      <c r="I26" s="1"/>
      <c r="J26" s="1"/>
      <c r="K26" s="1"/>
      <c r="L26" s="1"/>
      <c r="M26" s="1"/>
      <c r="N26" s="93" t="s">
        <v>131</v>
      </c>
      <c r="O26" s="85" t="s">
        <v>65</v>
      </c>
      <c r="P26" s="1"/>
      <c r="Q26" s="1"/>
      <c r="R26" s="1"/>
    </row>
    <row r="27" ht="15.75" customHeight="1">
      <c r="A27" s="1"/>
      <c r="B27" s="74">
        <v>5.0</v>
      </c>
      <c r="C27" s="75"/>
      <c r="D27" s="76"/>
      <c r="E27" s="77"/>
      <c r="F27" s="96"/>
      <c r="G27" s="3"/>
      <c r="H27" s="1"/>
      <c r="I27" s="1"/>
      <c r="J27" s="1"/>
      <c r="K27" s="1"/>
      <c r="L27" s="1"/>
      <c r="M27" s="1"/>
      <c r="N27" s="97"/>
      <c r="O27" s="1"/>
      <c r="P27" s="1"/>
      <c r="Q27" s="1"/>
      <c r="R27" s="1"/>
    </row>
    <row r="28" ht="15.75" customHeight="1">
      <c r="A28" s="1"/>
      <c r="B28" s="80">
        <v>6.0</v>
      </c>
      <c r="C28" s="94"/>
      <c r="D28" s="95"/>
      <c r="E28" s="77"/>
      <c r="F28" s="1"/>
      <c r="G28" s="1"/>
      <c r="H28" s="1"/>
      <c r="I28" s="1"/>
      <c r="J28" s="1"/>
      <c r="K28" s="98" t="s">
        <v>134</v>
      </c>
      <c r="Q28" s="1"/>
      <c r="R28" s="1"/>
    </row>
    <row r="29" ht="15.75" customHeight="1">
      <c r="A29" s="1"/>
      <c r="B29" s="74">
        <v>7.0</v>
      </c>
      <c r="C29" s="75"/>
      <c r="D29" s="76"/>
      <c r="E29" s="77"/>
      <c r="F29" s="1"/>
      <c r="G29" s="1"/>
      <c r="H29" s="1"/>
      <c r="I29" s="1"/>
      <c r="J29" s="1"/>
      <c r="K29" s="99" t="s">
        <v>2</v>
      </c>
      <c r="L29" s="99" t="s">
        <v>137</v>
      </c>
      <c r="M29" s="99" t="s">
        <v>138</v>
      </c>
      <c r="N29" s="99" t="s">
        <v>139</v>
      </c>
      <c r="O29" s="99" t="s">
        <v>140</v>
      </c>
      <c r="P29" s="99" t="s">
        <v>141</v>
      </c>
      <c r="Q29" s="1"/>
      <c r="R29" s="1"/>
      <c r="AC29" s="100" t="s">
        <v>143</v>
      </c>
      <c r="AD29" s="100" t="s">
        <v>144</v>
      </c>
      <c r="AE29" s="100" t="s">
        <v>145</v>
      </c>
      <c r="AF29" s="100" t="s">
        <v>146</v>
      </c>
      <c r="AG29" s="100" t="s">
        <v>148</v>
      </c>
    </row>
    <row r="30" ht="15.75" customHeight="1">
      <c r="A30" s="1"/>
      <c r="B30" s="80">
        <v>8.0</v>
      </c>
      <c r="C30" s="94"/>
      <c r="D30" s="95"/>
      <c r="E30" s="77"/>
      <c r="F30" s="1"/>
      <c r="G30" s="1"/>
      <c r="H30" s="1"/>
      <c r="I30" s="1"/>
      <c r="J30" s="1"/>
      <c r="K30" s="102" t="str">
        <f t="shared" ref="K30:K33" si="2">IF(O23="","",O23)</f>
        <v>INDAH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1"/>
      <c r="R30" s="1"/>
      <c r="AC30" s="100">
        <f t="shared" ref="AC30:AC35" si="3">IF(AG30="","",IF(COUNT(L30:P30)&lt;5,"",L30/5*20+M30/5*25+N30/5*25+O30/5*15+P30/5*15))</f>
        <v>100</v>
      </c>
      <c r="AD30" s="100" t="str">
        <f t="shared" ref="AD30:AD35" si="4">IF(AC30="","",IF(AC30&gt;=90,"Sangat Baik",IF(AC30&gt;=80,"Baik",IF(AC30&gt;=70,"Coaching","Underperform"))))</f>
        <v>Sangat Baik</v>
      </c>
      <c r="AE30" s="100" t="str">
        <f t="shared" ref="AE30:AE35" si="5">IF(AG30="","",IF(OR(AG30="INDAH",AG30="ADDEL",AG30="AMEL",AG30="PENTIL",AG30="JIJANG"),"Admin/CS","Fotografer"))</f>
        <v>Admin/CS</v>
      </c>
      <c r="AF30" s="100">
        <f t="shared" ref="AF30:AF35" si="6">IF(OR(AG30="",COUNT(L30:P30)&lt;5),"",1)</f>
        <v>1</v>
      </c>
      <c r="AG30" s="100" t="str">
        <f t="shared" ref="AG30:AG35" si="7">IFERROR(K30,"")</f>
        <v>INDAH</v>
      </c>
    </row>
    <row r="31" ht="15.75" customHeight="1">
      <c r="A31" s="1"/>
      <c r="B31" s="74">
        <v>9.0</v>
      </c>
      <c r="C31" s="75"/>
      <c r="D31" s="76"/>
      <c r="E31" s="77"/>
      <c r="F31" s="1"/>
      <c r="G31" s="1"/>
      <c r="H31" s="1"/>
      <c r="I31" s="1"/>
      <c r="J31" s="1"/>
      <c r="K31" s="102" t="str">
        <f t="shared" si="2"/>
        <v>AMEL</v>
      </c>
      <c r="L31" s="103">
        <v>5.0</v>
      </c>
      <c r="M31" s="103">
        <v>5.0</v>
      </c>
      <c r="N31" s="103">
        <v>5.0</v>
      </c>
      <c r="O31" s="103">
        <v>5.0</v>
      </c>
      <c r="P31" s="103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Admin/CS</v>
      </c>
      <c r="AF31" s="100">
        <f t="shared" si="6"/>
        <v>1</v>
      </c>
      <c r="AG31" s="100" t="str">
        <f t="shared" si="7"/>
        <v>AMEL</v>
      </c>
    </row>
    <row r="32" ht="15.75" customHeight="1">
      <c r="A32" s="1"/>
      <c r="B32" s="80">
        <v>10.0</v>
      </c>
      <c r="C32" s="94"/>
      <c r="D32" s="95"/>
      <c r="E32" s="77"/>
      <c r="F32" s="1"/>
      <c r="G32" s="1"/>
      <c r="H32" s="1"/>
      <c r="I32" s="1"/>
      <c r="J32" s="1"/>
      <c r="K32" s="102" t="str">
        <f t="shared" si="2"/>
        <v>SAKA</v>
      </c>
      <c r="L32" s="103">
        <v>5.0</v>
      </c>
      <c r="M32" s="103">
        <v>5.0</v>
      </c>
      <c r="N32" s="103">
        <v>5.0</v>
      </c>
      <c r="O32" s="103">
        <v>5.0</v>
      </c>
      <c r="P32" s="103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10">
        <v>11.0</v>
      </c>
      <c r="C33" s="111"/>
      <c r="D33" s="112"/>
      <c r="E33" s="77"/>
      <c r="F33" s="1"/>
      <c r="G33" s="1"/>
      <c r="H33" s="1"/>
      <c r="I33" s="1"/>
      <c r="J33" s="1"/>
      <c r="K33" s="102" t="str">
        <f t="shared" si="2"/>
        <v>SAKA</v>
      </c>
      <c r="L33" s="103">
        <v>5.0</v>
      </c>
      <c r="M33" s="103">
        <v>5.0</v>
      </c>
      <c r="N33" s="103">
        <v>5.0</v>
      </c>
      <c r="O33" s="103">
        <v>5.0</v>
      </c>
      <c r="P33" s="103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SAKA</v>
      </c>
    </row>
    <row r="34" ht="15.75" customHeight="1">
      <c r="A34" s="1"/>
      <c r="B34" s="1"/>
      <c r="C34" s="3"/>
      <c r="D34" s="115">
        <f>SUM(D23:D33)</f>
        <v>125000</v>
      </c>
      <c r="E34" s="1"/>
      <c r="F34" s="1"/>
      <c r="G34" s="1"/>
      <c r="H34" s="1"/>
      <c r="I34" s="1"/>
      <c r="J34" s="1"/>
      <c r="K34" s="102"/>
      <c r="L34" s="117"/>
      <c r="M34" s="117"/>
      <c r="N34" s="117"/>
      <c r="O34" s="117"/>
      <c r="P34" s="117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2"/>
      <c r="L35" s="117"/>
      <c r="M35" s="117"/>
      <c r="N35" s="117"/>
      <c r="O35" s="117"/>
      <c r="P35" s="117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8" t="s">
        <v>186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9" t="s">
        <v>187</v>
      </c>
      <c r="N38" s="1"/>
      <c r="O38" s="1"/>
      <c r="P38" s="1"/>
      <c r="Q38" s="1"/>
      <c r="R38" s="1"/>
    </row>
    <row r="39" ht="15.75" customHeight="1">
      <c r="K39" s="121" t="s">
        <v>8</v>
      </c>
      <c r="L39" s="121" t="s">
        <v>189</v>
      </c>
      <c r="M39" s="121" t="s">
        <v>190</v>
      </c>
    </row>
    <row r="40" ht="15.75" customHeight="1">
      <c r="K40" s="123" t="str">
        <f t="shared" ref="K40:K41" si="8">IF(O23="","",O23)</f>
        <v>INDAH</v>
      </c>
      <c r="L40" s="124">
        <v>2.0</v>
      </c>
      <c r="M40" s="124" t="s">
        <v>264</v>
      </c>
    </row>
    <row r="41" ht="15.75" customHeight="1">
      <c r="K41" s="123" t="str">
        <f t="shared" si="8"/>
        <v>AMEL</v>
      </c>
      <c r="L41" s="124">
        <v>3.0</v>
      </c>
      <c r="M41" s="124" t="s">
        <v>265</v>
      </c>
    </row>
    <row r="42" ht="15.75" customHeight="1"/>
    <row r="43" ht="19.5" customHeight="1">
      <c r="K43" s="129" t="s">
        <v>194</v>
      </c>
    </row>
    <row r="44" ht="19.5" customHeight="1">
      <c r="K44" s="130" t="s">
        <v>196</v>
      </c>
      <c r="M44" s="124">
        <v>21.0</v>
      </c>
    </row>
    <row r="45" ht="19.5" customHeight="1">
      <c r="K45" s="131" t="s">
        <v>197</v>
      </c>
      <c r="M45" s="132">
        <f>COUNTIF($I$4:$I$21,"DP")</f>
        <v>4</v>
      </c>
    </row>
    <row r="46" ht="19.5" customHeight="1">
      <c r="K46" s="131" t="s">
        <v>199</v>
      </c>
      <c r="M46" s="132">
        <f>COUNTIFS($I$4:$I$21,"&lt;&gt;DP",$I$4:$I$21,"&lt;&gt;")</f>
        <v>7</v>
      </c>
    </row>
    <row r="47" ht="19.5" customHeight="1">
      <c r="K47" s="133" t="s">
        <v>201</v>
      </c>
      <c r="M47" s="132">
        <f>M45+M46</f>
        <v>11</v>
      </c>
    </row>
    <row r="48" ht="19.5" customHeight="1">
      <c r="K48" s="130" t="s">
        <v>202</v>
      </c>
      <c r="M48" s="134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71</v>
      </c>
      <c r="D4" s="22" t="s">
        <v>40</v>
      </c>
      <c r="E4" s="23"/>
      <c r="F4" s="26" t="s">
        <v>38</v>
      </c>
      <c r="G4" s="32"/>
      <c r="H4" s="167">
        <v>100000.0</v>
      </c>
      <c r="I4" s="26" t="s">
        <v>28</v>
      </c>
      <c r="J4" s="26" t="s">
        <v>30</v>
      </c>
      <c r="K4" s="26" t="s">
        <v>30</v>
      </c>
      <c r="L4" s="26" t="s">
        <v>29</v>
      </c>
      <c r="M4" s="17"/>
      <c r="N4" s="18"/>
      <c r="O4" s="18"/>
      <c r="P4" s="108"/>
      <c r="Q4" s="1"/>
      <c r="R4" s="1"/>
    </row>
    <row r="5" ht="15.75" customHeight="1">
      <c r="A5" s="1"/>
      <c r="B5" s="18">
        <v>2.0</v>
      </c>
      <c r="C5" s="19" t="s">
        <v>266</v>
      </c>
      <c r="D5" s="22" t="s">
        <v>267</v>
      </c>
      <c r="E5" s="23"/>
      <c r="F5" s="26" t="s">
        <v>38</v>
      </c>
      <c r="G5" s="38">
        <v>50000.0</v>
      </c>
      <c r="H5" s="168"/>
      <c r="I5" s="26" t="s">
        <v>28</v>
      </c>
      <c r="J5" s="26" t="s">
        <v>30</v>
      </c>
      <c r="K5" s="26" t="s">
        <v>31</v>
      </c>
      <c r="L5" s="26" t="s">
        <v>29</v>
      </c>
      <c r="M5" s="26" t="s">
        <v>46</v>
      </c>
      <c r="N5" s="18"/>
      <c r="O5" s="18"/>
      <c r="P5" s="18"/>
      <c r="Q5" s="1"/>
      <c r="R5" s="1"/>
    </row>
    <row r="6" ht="15.75" customHeight="1">
      <c r="A6" s="1"/>
      <c r="B6" s="18">
        <v>3.0</v>
      </c>
      <c r="C6" s="19" t="s">
        <v>268</v>
      </c>
      <c r="D6" s="22" t="s">
        <v>238</v>
      </c>
      <c r="E6" s="23"/>
      <c r="F6" s="26" t="s">
        <v>269</v>
      </c>
      <c r="G6" s="32"/>
      <c r="H6" s="167">
        <v>20000.0</v>
      </c>
      <c r="I6" s="26" t="s">
        <v>28</v>
      </c>
      <c r="J6" s="26" t="s">
        <v>44</v>
      </c>
      <c r="K6" s="26" t="s">
        <v>44</v>
      </c>
      <c r="L6" s="26" t="s">
        <v>29</v>
      </c>
      <c r="M6" s="17"/>
      <c r="N6" s="18"/>
      <c r="O6" s="18"/>
      <c r="P6" s="18"/>
      <c r="Q6" s="1"/>
      <c r="R6" s="1"/>
    </row>
    <row r="7" ht="15.75" customHeight="1">
      <c r="A7" s="1"/>
      <c r="B7" s="18">
        <v>4.0</v>
      </c>
      <c r="C7" s="19" t="s">
        <v>270</v>
      </c>
      <c r="D7" s="22" t="s">
        <v>41</v>
      </c>
      <c r="E7" s="23"/>
      <c r="F7" s="26" t="s">
        <v>263</v>
      </c>
      <c r="G7" s="32"/>
      <c r="H7" s="167">
        <v>550000.0</v>
      </c>
      <c r="I7" s="26" t="s">
        <v>28</v>
      </c>
      <c r="J7" s="26" t="s">
        <v>30</v>
      </c>
      <c r="K7" s="26" t="s">
        <v>31</v>
      </c>
      <c r="L7" s="26" t="s">
        <v>29</v>
      </c>
      <c r="M7" s="26" t="s">
        <v>46</v>
      </c>
      <c r="N7" s="18"/>
      <c r="O7" s="18"/>
      <c r="P7" s="18"/>
      <c r="Q7" s="1"/>
      <c r="R7" s="1"/>
    </row>
    <row r="8" ht="15.75" customHeight="1">
      <c r="A8" s="1"/>
      <c r="B8" s="18">
        <v>5.0</v>
      </c>
      <c r="C8" s="19" t="s">
        <v>271</v>
      </c>
      <c r="D8" s="22" t="s">
        <v>41</v>
      </c>
      <c r="E8" s="23"/>
      <c r="F8" s="26" t="s">
        <v>259</v>
      </c>
      <c r="G8" s="44"/>
      <c r="H8" s="169">
        <v>100000.0</v>
      </c>
      <c r="I8" s="26" t="s">
        <v>27</v>
      </c>
      <c r="J8" s="17"/>
      <c r="K8" s="17"/>
      <c r="L8" s="26" t="s">
        <v>29</v>
      </c>
      <c r="M8" s="17"/>
      <c r="N8" s="18"/>
      <c r="O8" s="18"/>
      <c r="P8" s="18"/>
      <c r="Q8" s="1"/>
      <c r="R8" s="1"/>
      <c r="S8" s="170"/>
    </row>
    <row r="9" ht="15.75" customHeight="1">
      <c r="A9" s="1"/>
      <c r="B9" s="18">
        <v>6.0</v>
      </c>
      <c r="C9" s="19" t="s">
        <v>272</v>
      </c>
      <c r="D9" s="22" t="s">
        <v>23</v>
      </c>
      <c r="E9" s="52"/>
      <c r="F9" s="26" t="s">
        <v>263</v>
      </c>
      <c r="G9" s="32"/>
      <c r="H9" s="167">
        <v>290000.0</v>
      </c>
      <c r="I9" s="26" t="s">
        <v>28</v>
      </c>
      <c r="J9" s="26" t="s">
        <v>30</v>
      </c>
      <c r="K9" s="26" t="s">
        <v>31</v>
      </c>
      <c r="L9" s="26" t="s">
        <v>29</v>
      </c>
      <c r="M9" s="26" t="s">
        <v>46</v>
      </c>
      <c r="N9" s="18"/>
      <c r="O9" s="18"/>
      <c r="P9" s="18"/>
      <c r="Q9" s="1"/>
      <c r="R9" s="1"/>
      <c r="S9" s="170"/>
    </row>
    <row r="10" ht="15.75" customHeight="1">
      <c r="A10" s="1"/>
      <c r="B10" s="18">
        <v>7.0</v>
      </c>
      <c r="C10" s="19" t="s">
        <v>273</v>
      </c>
      <c r="D10" s="22" t="s">
        <v>49</v>
      </c>
      <c r="E10" s="52"/>
      <c r="F10" s="26" t="s">
        <v>263</v>
      </c>
      <c r="G10" s="32"/>
      <c r="H10" s="167">
        <v>100000.0</v>
      </c>
      <c r="I10" s="26" t="s">
        <v>28</v>
      </c>
      <c r="J10" s="17"/>
      <c r="K10" s="17"/>
      <c r="L10" s="26" t="s">
        <v>29</v>
      </c>
      <c r="M10" s="17"/>
      <c r="N10" s="18"/>
      <c r="O10" s="18"/>
      <c r="P10" s="18"/>
      <c r="Q10" s="1"/>
      <c r="R10" s="1"/>
      <c r="S10" s="170"/>
      <c r="U10" s="170"/>
    </row>
    <row r="11" ht="15.75" customHeight="1">
      <c r="A11" s="1"/>
      <c r="B11" s="18">
        <v>8.0</v>
      </c>
      <c r="C11" s="19" t="s">
        <v>230</v>
      </c>
      <c r="D11" s="22" t="s">
        <v>41</v>
      </c>
      <c r="E11" s="23"/>
      <c r="F11" s="26" t="s">
        <v>263</v>
      </c>
      <c r="G11" s="32"/>
      <c r="H11" s="167">
        <v>100000.0</v>
      </c>
      <c r="I11" s="26" t="s">
        <v>28</v>
      </c>
      <c r="J11" s="26" t="s">
        <v>30</v>
      </c>
      <c r="K11" s="26" t="s">
        <v>30</v>
      </c>
      <c r="L11" s="26" t="s">
        <v>29</v>
      </c>
      <c r="M11" s="26" t="s">
        <v>46</v>
      </c>
      <c r="N11" s="18"/>
      <c r="O11" s="18"/>
      <c r="P11" s="18"/>
      <c r="Q11" s="1"/>
      <c r="R11" s="1"/>
      <c r="S11" s="170"/>
      <c r="U11" s="170"/>
    </row>
    <row r="12" ht="15.75" customHeight="1">
      <c r="A12" s="1"/>
      <c r="B12" s="18">
        <v>9.0</v>
      </c>
      <c r="C12" s="19" t="s">
        <v>274</v>
      </c>
      <c r="D12" s="22" t="s">
        <v>23</v>
      </c>
      <c r="E12" s="23"/>
      <c r="F12" s="26" t="s">
        <v>263</v>
      </c>
      <c r="G12" s="38">
        <v>350000.0</v>
      </c>
      <c r="H12" s="168"/>
      <c r="I12" s="26" t="s">
        <v>28</v>
      </c>
      <c r="J12" s="26" t="s">
        <v>30</v>
      </c>
      <c r="K12" s="26" t="s">
        <v>31</v>
      </c>
      <c r="L12" s="26" t="s">
        <v>29</v>
      </c>
      <c r="M12" s="26" t="s">
        <v>65</v>
      </c>
      <c r="N12" s="18"/>
      <c r="O12" s="18"/>
      <c r="P12" s="18"/>
      <c r="Q12" s="1"/>
      <c r="R12" s="1"/>
      <c r="S12" s="170"/>
      <c r="U12" s="170"/>
    </row>
    <row r="13" ht="15.75" customHeight="1">
      <c r="A13" s="1"/>
      <c r="B13" s="18">
        <v>10.0</v>
      </c>
      <c r="C13" s="19" t="s">
        <v>275</v>
      </c>
      <c r="D13" s="22" t="s">
        <v>81</v>
      </c>
      <c r="E13" s="23"/>
      <c r="F13" s="26" t="s">
        <v>263</v>
      </c>
      <c r="G13" s="32"/>
      <c r="H13" s="167">
        <v>100000.0</v>
      </c>
      <c r="I13" s="26" t="s">
        <v>27</v>
      </c>
      <c r="J13" s="17"/>
      <c r="K13" s="17"/>
      <c r="L13" s="26" t="s">
        <v>29</v>
      </c>
      <c r="M13" s="17"/>
      <c r="N13" s="18"/>
      <c r="O13" s="18"/>
      <c r="P13" s="18"/>
      <c r="Q13" s="1"/>
      <c r="R13" s="1"/>
      <c r="S13" s="170"/>
      <c r="U13" s="170"/>
    </row>
    <row r="14" ht="15.75" customHeight="1">
      <c r="A14" s="1"/>
      <c r="B14" s="18">
        <v>11.0</v>
      </c>
      <c r="C14" s="19" t="s">
        <v>276</v>
      </c>
      <c r="D14" s="22" t="s">
        <v>277</v>
      </c>
      <c r="E14" s="23"/>
      <c r="F14" s="26" t="s">
        <v>263</v>
      </c>
      <c r="G14" s="32"/>
      <c r="H14" s="167">
        <v>200000.0</v>
      </c>
      <c r="I14" s="26" t="s">
        <v>28</v>
      </c>
      <c r="J14" s="26" t="s">
        <v>30</v>
      </c>
      <c r="K14" s="26" t="s">
        <v>31</v>
      </c>
      <c r="L14" s="26" t="s">
        <v>29</v>
      </c>
      <c r="M14" s="26" t="s">
        <v>65</v>
      </c>
      <c r="N14" s="18"/>
      <c r="O14" s="18"/>
      <c r="P14" s="18"/>
      <c r="Q14" s="1"/>
      <c r="R14" s="1"/>
      <c r="S14" s="170"/>
      <c r="U14" s="170"/>
    </row>
    <row r="15" ht="15.75" customHeight="1">
      <c r="A15" s="1"/>
      <c r="B15" s="18">
        <v>12.0</v>
      </c>
      <c r="C15" s="19" t="s">
        <v>278</v>
      </c>
      <c r="D15" s="22" t="s">
        <v>81</v>
      </c>
      <c r="E15" s="23"/>
      <c r="F15" s="26" t="s">
        <v>263</v>
      </c>
      <c r="G15" s="32"/>
      <c r="H15" s="167">
        <v>150000.0</v>
      </c>
      <c r="I15" s="26" t="s">
        <v>28</v>
      </c>
      <c r="J15" s="26" t="s">
        <v>30</v>
      </c>
      <c r="K15" s="26" t="s">
        <v>31</v>
      </c>
      <c r="L15" s="26" t="s">
        <v>29</v>
      </c>
      <c r="M15" s="26" t="s">
        <v>65</v>
      </c>
      <c r="N15" s="18"/>
      <c r="O15" s="18"/>
      <c r="P15" s="18"/>
      <c r="Q15" s="1"/>
      <c r="R15" s="1"/>
      <c r="S15" s="170"/>
      <c r="U15" s="170"/>
    </row>
    <row r="16" ht="15.75" customHeight="1">
      <c r="A16" s="1"/>
      <c r="B16" s="18">
        <v>13.0</v>
      </c>
      <c r="C16" s="19" t="s">
        <v>279</v>
      </c>
      <c r="D16" s="22" t="s">
        <v>41</v>
      </c>
      <c r="E16" s="23"/>
      <c r="F16" s="26" t="s">
        <v>259</v>
      </c>
      <c r="G16" s="32"/>
      <c r="H16" s="167">
        <v>100000.0</v>
      </c>
      <c r="I16" s="26" t="s">
        <v>27</v>
      </c>
      <c r="J16" s="17"/>
      <c r="K16" s="17"/>
      <c r="L16" s="26" t="s">
        <v>29</v>
      </c>
      <c r="M16" s="17"/>
      <c r="N16" s="18"/>
      <c r="O16" s="18"/>
      <c r="P16" s="18"/>
      <c r="Q16" s="1"/>
      <c r="R16" s="1"/>
      <c r="S16" s="170"/>
      <c r="U16" s="170"/>
    </row>
    <row r="17" ht="15.75" customHeight="1">
      <c r="A17" s="1"/>
      <c r="B17" s="18">
        <v>14.0</v>
      </c>
      <c r="C17" s="19" t="s">
        <v>276</v>
      </c>
      <c r="D17" s="22" t="s">
        <v>280</v>
      </c>
      <c r="E17" s="23"/>
      <c r="F17" s="26" t="s">
        <v>263</v>
      </c>
      <c r="G17" s="32"/>
      <c r="H17" s="167">
        <v>400000.0</v>
      </c>
      <c r="I17" s="26" t="s">
        <v>28</v>
      </c>
      <c r="J17" s="26" t="s">
        <v>30</v>
      </c>
      <c r="K17" s="26" t="s">
        <v>31</v>
      </c>
      <c r="L17" s="26" t="s">
        <v>29</v>
      </c>
      <c r="M17" s="26" t="s">
        <v>65</v>
      </c>
      <c r="N17" s="18"/>
      <c r="O17" s="18"/>
      <c r="P17" s="18"/>
      <c r="Q17" s="1"/>
      <c r="R17" s="1"/>
      <c r="S17" s="170"/>
      <c r="U17" s="170"/>
    </row>
    <row r="18" ht="15.75" customHeight="1">
      <c r="A18" s="1"/>
      <c r="B18" s="18">
        <v>15.0</v>
      </c>
      <c r="C18" s="26" t="s">
        <v>281</v>
      </c>
      <c r="D18" s="22" t="s">
        <v>277</v>
      </c>
      <c r="E18" s="164">
        <v>2.0</v>
      </c>
      <c r="F18" s="26" t="s">
        <v>221</v>
      </c>
      <c r="G18" s="32"/>
      <c r="H18" s="167">
        <v>100000.0</v>
      </c>
      <c r="I18" s="26" t="s">
        <v>28</v>
      </c>
      <c r="J18" s="17"/>
      <c r="K18" s="17"/>
      <c r="L18" s="26" t="s">
        <v>29</v>
      </c>
      <c r="M18" s="17"/>
      <c r="N18" s="18"/>
      <c r="O18" s="18"/>
      <c r="P18" s="18"/>
      <c r="Q18" s="1"/>
      <c r="R18" s="1"/>
      <c r="S18" s="170"/>
      <c r="U18" s="170"/>
    </row>
    <row r="19" ht="15.75" customHeight="1">
      <c r="A19" s="1"/>
      <c r="B19" s="18">
        <v>16.0</v>
      </c>
      <c r="C19" s="19" t="s">
        <v>273</v>
      </c>
      <c r="D19" s="22" t="s">
        <v>267</v>
      </c>
      <c r="E19" s="23"/>
      <c r="F19" s="26" t="s">
        <v>263</v>
      </c>
      <c r="G19" s="32"/>
      <c r="H19" s="167">
        <v>50000.0</v>
      </c>
      <c r="I19" s="26" t="s">
        <v>28</v>
      </c>
      <c r="J19" s="26" t="s">
        <v>30</v>
      </c>
      <c r="K19" s="26" t="s">
        <v>31</v>
      </c>
      <c r="L19" s="26" t="s">
        <v>29</v>
      </c>
      <c r="M19" s="26" t="s">
        <v>65</v>
      </c>
      <c r="N19" s="18"/>
      <c r="O19" s="18"/>
      <c r="P19" s="18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400000</v>
      </c>
      <c r="H20" s="71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0" t="s">
        <v>1</v>
      </c>
      <c r="C23" s="73" t="s">
        <v>7</v>
      </c>
      <c r="D23" s="73" t="s">
        <v>112</v>
      </c>
      <c r="E23" s="1"/>
      <c r="F23" s="1"/>
      <c r="G23" s="1"/>
      <c r="H23" s="1"/>
      <c r="I23" s="1"/>
      <c r="J23" s="1"/>
      <c r="K23" s="1"/>
      <c r="L23" s="1"/>
      <c r="M23" s="1"/>
      <c r="N23" s="73" t="s">
        <v>114</v>
      </c>
      <c r="O23" s="73" t="s">
        <v>2</v>
      </c>
      <c r="P23" s="1"/>
      <c r="Q23" s="1"/>
      <c r="R23" s="1"/>
    </row>
    <row r="24" ht="15.75" customHeight="1">
      <c r="A24" s="1"/>
      <c r="B24" s="74">
        <v>1.0</v>
      </c>
      <c r="C24" s="75" t="s">
        <v>115</v>
      </c>
      <c r="D24" s="76">
        <f>SUM(G20)</f>
        <v>400000</v>
      </c>
      <c r="E24" s="77"/>
      <c r="F24" s="1"/>
      <c r="G24" s="1"/>
      <c r="H24" s="1"/>
      <c r="I24" s="1"/>
      <c r="J24" s="1"/>
      <c r="K24" s="1"/>
      <c r="L24" s="1"/>
      <c r="M24" s="1"/>
      <c r="N24" s="78" t="s">
        <v>119</v>
      </c>
      <c r="O24" s="79" t="s">
        <v>29</v>
      </c>
      <c r="P24" s="1"/>
      <c r="Q24" s="1"/>
      <c r="R24" s="1"/>
    </row>
    <row r="25" ht="15.75" customHeight="1">
      <c r="A25" s="1"/>
      <c r="B25" s="80">
        <v>2.0</v>
      </c>
      <c r="C25" s="82" t="s">
        <v>212</v>
      </c>
      <c r="D25" s="83">
        <v>-12000.0</v>
      </c>
      <c r="E25" s="77"/>
      <c r="F25" s="1"/>
      <c r="G25" s="1"/>
      <c r="H25" s="1"/>
      <c r="I25" s="1"/>
      <c r="J25" s="1"/>
      <c r="K25" s="1"/>
      <c r="L25" s="1"/>
      <c r="M25" s="1"/>
      <c r="N25" s="84" t="s">
        <v>125</v>
      </c>
      <c r="O25" s="85" t="s">
        <v>29</v>
      </c>
      <c r="P25" s="1"/>
      <c r="Q25" s="1"/>
      <c r="R25" s="1"/>
    </row>
    <row r="26" ht="15.75" customHeight="1">
      <c r="A26" s="1"/>
      <c r="B26" s="74">
        <v>3.0</v>
      </c>
      <c r="C26" s="171" t="s">
        <v>249</v>
      </c>
      <c r="D26" s="172">
        <v>-88000.0</v>
      </c>
      <c r="E26" s="77"/>
      <c r="F26" s="1"/>
      <c r="G26" s="1"/>
      <c r="H26" s="1"/>
      <c r="I26" s="1"/>
      <c r="J26" s="1"/>
      <c r="K26" s="1"/>
      <c r="L26" s="1"/>
      <c r="M26" s="1"/>
      <c r="N26" s="91" t="s">
        <v>128</v>
      </c>
      <c r="O26" s="92" t="s">
        <v>46</v>
      </c>
      <c r="P26" s="1"/>
      <c r="Q26" s="1"/>
      <c r="R26" s="1"/>
    </row>
    <row r="27" ht="15.75" customHeight="1">
      <c r="A27" s="1"/>
      <c r="B27" s="80">
        <v>4.0</v>
      </c>
      <c r="C27" s="173" t="s">
        <v>282</v>
      </c>
      <c r="D27" s="146">
        <v>-50000.0</v>
      </c>
      <c r="E27" s="77"/>
      <c r="F27" s="1"/>
      <c r="G27" s="1"/>
      <c r="H27" s="1"/>
      <c r="I27" s="1"/>
      <c r="J27" s="1"/>
      <c r="K27" s="1"/>
      <c r="L27" s="1"/>
      <c r="M27" s="1"/>
      <c r="N27" s="93" t="s">
        <v>131</v>
      </c>
      <c r="O27" s="85" t="s">
        <v>65</v>
      </c>
      <c r="P27" s="1"/>
      <c r="Q27" s="1"/>
      <c r="R27" s="1"/>
    </row>
    <row r="28" ht="15.75" customHeight="1">
      <c r="A28" s="1"/>
      <c r="B28" s="74">
        <v>5.0</v>
      </c>
      <c r="C28" s="75"/>
      <c r="D28" s="76"/>
      <c r="E28" s="77"/>
      <c r="F28" s="1"/>
      <c r="G28" s="1"/>
      <c r="H28" s="1"/>
      <c r="I28" s="1"/>
      <c r="J28" s="1"/>
      <c r="K28" s="1"/>
      <c r="L28" s="1"/>
      <c r="M28" s="1"/>
      <c r="N28" s="97"/>
      <c r="O28" s="1"/>
      <c r="P28" s="1"/>
      <c r="Q28" s="1"/>
      <c r="R28" s="1"/>
    </row>
    <row r="29" ht="15.75" customHeight="1">
      <c r="A29" s="1"/>
      <c r="B29" s="80">
        <v>6.0</v>
      </c>
      <c r="C29" s="94"/>
      <c r="D29" s="95"/>
      <c r="E29" s="77"/>
      <c r="F29" s="1"/>
      <c r="G29" s="1"/>
      <c r="H29" s="1"/>
      <c r="I29" s="1"/>
      <c r="J29" s="1"/>
      <c r="K29" s="98" t="s">
        <v>134</v>
      </c>
      <c r="Q29" s="1"/>
      <c r="R29" s="1"/>
    </row>
    <row r="30" ht="15.75" customHeight="1">
      <c r="A30" s="1"/>
      <c r="B30" s="74">
        <v>7.0</v>
      </c>
      <c r="C30" s="75"/>
      <c r="D30" s="76"/>
      <c r="E30" s="77"/>
      <c r="F30" s="1"/>
      <c r="G30" s="1"/>
      <c r="H30" s="1"/>
      <c r="I30" s="1"/>
      <c r="J30" s="1"/>
      <c r="K30" s="99" t="s">
        <v>2</v>
      </c>
      <c r="L30" s="99" t="s">
        <v>137</v>
      </c>
      <c r="M30" s="99" t="s">
        <v>138</v>
      </c>
      <c r="N30" s="99" t="s">
        <v>139</v>
      </c>
      <c r="O30" s="99" t="s">
        <v>140</v>
      </c>
      <c r="P30" s="99" t="s">
        <v>141</v>
      </c>
      <c r="Q30" s="1"/>
      <c r="R30" s="1"/>
      <c r="AC30" s="100" t="s">
        <v>143</v>
      </c>
      <c r="AD30" s="100" t="s">
        <v>144</v>
      </c>
      <c r="AE30" s="100" t="s">
        <v>145</v>
      </c>
      <c r="AF30" s="100" t="s">
        <v>146</v>
      </c>
      <c r="AG30" s="100" t="s">
        <v>148</v>
      </c>
    </row>
    <row r="31" ht="15.75" customHeight="1">
      <c r="A31" s="1"/>
      <c r="B31" s="80">
        <v>8.0</v>
      </c>
      <c r="C31" s="94"/>
      <c r="D31" s="95"/>
      <c r="E31" s="77"/>
      <c r="F31" s="1"/>
      <c r="G31" s="1"/>
      <c r="H31" s="1"/>
      <c r="I31" s="1"/>
      <c r="J31" s="1"/>
      <c r="K31" s="102" t="str">
        <f t="shared" ref="K31:K34" si="2">IF(O24="","",O24)</f>
        <v>AMEL</v>
      </c>
      <c r="L31" s="103">
        <v>5.0</v>
      </c>
      <c r="M31" s="103">
        <v>5.0</v>
      </c>
      <c r="N31" s="103">
        <v>4.0</v>
      </c>
      <c r="O31" s="103">
        <v>4.0</v>
      </c>
      <c r="P31" s="103">
        <v>5.0</v>
      </c>
      <c r="Q31" s="1"/>
      <c r="R31" s="1"/>
      <c r="AC31" s="100">
        <f t="shared" ref="AC31:AC36" si="3">IF(AG31="","",IF(COUNT(L31:P31)&lt;5,"",L31/5*20+M31/5*25+N31/5*25+O31/5*15+P31/5*15))</f>
        <v>92</v>
      </c>
      <c r="AD31" s="100" t="str">
        <f t="shared" ref="AD31:AD36" si="4">IF(AC31="","",IF(AC31&gt;=90,"Sangat Baik",IF(AC31&gt;=80,"Baik",IF(AC31&gt;=70,"Coaching","Underperform"))))</f>
        <v>Sangat Baik</v>
      </c>
      <c r="AE31" s="100" t="str">
        <f t="shared" ref="AE31:AE36" si="5">IF(AG31="","",IF(OR(AG31="INDAH",AG31="ADDEL",AG31="AMEL",AG31="PENTIL",AG31="JIJANG"),"Admin/CS","Fotografer"))</f>
        <v>Admin/CS</v>
      </c>
      <c r="AF31" s="100">
        <f t="shared" ref="AF31:AF36" si="6">IF(OR(AG31="",COUNT(L31:P31)&lt;5),"",1)</f>
        <v>1</v>
      </c>
      <c r="AG31" s="100" t="str">
        <f t="shared" ref="AG31:AG36" si="7">IFERROR(K31,"")</f>
        <v>AMEL</v>
      </c>
    </row>
    <row r="32" ht="15.75" customHeight="1">
      <c r="A32" s="1"/>
      <c r="B32" s="74">
        <v>9.0</v>
      </c>
      <c r="C32" s="75"/>
      <c r="D32" s="76"/>
      <c r="E32" s="77"/>
      <c r="F32" s="1"/>
      <c r="G32" s="1"/>
      <c r="H32" s="1"/>
      <c r="I32" s="1"/>
      <c r="J32" s="1"/>
      <c r="K32" s="102" t="str">
        <f t="shared" si="2"/>
        <v>AMEL</v>
      </c>
      <c r="L32" s="103">
        <v>5.0</v>
      </c>
      <c r="M32" s="103">
        <v>5.0</v>
      </c>
      <c r="N32" s="103">
        <v>4.0</v>
      </c>
      <c r="O32" s="103">
        <v>4.0</v>
      </c>
      <c r="P32" s="103">
        <v>5.0</v>
      </c>
      <c r="Q32" s="1"/>
      <c r="R32" s="1"/>
      <c r="AC32" s="100">
        <f t="shared" si="3"/>
        <v>92</v>
      </c>
      <c r="AD32" s="100" t="str">
        <f t="shared" si="4"/>
        <v>Sangat Baik</v>
      </c>
      <c r="AE32" s="100" t="str">
        <f t="shared" si="5"/>
        <v>Admin/CS</v>
      </c>
      <c r="AF32" s="100">
        <f t="shared" si="6"/>
        <v>1</v>
      </c>
      <c r="AG32" s="100" t="str">
        <f t="shared" si="7"/>
        <v>AMEL</v>
      </c>
    </row>
    <row r="33" ht="15.75" customHeight="1">
      <c r="A33" s="1"/>
      <c r="B33" s="80">
        <v>10.0</v>
      </c>
      <c r="C33" s="94"/>
      <c r="D33" s="95"/>
      <c r="E33" s="77"/>
      <c r="F33" s="1"/>
      <c r="G33" s="1"/>
      <c r="H33" s="1"/>
      <c r="I33" s="1"/>
      <c r="J33" s="1"/>
      <c r="K33" s="102" t="str">
        <f t="shared" si="2"/>
        <v>ADIF</v>
      </c>
      <c r="L33" s="103">
        <v>5.0</v>
      </c>
      <c r="M33" s="103">
        <v>5.0</v>
      </c>
      <c r="N33" s="103">
        <v>5.0</v>
      </c>
      <c r="O33" s="103">
        <v>5.0</v>
      </c>
      <c r="P33" s="103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ADIF</v>
      </c>
    </row>
    <row r="34" ht="15.75" customHeight="1">
      <c r="A34" s="1"/>
      <c r="B34" s="110">
        <v>11.0</v>
      </c>
      <c r="C34" s="111"/>
      <c r="D34" s="112"/>
      <c r="E34" s="77"/>
      <c r="F34" s="1"/>
      <c r="G34" s="1"/>
      <c r="H34" s="1"/>
      <c r="I34" s="1"/>
      <c r="J34" s="1"/>
      <c r="K34" s="102" t="str">
        <f t="shared" si="2"/>
        <v>SAKA</v>
      </c>
      <c r="L34" s="103">
        <v>5.0</v>
      </c>
      <c r="M34" s="103">
        <v>5.0</v>
      </c>
      <c r="N34" s="103">
        <v>5.0</v>
      </c>
      <c r="O34" s="103">
        <v>5.0</v>
      </c>
      <c r="P34" s="103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Fotografer</v>
      </c>
      <c r="AF34" s="100">
        <f t="shared" si="6"/>
        <v>1</v>
      </c>
      <c r="AG34" s="100" t="str">
        <f t="shared" si="7"/>
        <v>SAKA</v>
      </c>
    </row>
    <row r="35" ht="15.75" customHeight="1">
      <c r="A35" s="1"/>
      <c r="B35" s="1"/>
      <c r="C35" s="3"/>
      <c r="D35" s="115">
        <f>SUM(D24:D34)</f>
        <v>250000</v>
      </c>
      <c r="E35" s="1"/>
      <c r="F35" s="1"/>
      <c r="G35" s="1"/>
      <c r="H35" s="1"/>
      <c r="I35" s="1"/>
      <c r="J35" s="1"/>
      <c r="K35" s="102"/>
      <c r="L35" s="117"/>
      <c r="M35" s="117"/>
      <c r="N35" s="117"/>
      <c r="O35" s="117"/>
      <c r="P35" s="117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2"/>
      <c r="L36" s="117"/>
      <c r="M36" s="117"/>
      <c r="N36" s="117"/>
      <c r="O36" s="117"/>
      <c r="P36" s="117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186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187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189</v>
      </c>
      <c r="M40" s="121" t="s">
        <v>190</v>
      </c>
    </row>
    <row r="41" ht="15.75" customHeight="1">
      <c r="K41" s="123" t="str">
        <f t="shared" ref="K41:K42" si="8">IF(O24="","",O24)</f>
        <v>AMEL</v>
      </c>
      <c r="L41" s="124">
        <v>5.0</v>
      </c>
      <c r="M41" s="127"/>
    </row>
    <row r="42" ht="15.75" customHeight="1">
      <c r="K42" s="123" t="str">
        <f t="shared" si="8"/>
        <v>AMEL</v>
      </c>
      <c r="L42" s="127"/>
      <c r="M42" s="127"/>
    </row>
    <row r="43" ht="15.75" customHeight="1"/>
    <row r="44" ht="19.5" customHeight="1">
      <c r="K44" s="129" t="s">
        <v>194</v>
      </c>
    </row>
    <row r="45" ht="19.5" customHeight="1">
      <c r="K45" s="130" t="s">
        <v>196</v>
      </c>
      <c r="M45" s="124">
        <v>20.0</v>
      </c>
    </row>
    <row r="46" ht="19.5" customHeight="1">
      <c r="K46" s="131" t="s">
        <v>197</v>
      </c>
      <c r="M46" s="132">
        <f>COUNTIF($I$4:$I$22,"DP")</f>
        <v>3</v>
      </c>
    </row>
    <row r="47" ht="19.5" customHeight="1">
      <c r="K47" s="131" t="s">
        <v>199</v>
      </c>
      <c r="M47" s="132">
        <f>COUNTIFS($I$4:$I$22,"&lt;&gt;DP",$I$4:$I$22,"&lt;&gt;")</f>
        <v>13</v>
      </c>
    </row>
    <row r="48" ht="19.5" customHeight="1">
      <c r="K48" s="133" t="s">
        <v>201</v>
      </c>
      <c r="M48" s="132">
        <f>M46+M47</f>
        <v>16</v>
      </c>
    </row>
    <row r="49" ht="19.5" customHeight="1">
      <c r="K49" s="130" t="s">
        <v>202</v>
      </c>
      <c r="M49" s="134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273</v>
      </c>
      <c r="D4" s="22" t="s">
        <v>54</v>
      </c>
      <c r="E4" s="23"/>
      <c r="F4" s="17"/>
      <c r="G4" s="32"/>
      <c r="H4" s="167">
        <v>140000.0</v>
      </c>
      <c r="I4" s="26" t="s">
        <v>28</v>
      </c>
      <c r="J4" s="26" t="s">
        <v>30</v>
      </c>
      <c r="K4" s="26" t="s">
        <v>30</v>
      </c>
      <c r="L4" s="26" t="s">
        <v>29</v>
      </c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" t="s">
        <v>283</v>
      </c>
      <c r="D5" s="22" t="s">
        <v>23</v>
      </c>
      <c r="E5" s="52"/>
      <c r="F5" s="26" t="s">
        <v>26</v>
      </c>
      <c r="G5" s="32"/>
      <c r="H5" s="167">
        <v>100000.0</v>
      </c>
      <c r="I5" s="26" t="s">
        <v>27</v>
      </c>
      <c r="J5" s="26" t="s">
        <v>44</v>
      </c>
      <c r="K5" s="26" t="s">
        <v>44</v>
      </c>
      <c r="L5" s="26" t="s">
        <v>29</v>
      </c>
      <c r="M5" s="17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9" t="s">
        <v>284</v>
      </c>
      <c r="D6" s="22" t="s">
        <v>81</v>
      </c>
      <c r="E6" s="23"/>
      <c r="F6" s="26" t="s">
        <v>60</v>
      </c>
      <c r="G6" s="32"/>
      <c r="H6" s="167">
        <v>100000.0</v>
      </c>
      <c r="I6" s="26" t="s">
        <v>27</v>
      </c>
      <c r="J6" s="26" t="s">
        <v>44</v>
      </c>
      <c r="K6" s="26" t="s">
        <v>44</v>
      </c>
      <c r="L6" s="26" t="s">
        <v>29</v>
      </c>
      <c r="M6" s="17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9" t="s">
        <v>260</v>
      </c>
      <c r="D7" s="22" t="s">
        <v>72</v>
      </c>
      <c r="E7" s="164" t="s">
        <v>285</v>
      </c>
      <c r="F7" s="26" t="s">
        <v>221</v>
      </c>
      <c r="G7" s="32"/>
      <c r="H7" s="167">
        <v>350000.0</v>
      </c>
      <c r="I7" s="26" t="s">
        <v>28</v>
      </c>
      <c r="J7" s="26" t="s">
        <v>44</v>
      </c>
      <c r="K7" s="26" t="s">
        <v>44</v>
      </c>
      <c r="L7" s="26" t="s">
        <v>29</v>
      </c>
      <c r="M7" s="17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9" t="s">
        <v>286</v>
      </c>
      <c r="D8" s="22" t="s">
        <v>49</v>
      </c>
      <c r="E8" s="23"/>
      <c r="F8" s="26" t="s">
        <v>60</v>
      </c>
      <c r="G8" s="32"/>
      <c r="H8" s="167">
        <v>100000.0</v>
      </c>
      <c r="I8" s="26" t="s">
        <v>28</v>
      </c>
      <c r="J8" s="26" t="s">
        <v>44</v>
      </c>
      <c r="K8" s="26" t="s">
        <v>44</v>
      </c>
      <c r="L8" s="26" t="s">
        <v>29</v>
      </c>
      <c r="M8" s="17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9" t="s">
        <v>287</v>
      </c>
      <c r="D9" s="22" t="s">
        <v>277</v>
      </c>
      <c r="E9" s="23"/>
      <c r="F9" s="26" t="s">
        <v>221</v>
      </c>
      <c r="G9" s="32"/>
      <c r="H9" s="167">
        <v>50000.0</v>
      </c>
      <c r="I9" s="26" t="s">
        <v>28</v>
      </c>
      <c r="J9" s="26" t="s">
        <v>30</v>
      </c>
      <c r="K9" s="26" t="s">
        <v>31</v>
      </c>
      <c r="L9" s="26" t="s">
        <v>29</v>
      </c>
      <c r="M9" s="26" t="s">
        <v>46</v>
      </c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9" t="s">
        <v>288</v>
      </c>
      <c r="D10" s="22" t="s">
        <v>23</v>
      </c>
      <c r="E10" s="23"/>
      <c r="F10" s="53">
        <v>46312.0</v>
      </c>
      <c r="G10" s="44"/>
      <c r="H10" s="169">
        <v>100000.0</v>
      </c>
      <c r="I10" s="26" t="s">
        <v>27</v>
      </c>
      <c r="J10" s="17"/>
      <c r="K10" s="17"/>
      <c r="L10" s="26" t="s">
        <v>32</v>
      </c>
      <c r="M10" s="17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9" t="s">
        <v>289</v>
      </c>
      <c r="D11" s="22" t="s">
        <v>37</v>
      </c>
      <c r="E11" s="23"/>
      <c r="F11" s="53">
        <v>46304.0</v>
      </c>
      <c r="G11" s="44"/>
      <c r="H11" s="169">
        <v>100000.0</v>
      </c>
      <c r="I11" s="26" t="s">
        <v>27</v>
      </c>
      <c r="J11" s="17"/>
      <c r="K11" s="17"/>
      <c r="L11" s="26" t="s">
        <v>32</v>
      </c>
      <c r="M11" s="17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9" t="s">
        <v>290</v>
      </c>
      <c r="D12" s="22" t="s">
        <v>41</v>
      </c>
      <c r="E12" s="164" t="s">
        <v>208</v>
      </c>
      <c r="F12" s="53">
        <v>46304.0</v>
      </c>
      <c r="G12" s="44"/>
      <c r="H12" s="169">
        <v>175000.0</v>
      </c>
      <c r="I12" s="26" t="s">
        <v>28</v>
      </c>
      <c r="J12" s="26" t="s">
        <v>30</v>
      </c>
      <c r="K12" s="26" t="s">
        <v>30</v>
      </c>
      <c r="L12" s="26" t="s">
        <v>32</v>
      </c>
      <c r="M12" s="26" t="s">
        <v>46</v>
      </c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9" t="s">
        <v>291</v>
      </c>
      <c r="D13" s="22" t="s">
        <v>41</v>
      </c>
      <c r="E13" s="23"/>
      <c r="F13" s="53">
        <v>46307.0</v>
      </c>
      <c r="G13" s="32"/>
      <c r="H13" s="167">
        <v>100000.0</v>
      </c>
      <c r="I13" s="26" t="s">
        <v>27</v>
      </c>
      <c r="J13" s="17"/>
      <c r="K13" s="17"/>
      <c r="L13" s="26" t="s">
        <v>32</v>
      </c>
      <c r="M13" s="17"/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19" t="s">
        <v>292</v>
      </c>
      <c r="D14" s="22" t="s">
        <v>277</v>
      </c>
      <c r="E14" s="23"/>
      <c r="F14" s="53">
        <v>46304.0</v>
      </c>
      <c r="G14" s="38">
        <v>0.0</v>
      </c>
      <c r="H14" s="167">
        <v>0.0</v>
      </c>
      <c r="I14" s="26" t="s">
        <v>28</v>
      </c>
      <c r="J14" s="26" t="s">
        <v>30</v>
      </c>
      <c r="K14" s="26" t="s">
        <v>30</v>
      </c>
      <c r="L14" s="26" t="s">
        <v>32</v>
      </c>
      <c r="M14" s="26" t="s">
        <v>46</v>
      </c>
      <c r="N14" s="43"/>
      <c r="O14" s="43"/>
      <c r="P14" s="43"/>
      <c r="Q14" s="1"/>
      <c r="R14" s="1"/>
    </row>
    <row r="15" ht="15.75" customHeight="1">
      <c r="A15" s="1"/>
      <c r="B15" s="18">
        <v>12.0</v>
      </c>
      <c r="C15" s="19" t="s">
        <v>293</v>
      </c>
      <c r="D15" s="22" t="s">
        <v>294</v>
      </c>
      <c r="E15" s="23"/>
      <c r="F15" s="17"/>
      <c r="G15" s="32"/>
      <c r="H15" s="167">
        <v>125000.0</v>
      </c>
      <c r="I15" s="26" t="s">
        <v>28</v>
      </c>
      <c r="J15" s="17"/>
      <c r="K15" s="17"/>
      <c r="L15" s="26" t="s">
        <v>32</v>
      </c>
      <c r="M15" s="17"/>
      <c r="N15" s="43"/>
      <c r="O15" s="43"/>
      <c r="P15" s="43"/>
      <c r="Q15" s="1"/>
      <c r="R15" s="1"/>
    </row>
    <row r="16" ht="15.75" customHeight="1">
      <c r="A16" s="1"/>
      <c r="B16" s="18">
        <v>13.0</v>
      </c>
      <c r="C16" s="19" t="s">
        <v>289</v>
      </c>
      <c r="D16" s="22" t="s">
        <v>37</v>
      </c>
      <c r="E16" s="23"/>
      <c r="F16" s="53">
        <v>46304.0</v>
      </c>
      <c r="G16" s="32"/>
      <c r="H16" s="167">
        <v>100000.0</v>
      </c>
      <c r="I16" s="26" t="s">
        <v>28</v>
      </c>
      <c r="J16" s="26" t="s">
        <v>30</v>
      </c>
      <c r="K16" s="26" t="s">
        <v>30</v>
      </c>
      <c r="L16" s="26" t="s">
        <v>32</v>
      </c>
      <c r="M16" s="26" t="s">
        <v>46</v>
      </c>
      <c r="N16" s="43"/>
      <c r="O16" s="43"/>
      <c r="P16" s="43"/>
      <c r="Q16" s="1"/>
      <c r="R16" s="1"/>
    </row>
    <row r="17" ht="15.75" customHeight="1">
      <c r="A17" s="1"/>
      <c r="B17" s="18">
        <v>14.0</v>
      </c>
      <c r="C17" s="19" t="s">
        <v>295</v>
      </c>
      <c r="D17" s="22" t="s">
        <v>81</v>
      </c>
      <c r="E17" s="23"/>
      <c r="F17" s="53">
        <v>46316.0</v>
      </c>
      <c r="G17" s="32"/>
      <c r="H17" s="167">
        <v>100000.0</v>
      </c>
      <c r="I17" s="26" t="s">
        <v>27</v>
      </c>
      <c r="J17" s="17"/>
      <c r="K17" s="17"/>
      <c r="L17" s="26" t="s">
        <v>32</v>
      </c>
      <c r="M17" s="17"/>
      <c r="N17" s="43"/>
      <c r="O17" s="43"/>
      <c r="P17" s="43"/>
      <c r="Q17" s="1"/>
      <c r="R17" s="1"/>
    </row>
    <row r="18" ht="15.75" customHeight="1">
      <c r="A18" s="1"/>
      <c r="B18" s="18">
        <v>15.0</v>
      </c>
      <c r="C18" s="19" t="s">
        <v>220</v>
      </c>
      <c r="D18" s="22" t="s">
        <v>41</v>
      </c>
      <c r="E18" s="23"/>
      <c r="F18" s="53">
        <v>46304.0</v>
      </c>
      <c r="G18" s="38">
        <v>200000.0</v>
      </c>
      <c r="H18" s="168"/>
      <c r="I18" s="26" t="s">
        <v>28</v>
      </c>
      <c r="J18" s="26" t="s">
        <v>30</v>
      </c>
      <c r="K18" s="26" t="s">
        <v>30</v>
      </c>
      <c r="L18" s="26" t="s">
        <v>32</v>
      </c>
      <c r="M18" s="26" t="s">
        <v>46</v>
      </c>
      <c r="N18" s="43"/>
      <c r="O18" s="43"/>
      <c r="P18" s="43"/>
      <c r="Q18" s="1"/>
      <c r="R18" s="1"/>
    </row>
    <row r="19" ht="15.75" customHeight="1">
      <c r="A19" s="1"/>
      <c r="B19" s="18">
        <v>16.0</v>
      </c>
      <c r="C19" s="19" t="s">
        <v>296</v>
      </c>
      <c r="D19" s="22" t="s">
        <v>280</v>
      </c>
      <c r="E19" s="23"/>
      <c r="F19" s="53">
        <v>46324.0</v>
      </c>
      <c r="G19" s="32"/>
      <c r="H19" s="167">
        <v>100000.0</v>
      </c>
      <c r="I19" s="26" t="s">
        <v>27</v>
      </c>
      <c r="J19" s="17"/>
      <c r="K19" s="17"/>
      <c r="L19" s="26" t="s">
        <v>32</v>
      </c>
      <c r="M19" s="17"/>
      <c r="N19" s="43"/>
      <c r="O19" s="43"/>
      <c r="P19" s="43"/>
      <c r="Q19" s="1"/>
      <c r="R19" s="1"/>
    </row>
    <row r="20" ht="15.75" customHeight="1">
      <c r="A20" s="1"/>
      <c r="B20" s="18"/>
      <c r="C20" s="19" t="s">
        <v>297</v>
      </c>
      <c r="D20" s="22" t="s">
        <v>184</v>
      </c>
      <c r="E20" s="164"/>
      <c r="F20" s="26" t="s">
        <v>298</v>
      </c>
      <c r="G20" s="32"/>
      <c r="H20" s="167">
        <v>100000.0</v>
      </c>
      <c r="I20" s="26" t="s">
        <v>27</v>
      </c>
      <c r="J20" s="17"/>
      <c r="K20" s="17"/>
      <c r="L20" s="26" t="s">
        <v>32</v>
      </c>
      <c r="M20" s="17"/>
      <c r="N20" s="43"/>
      <c r="O20" s="43"/>
      <c r="P20" s="43"/>
      <c r="Q20" s="1"/>
      <c r="R20" s="1"/>
    </row>
    <row r="21" ht="15.75" customHeight="1">
      <c r="A21" s="1"/>
      <c r="B21" s="18"/>
      <c r="C21" s="19" t="s">
        <v>299</v>
      </c>
      <c r="D21" s="22" t="s">
        <v>89</v>
      </c>
      <c r="E21" s="164" t="s">
        <v>300</v>
      </c>
      <c r="F21" s="17"/>
      <c r="G21" s="32"/>
      <c r="H21" s="167">
        <v>90000.0</v>
      </c>
      <c r="I21" s="26" t="s">
        <v>28</v>
      </c>
      <c r="J21" s="17"/>
      <c r="K21" s="17"/>
      <c r="L21" s="26" t="s">
        <v>32</v>
      </c>
      <c r="M21" s="17"/>
      <c r="N21" s="43"/>
      <c r="O21" s="43"/>
      <c r="P21" s="43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200000</v>
      </c>
      <c r="H22" s="71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1</v>
      </c>
      <c r="C25" s="73" t="s">
        <v>7</v>
      </c>
      <c r="D25" s="73" t="s">
        <v>112</v>
      </c>
      <c r="E25" s="1"/>
      <c r="F25" s="1"/>
      <c r="G25" s="1"/>
      <c r="H25" s="1"/>
      <c r="I25" s="1"/>
      <c r="J25" s="1"/>
      <c r="K25" s="1"/>
      <c r="L25" s="1"/>
      <c r="M25" s="1"/>
      <c r="N25" s="73" t="s">
        <v>114</v>
      </c>
      <c r="O25" s="73" t="s">
        <v>2</v>
      </c>
      <c r="P25" s="1"/>
      <c r="Q25" s="1"/>
      <c r="R25" s="1"/>
    </row>
    <row r="26" ht="15.75" customHeight="1">
      <c r="A26" s="1"/>
      <c r="B26" s="74">
        <v>1.0</v>
      </c>
      <c r="C26" s="75" t="s">
        <v>115</v>
      </c>
      <c r="D26" s="76">
        <f>SUM(G22)</f>
        <v>200000</v>
      </c>
      <c r="E26" s="77"/>
      <c r="F26" s="1"/>
      <c r="G26" s="1"/>
      <c r="H26" s="1"/>
      <c r="I26" s="1"/>
      <c r="J26" s="1"/>
      <c r="K26" s="1"/>
      <c r="L26" s="1"/>
      <c r="M26" s="1"/>
      <c r="N26" s="78" t="s">
        <v>119</v>
      </c>
      <c r="O26" s="79" t="s">
        <v>29</v>
      </c>
      <c r="P26" s="1"/>
      <c r="Q26" s="1"/>
      <c r="R26" s="1"/>
    </row>
    <row r="27" ht="15.75" customHeight="1">
      <c r="A27" s="1"/>
      <c r="B27" s="80">
        <v>2.0</v>
      </c>
      <c r="C27" s="82" t="s">
        <v>301</v>
      </c>
      <c r="D27" s="83">
        <v>-50000.0</v>
      </c>
      <c r="E27" s="77"/>
      <c r="F27" s="1"/>
      <c r="G27" s="1"/>
      <c r="H27" s="1"/>
      <c r="I27" s="1"/>
      <c r="J27" s="1"/>
      <c r="K27" s="1"/>
      <c r="L27" s="1"/>
      <c r="M27" s="1"/>
      <c r="N27" s="84" t="s">
        <v>125</v>
      </c>
      <c r="O27" s="85" t="s">
        <v>32</v>
      </c>
      <c r="P27" s="1"/>
      <c r="Q27" s="1"/>
      <c r="R27" s="1"/>
    </row>
    <row r="28" ht="15.75" customHeight="1">
      <c r="A28" s="1"/>
      <c r="B28" s="74">
        <v>3.0</v>
      </c>
      <c r="C28" s="171" t="s">
        <v>302</v>
      </c>
      <c r="D28" s="172">
        <v>-46000.0</v>
      </c>
      <c r="E28" s="77"/>
      <c r="F28" s="1"/>
      <c r="G28" s="1"/>
      <c r="H28" s="1"/>
      <c r="I28" s="1"/>
      <c r="J28" s="1"/>
      <c r="K28" s="1"/>
      <c r="L28" s="1"/>
      <c r="M28" s="1"/>
      <c r="N28" s="91" t="s">
        <v>128</v>
      </c>
      <c r="O28" s="92" t="s">
        <v>46</v>
      </c>
      <c r="P28" s="1"/>
      <c r="Q28" s="1"/>
      <c r="R28" s="1"/>
    </row>
    <row r="29" ht="15.75" customHeight="1">
      <c r="A29" s="1"/>
      <c r="B29" s="80">
        <v>4.0</v>
      </c>
      <c r="C29" s="94"/>
      <c r="D29" s="95"/>
      <c r="E29" s="77"/>
      <c r="F29" s="1"/>
      <c r="G29" s="1"/>
      <c r="H29" s="1"/>
      <c r="I29" s="1"/>
      <c r="J29" s="1"/>
      <c r="K29" s="1"/>
      <c r="L29" s="1"/>
      <c r="M29" s="1"/>
      <c r="N29" s="93" t="s">
        <v>131</v>
      </c>
      <c r="O29" s="85" t="s">
        <v>46</v>
      </c>
      <c r="P29" s="1"/>
      <c r="Q29" s="1"/>
      <c r="R29" s="1"/>
    </row>
    <row r="30" ht="15.75" customHeight="1">
      <c r="A30" s="1"/>
      <c r="B30" s="74">
        <v>5.0</v>
      </c>
      <c r="C30" s="75"/>
      <c r="D30" s="76"/>
      <c r="E30" s="77"/>
      <c r="F30" s="1"/>
      <c r="G30" s="1"/>
      <c r="H30" s="1"/>
      <c r="I30" s="1"/>
      <c r="J30" s="1"/>
      <c r="K30" s="1"/>
      <c r="L30" s="1"/>
      <c r="M30" s="1"/>
      <c r="N30" s="97"/>
      <c r="O30" s="1"/>
      <c r="P30" s="1"/>
      <c r="Q30" s="1"/>
      <c r="R30" s="1"/>
    </row>
    <row r="31" ht="15.75" customHeight="1">
      <c r="A31" s="1"/>
      <c r="B31" s="80">
        <v>6.0</v>
      </c>
      <c r="C31" s="94"/>
      <c r="D31" s="95"/>
      <c r="E31" s="77"/>
      <c r="F31" s="1"/>
      <c r="G31" s="1"/>
      <c r="H31" s="1"/>
      <c r="I31" s="1"/>
      <c r="J31" s="1"/>
      <c r="K31" s="98" t="s">
        <v>134</v>
      </c>
      <c r="Q31" s="1"/>
      <c r="R31" s="1"/>
    </row>
    <row r="32" ht="15.75" customHeight="1">
      <c r="A32" s="1"/>
      <c r="B32" s="74">
        <v>7.0</v>
      </c>
      <c r="C32" s="75"/>
      <c r="D32" s="76"/>
      <c r="E32" s="77"/>
      <c r="F32" s="1"/>
      <c r="G32" s="1"/>
      <c r="H32" s="1"/>
      <c r="I32" s="1"/>
      <c r="J32" s="1"/>
      <c r="K32" s="99" t="s">
        <v>2</v>
      </c>
      <c r="L32" s="99" t="s">
        <v>137</v>
      </c>
      <c r="M32" s="99" t="s">
        <v>138</v>
      </c>
      <c r="N32" s="99" t="s">
        <v>139</v>
      </c>
      <c r="O32" s="99" t="s">
        <v>140</v>
      </c>
      <c r="P32" s="99" t="s">
        <v>141</v>
      </c>
      <c r="Q32" s="1"/>
      <c r="R32" s="1"/>
      <c r="AC32" s="100" t="s">
        <v>143</v>
      </c>
      <c r="AD32" s="100" t="s">
        <v>144</v>
      </c>
      <c r="AE32" s="100" t="s">
        <v>145</v>
      </c>
      <c r="AF32" s="100" t="s">
        <v>146</v>
      </c>
      <c r="AG32" s="100" t="s">
        <v>148</v>
      </c>
    </row>
    <row r="33" ht="15.75" customHeight="1">
      <c r="A33" s="1"/>
      <c r="B33" s="80">
        <v>8.0</v>
      </c>
      <c r="C33" s="94"/>
      <c r="D33" s="95"/>
      <c r="E33" s="77"/>
      <c r="F33" s="1"/>
      <c r="G33" s="1"/>
      <c r="H33" s="1"/>
      <c r="I33" s="1"/>
      <c r="J33" s="1"/>
      <c r="K33" s="102" t="str">
        <f t="shared" ref="K33:K36" si="2">IF(O26="","",O26)</f>
        <v>AMEL</v>
      </c>
      <c r="L33" s="103">
        <v>4.0</v>
      </c>
      <c r="M33" s="103">
        <v>5.0</v>
      </c>
      <c r="N33" s="103">
        <v>4.0</v>
      </c>
      <c r="O33" s="103">
        <v>5.0</v>
      </c>
      <c r="P33" s="103">
        <v>4.0</v>
      </c>
      <c r="Q33" s="1"/>
      <c r="R33" s="1"/>
      <c r="AC33" s="100">
        <f t="shared" ref="AC33:AC38" si="3">IF(AG33="","",IF(COUNT(L33:P33)&lt;5,"",L33/5*20+M33/5*25+N33/5*25+O33/5*15+P33/5*15))</f>
        <v>88</v>
      </c>
      <c r="AD33" s="100" t="str">
        <f t="shared" ref="AD33:AD38" si="4">IF(AC33="","",IF(AC33&gt;=90,"Sangat Baik",IF(AC33&gt;=80,"Baik",IF(AC33&gt;=70,"Coaching","Underperform"))))</f>
        <v>Baik</v>
      </c>
      <c r="AE33" s="100" t="str">
        <f t="shared" ref="AE33:AE38" si="5">IF(AG33="","",IF(OR(AG33="INDAH",AG33="ADDEL",AG33="AMEL",AG33="PENTIL",AG33="JIJANG"),"Admin/CS","Fotografer"))</f>
        <v>Admin/CS</v>
      </c>
      <c r="AF33" s="100">
        <f t="shared" ref="AF33:AF38" si="6">IF(OR(AG33="",COUNT(L33:P33)&lt;5),"",1)</f>
        <v>1</v>
      </c>
      <c r="AG33" s="100" t="str">
        <f t="shared" ref="AG33:AG38" si="7">IFERROR(K33,"")</f>
        <v>AMEL</v>
      </c>
    </row>
    <row r="34" ht="15.75" customHeight="1">
      <c r="A34" s="1"/>
      <c r="B34" s="74">
        <v>9.0</v>
      </c>
      <c r="C34" s="75"/>
      <c r="D34" s="76"/>
      <c r="E34" s="77"/>
      <c r="F34" s="1"/>
      <c r="G34" s="1"/>
      <c r="H34" s="1"/>
      <c r="I34" s="1"/>
      <c r="J34" s="1"/>
      <c r="K34" s="102" t="str">
        <f t="shared" si="2"/>
        <v>INDAH</v>
      </c>
      <c r="L34" s="103">
        <v>5.0</v>
      </c>
      <c r="M34" s="103">
        <v>5.0</v>
      </c>
      <c r="N34" s="103">
        <v>5.0</v>
      </c>
      <c r="O34" s="103">
        <v>5.0</v>
      </c>
      <c r="P34" s="103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Admin/CS</v>
      </c>
      <c r="AF34" s="100">
        <f t="shared" si="6"/>
        <v>1</v>
      </c>
      <c r="AG34" s="100" t="str">
        <f t="shared" si="7"/>
        <v>INDAH</v>
      </c>
    </row>
    <row r="35" ht="15.75" customHeight="1">
      <c r="A35" s="1"/>
      <c r="B35" s="80">
        <v>10.0</v>
      </c>
      <c r="C35" s="94"/>
      <c r="D35" s="95"/>
      <c r="E35" s="77"/>
      <c r="F35" s="1"/>
      <c r="G35" s="1"/>
      <c r="H35" s="1"/>
      <c r="I35" s="1"/>
      <c r="J35" s="1"/>
      <c r="K35" s="102" t="str">
        <f t="shared" si="2"/>
        <v>ADIF</v>
      </c>
      <c r="L35" s="103">
        <v>5.0</v>
      </c>
      <c r="M35" s="103">
        <v>5.0</v>
      </c>
      <c r="N35" s="103">
        <v>5.0</v>
      </c>
      <c r="O35" s="103">
        <v>5.0</v>
      </c>
      <c r="P35" s="103">
        <v>5.0</v>
      </c>
      <c r="Q35" s="1"/>
      <c r="R35" s="1"/>
      <c r="AC35" s="100">
        <f t="shared" si="3"/>
        <v>100</v>
      </c>
      <c r="AD35" s="100" t="str">
        <f t="shared" si="4"/>
        <v>Sangat Baik</v>
      </c>
      <c r="AE35" s="100" t="str">
        <f t="shared" si="5"/>
        <v>Fotografer</v>
      </c>
      <c r="AF35" s="100">
        <f t="shared" si="6"/>
        <v>1</v>
      </c>
      <c r="AG35" s="100" t="str">
        <f t="shared" si="7"/>
        <v>ADIF</v>
      </c>
    </row>
    <row r="36" ht="15.75" customHeight="1">
      <c r="A36" s="1"/>
      <c r="B36" s="110">
        <v>11.0</v>
      </c>
      <c r="C36" s="111"/>
      <c r="D36" s="112"/>
      <c r="E36" s="77"/>
      <c r="F36" s="1"/>
      <c r="G36" s="1"/>
      <c r="H36" s="1"/>
      <c r="I36" s="1"/>
      <c r="J36" s="1"/>
      <c r="K36" s="102" t="str">
        <f t="shared" si="2"/>
        <v>ADIF</v>
      </c>
      <c r="L36" s="103">
        <v>5.0</v>
      </c>
      <c r="M36" s="103">
        <v>5.0</v>
      </c>
      <c r="N36" s="103">
        <v>5.0</v>
      </c>
      <c r="O36" s="103">
        <v>5.0</v>
      </c>
      <c r="P36" s="103">
        <v>5.0</v>
      </c>
      <c r="Q36" s="1"/>
      <c r="R36" s="1"/>
      <c r="AC36" s="100">
        <f t="shared" si="3"/>
        <v>100</v>
      </c>
      <c r="AD36" s="100" t="str">
        <f t="shared" si="4"/>
        <v>Sangat Baik</v>
      </c>
      <c r="AE36" s="100" t="str">
        <f t="shared" si="5"/>
        <v>Fotografer</v>
      </c>
      <c r="AF36" s="100">
        <f t="shared" si="6"/>
        <v>1</v>
      </c>
      <c r="AG36" s="100" t="str">
        <f t="shared" si="7"/>
        <v>ADIF</v>
      </c>
    </row>
    <row r="37" ht="15.75" customHeight="1">
      <c r="A37" s="1"/>
      <c r="B37" s="1"/>
      <c r="C37" s="3"/>
      <c r="D37" s="115">
        <f>SUM(D26:D36)</f>
        <v>104000</v>
      </c>
      <c r="E37" s="1"/>
      <c r="F37" s="1"/>
      <c r="G37" s="1"/>
      <c r="H37" s="1"/>
      <c r="I37" s="1"/>
      <c r="J37" s="1"/>
      <c r="K37" s="102"/>
      <c r="L37" s="117"/>
      <c r="M37" s="117"/>
      <c r="N37" s="117"/>
      <c r="O37" s="117"/>
      <c r="P37" s="117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2"/>
      <c r="L38" s="117"/>
      <c r="M38" s="117"/>
      <c r="N38" s="117"/>
      <c r="O38" s="117"/>
      <c r="P38" s="117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186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9" t="s">
        <v>187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189</v>
      </c>
      <c r="M42" s="121" t="s">
        <v>190</v>
      </c>
    </row>
    <row r="43" ht="15.75" customHeight="1">
      <c r="K43" s="123" t="str">
        <f t="shared" ref="K43:K44" si="8">IF(O26="","",O26)</f>
        <v>AMEL</v>
      </c>
      <c r="L43" s="124">
        <v>7.0</v>
      </c>
      <c r="M43" s="127"/>
    </row>
    <row r="44" ht="15.75" customHeight="1">
      <c r="K44" s="123" t="str">
        <f t="shared" si="8"/>
        <v>INDAH</v>
      </c>
      <c r="L44" s="124">
        <v>7.0</v>
      </c>
      <c r="M44" s="127"/>
    </row>
    <row r="45" ht="15.75" customHeight="1"/>
    <row r="46" ht="19.5" customHeight="1">
      <c r="K46" s="129" t="s">
        <v>194</v>
      </c>
    </row>
    <row r="47" ht="19.5" customHeight="1">
      <c r="K47" s="130" t="s">
        <v>196</v>
      </c>
      <c r="M47" s="124">
        <v>38.0</v>
      </c>
    </row>
    <row r="48" ht="19.5" customHeight="1">
      <c r="K48" s="131" t="s">
        <v>197</v>
      </c>
      <c r="M48" s="132">
        <f>COUNTIF($I$4:$I$24,"DP")</f>
        <v>8</v>
      </c>
    </row>
    <row r="49" ht="19.5" customHeight="1">
      <c r="K49" s="131" t="s">
        <v>199</v>
      </c>
      <c r="M49" s="132">
        <f>COUNTIFS($I$4:$I$24,"&lt;&gt;DP",$I$4:$I$24,"&lt;&gt;")</f>
        <v>10</v>
      </c>
    </row>
    <row r="50" ht="19.5" customHeight="1">
      <c r="K50" s="133" t="s">
        <v>201</v>
      </c>
      <c r="M50" s="132">
        <f>M48+M49</f>
        <v>18</v>
      </c>
    </row>
    <row r="51" ht="19.5" customHeight="1">
      <c r="K51" s="130" t="s">
        <v>202</v>
      </c>
      <c r="M51" s="134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303</v>
      </c>
      <c r="D4" s="22" t="s">
        <v>23</v>
      </c>
      <c r="E4" s="23"/>
      <c r="F4" s="53">
        <v>46306.0</v>
      </c>
      <c r="G4" s="30"/>
      <c r="H4" s="34">
        <v>100000.0</v>
      </c>
      <c r="I4" s="26" t="s">
        <v>27</v>
      </c>
      <c r="J4" s="17"/>
      <c r="K4" s="17"/>
      <c r="L4" s="26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" t="s">
        <v>304</v>
      </c>
      <c r="D5" s="22" t="s">
        <v>37</v>
      </c>
      <c r="E5" s="23"/>
      <c r="F5" s="53">
        <v>46305.0</v>
      </c>
      <c r="G5" s="30"/>
      <c r="H5" s="34">
        <v>100000.0</v>
      </c>
      <c r="I5" s="26" t="s">
        <v>27</v>
      </c>
      <c r="J5" s="17"/>
      <c r="K5" s="17"/>
      <c r="L5" s="26" t="s">
        <v>32</v>
      </c>
      <c r="M5" s="17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9" t="s">
        <v>305</v>
      </c>
      <c r="D6" s="22" t="s">
        <v>306</v>
      </c>
      <c r="E6" s="23"/>
      <c r="F6" s="53">
        <v>46305.0</v>
      </c>
      <c r="G6" s="41"/>
      <c r="H6" s="34">
        <v>50000.0</v>
      </c>
      <c r="I6" s="26" t="s">
        <v>28</v>
      </c>
      <c r="J6" s="26" t="s">
        <v>30</v>
      </c>
      <c r="K6" s="26" t="s">
        <v>31</v>
      </c>
      <c r="L6" s="26" t="s">
        <v>32</v>
      </c>
      <c r="M6" s="26" t="s">
        <v>46</v>
      </c>
      <c r="N6" s="43"/>
      <c r="O6" s="43"/>
      <c r="P6" s="43"/>
      <c r="Q6" s="1"/>
      <c r="R6" s="1"/>
    </row>
    <row r="7" ht="15.75" customHeight="1">
      <c r="A7" s="1"/>
      <c r="B7" s="18">
        <v>4.0</v>
      </c>
      <c r="C7" s="19" t="s">
        <v>307</v>
      </c>
      <c r="D7" s="22" t="s">
        <v>81</v>
      </c>
      <c r="E7" s="23"/>
      <c r="F7" s="53">
        <v>46305.0</v>
      </c>
      <c r="G7" s="55">
        <v>0.0</v>
      </c>
      <c r="H7" s="34">
        <v>0.0</v>
      </c>
      <c r="I7" s="26" t="s">
        <v>28</v>
      </c>
      <c r="J7" s="26" t="s">
        <v>30</v>
      </c>
      <c r="K7" s="26" t="s">
        <v>30</v>
      </c>
      <c r="L7" s="26" t="s">
        <v>32</v>
      </c>
      <c r="M7" s="26" t="s">
        <v>46</v>
      </c>
      <c r="N7" s="43"/>
      <c r="O7" s="43"/>
      <c r="P7" s="43"/>
      <c r="Q7" s="1"/>
      <c r="R7" s="1"/>
    </row>
    <row r="8" ht="15.75" customHeight="1">
      <c r="A8" s="1"/>
      <c r="B8" s="18">
        <v>5.0</v>
      </c>
      <c r="C8" s="19" t="s">
        <v>308</v>
      </c>
      <c r="D8" s="22" t="s">
        <v>251</v>
      </c>
      <c r="E8" s="164" t="s">
        <v>309</v>
      </c>
      <c r="F8" s="53">
        <v>46305.0</v>
      </c>
      <c r="G8" s="30"/>
      <c r="H8" s="34">
        <v>490000.0</v>
      </c>
      <c r="I8" s="26" t="s">
        <v>28</v>
      </c>
      <c r="J8" s="26" t="s">
        <v>30</v>
      </c>
      <c r="K8" s="26" t="s">
        <v>31</v>
      </c>
      <c r="L8" s="26" t="s">
        <v>32</v>
      </c>
      <c r="M8" s="26" t="s">
        <v>46</v>
      </c>
      <c r="N8" s="43"/>
      <c r="O8" s="43"/>
      <c r="P8" s="43"/>
      <c r="Q8" s="1"/>
      <c r="R8" s="1"/>
    </row>
    <row r="9" ht="15.75" customHeight="1">
      <c r="A9" s="1"/>
      <c r="B9" s="18">
        <v>6.0</v>
      </c>
      <c r="C9" s="19" t="s">
        <v>310</v>
      </c>
      <c r="D9" s="22" t="s">
        <v>81</v>
      </c>
      <c r="E9" s="23"/>
      <c r="F9" s="53">
        <v>46305.0</v>
      </c>
      <c r="G9" s="30"/>
      <c r="H9" s="34">
        <v>100000.0</v>
      </c>
      <c r="I9" s="26" t="s">
        <v>27</v>
      </c>
      <c r="J9" s="17"/>
      <c r="K9" s="17"/>
      <c r="L9" s="26" t="s">
        <v>32</v>
      </c>
      <c r="M9" s="17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9" t="s">
        <v>297</v>
      </c>
      <c r="D10" s="22" t="s">
        <v>184</v>
      </c>
      <c r="E10" s="23"/>
      <c r="F10" s="53">
        <v>46305.0</v>
      </c>
      <c r="G10" s="50">
        <v>100000.0</v>
      </c>
      <c r="H10" s="107"/>
      <c r="I10" s="26" t="s">
        <v>28</v>
      </c>
      <c r="J10" s="26" t="s">
        <v>30</v>
      </c>
      <c r="K10" s="26" t="s">
        <v>31</v>
      </c>
      <c r="L10" s="26" t="s">
        <v>32</v>
      </c>
      <c r="M10" s="26" t="s">
        <v>46</v>
      </c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9" t="s">
        <v>304</v>
      </c>
      <c r="D11" s="22" t="s">
        <v>37</v>
      </c>
      <c r="E11" s="164"/>
      <c r="F11" s="53">
        <v>46305.0</v>
      </c>
      <c r="G11" s="50">
        <v>100000.0</v>
      </c>
      <c r="H11" s="107"/>
      <c r="I11" s="26" t="s">
        <v>28</v>
      </c>
      <c r="J11" s="26" t="s">
        <v>30</v>
      </c>
      <c r="K11" s="26" t="s">
        <v>30</v>
      </c>
      <c r="L11" s="26" t="s">
        <v>32</v>
      </c>
      <c r="M11" s="26" t="s">
        <v>46</v>
      </c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9" t="s">
        <v>311</v>
      </c>
      <c r="D12" s="22" t="s">
        <v>41</v>
      </c>
      <c r="E12" s="23"/>
      <c r="F12" s="53">
        <v>46305.0</v>
      </c>
      <c r="G12" s="41"/>
      <c r="H12" s="42">
        <v>100000.0</v>
      </c>
      <c r="I12" s="26" t="s">
        <v>27</v>
      </c>
      <c r="J12" s="17"/>
      <c r="K12" s="17"/>
      <c r="L12" s="26" t="s">
        <v>32</v>
      </c>
      <c r="M12" s="17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9" t="s">
        <v>312</v>
      </c>
      <c r="D13" s="22" t="s">
        <v>41</v>
      </c>
      <c r="E13" s="23"/>
      <c r="F13" s="53">
        <v>46305.0</v>
      </c>
      <c r="G13" s="41"/>
      <c r="H13" s="42">
        <v>75000.0</v>
      </c>
      <c r="I13" s="26" t="s">
        <v>28</v>
      </c>
      <c r="J13" s="26" t="s">
        <v>30</v>
      </c>
      <c r="K13" s="26" t="s">
        <v>30</v>
      </c>
      <c r="L13" s="26" t="s">
        <v>32</v>
      </c>
      <c r="M13" s="26" t="s">
        <v>65</v>
      </c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19" t="s">
        <v>313</v>
      </c>
      <c r="D14" s="22" t="s">
        <v>41</v>
      </c>
      <c r="E14" s="23"/>
      <c r="F14" s="53">
        <v>46305.0</v>
      </c>
      <c r="G14" s="174"/>
      <c r="H14" s="42">
        <v>150000.0</v>
      </c>
      <c r="I14" s="26" t="s">
        <v>28</v>
      </c>
      <c r="J14" s="26" t="s">
        <v>30</v>
      </c>
      <c r="K14" s="26" t="s">
        <v>30</v>
      </c>
      <c r="L14" s="26" t="s">
        <v>32</v>
      </c>
      <c r="M14" s="26" t="s">
        <v>65</v>
      </c>
      <c r="N14" s="43"/>
      <c r="O14" s="43"/>
      <c r="P14" s="43"/>
      <c r="Q14" s="1"/>
      <c r="R14" s="1"/>
    </row>
    <row r="15" ht="15.75" customHeight="1">
      <c r="A15" s="1"/>
      <c r="B15" s="18">
        <v>12.0</v>
      </c>
      <c r="C15" s="19" t="s">
        <v>314</v>
      </c>
      <c r="D15" s="22" t="s">
        <v>37</v>
      </c>
      <c r="E15" s="23"/>
      <c r="F15" s="53">
        <v>46305.0</v>
      </c>
      <c r="G15" s="41"/>
      <c r="H15" s="42">
        <v>100000.0</v>
      </c>
      <c r="I15" s="26" t="s">
        <v>28</v>
      </c>
      <c r="J15" s="26" t="s">
        <v>30</v>
      </c>
      <c r="K15" s="26" t="s">
        <v>30</v>
      </c>
      <c r="L15" s="26" t="s">
        <v>32</v>
      </c>
      <c r="M15" s="26" t="s">
        <v>65</v>
      </c>
      <c r="N15" s="43"/>
      <c r="O15" s="43"/>
      <c r="P15" s="43"/>
      <c r="Q15" s="1"/>
      <c r="R15" s="1"/>
    </row>
    <row r="16" ht="15.75" customHeight="1">
      <c r="A16" s="1"/>
      <c r="B16" s="18">
        <v>13.0</v>
      </c>
      <c r="C16" s="19" t="s">
        <v>284</v>
      </c>
      <c r="D16" s="22" t="s">
        <v>81</v>
      </c>
      <c r="E16" s="23"/>
      <c r="F16" s="53">
        <v>46305.0</v>
      </c>
      <c r="G16" s="50">
        <v>50000.0</v>
      </c>
      <c r="H16" s="107"/>
      <c r="I16" s="26" t="s">
        <v>28</v>
      </c>
      <c r="J16" s="26" t="s">
        <v>30</v>
      </c>
      <c r="K16" s="26" t="s">
        <v>31</v>
      </c>
      <c r="L16" s="26" t="s">
        <v>32</v>
      </c>
      <c r="M16" s="26" t="s">
        <v>65</v>
      </c>
      <c r="N16" s="43"/>
      <c r="O16" s="43"/>
      <c r="P16" s="43"/>
      <c r="Q16" s="1"/>
      <c r="R16" s="1"/>
    </row>
    <row r="17" ht="15.75" customHeight="1">
      <c r="A17" s="1"/>
      <c r="B17" s="18">
        <v>14.0</v>
      </c>
      <c r="C17" s="19" t="s">
        <v>315</v>
      </c>
      <c r="D17" s="22" t="s">
        <v>23</v>
      </c>
      <c r="E17" s="23"/>
      <c r="F17" s="53">
        <v>46317.0</v>
      </c>
      <c r="G17" s="41"/>
      <c r="H17" s="42">
        <v>100000.0</v>
      </c>
      <c r="I17" s="26" t="s">
        <v>27</v>
      </c>
      <c r="J17" s="17"/>
      <c r="K17" s="17"/>
      <c r="L17" s="26" t="s">
        <v>32</v>
      </c>
      <c r="M17" s="17"/>
      <c r="N17" s="43"/>
      <c r="O17" s="43"/>
      <c r="P17" s="43"/>
      <c r="Q17" s="1"/>
      <c r="R17" s="1"/>
    </row>
    <row r="18" ht="15.75" customHeight="1">
      <c r="A18" s="1"/>
      <c r="B18" s="18">
        <v>15.0</v>
      </c>
      <c r="C18" s="19" t="s">
        <v>316</v>
      </c>
      <c r="D18" s="22" t="s">
        <v>41</v>
      </c>
      <c r="E18" s="23"/>
      <c r="F18" s="53">
        <v>46306.0</v>
      </c>
      <c r="G18" s="30"/>
      <c r="H18" s="34">
        <v>100000.0</v>
      </c>
      <c r="I18" s="26" t="s">
        <v>27</v>
      </c>
      <c r="J18" s="17"/>
      <c r="K18" s="17"/>
      <c r="L18" s="26" t="s">
        <v>32</v>
      </c>
      <c r="M18" s="17"/>
      <c r="N18" s="43"/>
      <c r="O18" s="43"/>
      <c r="P18" s="43"/>
      <c r="Q18" s="1"/>
      <c r="R18" s="1"/>
    </row>
    <row r="19" ht="15.75" customHeight="1">
      <c r="A19" s="1"/>
      <c r="B19" s="18">
        <v>16.0</v>
      </c>
      <c r="C19" s="19" t="s">
        <v>310</v>
      </c>
      <c r="D19" s="22" t="s">
        <v>81</v>
      </c>
      <c r="E19" s="23"/>
      <c r="F19" s="53">
        <v>46305.0</v>
      </c>
      <c r="G19" s="30"/>
      <c r="H19" s="34">
        <v>50000.0</v>
      </c>
      <c r="I19" s="26" t="s">
        <v>28</v>
      </c>
      <c r="J19" s="26" t="s">
        <v>30</v>
      </c>
      <c r="K19" s="26" t="s">
        <v>31</v>
      </c>
      <c r="L19" s="26" t="s">
        <v>32</v>
      </c>
      <c r="M19" s="26" t="s">
        <v>65</v>
      </c>
      <c r="N19" s="43"/>
      <c r="O19" s="43"/>
      <c r="P19" s="43"/>
      <c r="Q19" s="1"/>
      <c r="R19" s="1"/>
    </row>
    <row r="20" ht="15.75" customHeight="1">
      <c r="A20" s="1"/>
      <c r="B20" s="18">
        <v>17.0</v>
      </c>
      <c r="C20" s="19" t="s">
        <v>311</v>
      </c>
      <c r="D20" s="22" t="s">
        <v>41</v>
      </c>
      <c r="E20" s="23"/>
      <c r="F20" s="53">
        <v>46305.0</v>
      </c>
      <c r="G20" s="30"/>
      <c r="H20" s="34">
        <v>500000.0</v>
      </c>
      <c r="I20" s="26" t="s">
        <v>28</v>
      </c>
      <c r="J20" s="26" t="s">
        <v>30</v>
      </c>
      <c r="K20" s="26" t="s">
        <v>30</v>
      </c>
      <c r="L20" s="26" t="s">
        <v>32</v>
      </c>
      <c r="M20" s="26" t="s">
        <v>65</v>
      </c>
      <c r="N20" s="43"/>
      <c r="O20" s="43"/>
      <c r="P20" s="43"/>
      <c r="Q20" s="1"/>
      <c r="R20" s="1"/>
    </row>
    <row r="21" ht="15.75" customHeight="1">
      <c r="A21" s="1"/>
      <c r="B21" s="18">
        <v>18.0</v>
      </c>
      <c r="C21" s="62"/>
      <c r="D21" s="64"/>
      <c r="E21" s="23"/>
      <c r="F21" s="65"/>
      <c r="G21" s="30"/>
      <c r="H21" s="40"/>
      <c r="I21" s="17"/>
      <c r="J21" s="17"/>
      <c r="K21" s="17"/>
      <c r="L21" s="17"/>
      <c r="M21" s="17"/>
      <c r="N21" s="43"/>
      <c r="O21" s="43"/>
      <c r="P21" s="43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250000</v>
      </c>
      <c r="H22" s="71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1</v>
      </c>
      <c r="C25" s="73" t="s">
        <v>7</v>
      </c>
      <c r="D25" s="73" t="s">
        <v>112</v>
      </c>
      <c r="E25" s="1"/>
      <c r="F25" s="1"/>
      <c r="G25" s="1"/>
      <c r="H25" s="1"/>
      <c r="I25" s="1"/>
      <c r="J25" s="1"/>
      <c r="K25" s="1"/>
      <c r="L25" s="1"/>
      <c r="M25" s="1"/>
      <c r="N25" s="73" t="s">
        <v>114</v>
      </c>
      <c r="O25" s="73" t="s">
        <v>2</v>
      </c>
      <c r="P25" s="1"/>
      <c r="Q25" s="1"/>
      <c r="R25" s="1"/>
    </row>
    <row r="26" ht="15.75" customHeight="1">
      <c r="A26" s="1"/>
      <c r="B26" s="74">
        <v>1.0</v>
      </c>
      <c r="C26" s="75" t="s">
        <v>115</v>
      </c>
      <c r="D26" s="76">
        <f>SUM(G22)</f>
        <v>250000</v>
      </c>
      <c r="E26" s="77"/>
      <c r="F26" s="1"/>
      <c r="G26" s="1"/>
      <c r="H26" s="1"/>
      <c r="I26" s="1"/>
      <c r="J26" s="1"/>
      <c r="K26" s="1"/>
      <c r="L26" s="1"/>
      <c r="M26" s="1"/>
      <c r="N26" s="78" t="s">
        <v>119</v>
      </c>
      <c r="O26" s="79" t="s">
        <v>32</v>
      </c>
      <c r="P26" s="1"/>
      <c r="Q26" s="1"/>
      <c r="R26" s="1"/>
    </row>
    <row r="27" ht="15.75" customHeight="1">
      <c r="A27" s="1"/>
      <c r="B27" s="80">
        <v>2.0</v>
      </c>
      <c r="C27" s="86"/>
      <c r="D27" s="87"/>
      <c r="E27" s="77"/>
      <c r="F27" s="1"/>
      <c r="G27" s="1"/>
      <c r="H27" s="1"/>
      <c r="I27" s="1"/>
      <c r="J27" s="1"/>
      <c r="K27" s="1"/>
      <c r="L27" s="1"/>
      <c r="M27" s="1"/>
      <c r="N27" s="84" t="s">
        <v>125</v>
      </c>
      <c r="O27" s="85" t="s">
        <v>32</v>
      </c>
      <c r="P27" s="1"/>
      <c r="Q27" s="1"/>
      <c r="R27" s="1"/>
    </row>
    <row r="28" ht="15.75" customHeight="1">
      <c r="A28" s="1"/>
      <c r="B28" s="74">
        <v>3.0</v>
      </c>
      <c r="C28" s="89"/>
      <c r="D28" s="90"/>
      <c r="E28" s="77"/>
      <c r="F28" s="1"/>
      <c r="G28" s="1"/>
      <c r="H28" s="1"/>
      <c r="I28" s="1"/>
      <c r="J28" s="1"/>
      <c r="K28" s="1"/>
      <c r="L28" s="1"/>
      <c r="M28" s="1"/>
      <c r="N28" s="91" t="s">
        <v>128</v>
      </c>
      <c r="O28" s="92" t="s">
        <v>46</v>
      </c>
      <c r="P28" s="1"/>
      <c r="Q28" s="1"/>
      <c r="R28" s="1"/>
    </row>
    <row r="29" ht="15.75" customHeight="1">
      <c r="A29" s="1"/>
      <c r="B29" s="80">
        <v>4.0</v>
      </c>
      <c r="C29" s="86"/>
      <c r="D29" s="87"/>
      <c r="E29" s="77"/>
      <c r="F29" s="1"/>
      <c r="G29" s="1"/>
      <c r="H29" s="1"/>
      <c r="I29" s="1"/>
      <c r="J29" s="1"/>
      <c r="K29" s="1"/>
      <c r="L29" s="1"/>
      <c r="M29" s="1"/>
      <c r="N29" s="93" t="s">
        <v>131</v>
      </c>
      <c r="O29" s="85" t="s">
        <v>65</v>
      </c>
      <c r="P29" s="1"/>
      <c r="Q29" s="1"/>
      <c r="R29" s="1"/>
    </row>
    <row r="30" ht="15.75" customHeight="1">
      <c r="A30" s="1"/>
      <c r="B30" s="74">
        <v>5.0</v>
      </c>
      <c r="C30" s="89"/>
      <c r="D30" s="90"/>
      <c r="E30" s="77"/>
      <c r="F30" s="1"/>
      <c r="G30" s="1"/>
      <c r="H30" s="1"/>
      <c r="I30" s="1"/>
      <c r="J30" s="1"/>
      <c r="K30" s="1"/>
      <c r="L30" s="1"/>
      <c r="M30" s="1"/>
      <c r="N30" s="97"/>
      <c r="O30" s="1"/>
      <c r="P30" s="1"/>
      <c r="Q30" s="1"/>
      <c r="R30" s="1"/>
    </row>
    <row r="31" ht="15.75" customHeight="1">
      <c r="A31" s="1"/>
      <c r="B31" s="80">
        <v>6.0</v>
      </c>
      <c r="C31" s="94"/>
      <c r="D31" s="95"/>
      <c r="E31" s="77"/>
      <c r="F31" s="1"/>
      <c r="G31" s="1"/>
      <c r="H31" s="1"/>
      <c r="I31" s="1"/>
      <c r="J31" s="1"/>
      <c r="K31" s="98" t="s">
        <v>134</v>
      </c>
      <c r="Q31" s="1"/>
      <c r="R31" s="1"/>
    </row>
    <row r="32" ht="15.75" customHeight="1">
      <c r="A32" s="1"/>
      <c r="B32" s="74">
        <v>7.0</v>
      </c>
      <c r="C32" s="75"/>
      <c r="D32" s="76"/>
      <c r="E32" s="77"/>
      <c r="F32" s="1"/>
      <c r="G32" s="1"/>
      <c r="H32" s="1"/>
      <c r="I32" s="1"/>
      <c r="J32" s="1"/>
      <c r="K32" s="99" t="s">
        <v>2</v>
      </c>
      <c r="L32" s="99" t="s">
        <v>137</v>
      </c>
      <c r="M32" s="99" t="s">
        <v>138</v>
      </c>
      <c r="N32" s="99" t="s">
        <v>139</v>
      </c>
      <c r="O32" s="99" t="s">
        <v>140</v>
      </c>
      <c r="P32" s="99" t="s">
        <v>141</v>
      </c>
      <c r="Q32" s="1"/>
      <c r="R32" s="1"/>
      <c r="AC32" s="100" t="s">
        <v>143</v>
      </c>
      <c r="AD32" s="100" t="s">
        <v>144</v>
      </c>
      <c r="AE32" s="100" t="s">
        <v>145</v>
      </c>
      <c r="AF32" s="100" t="s">
        <v>146</v>
      </c>
      <c r="AG32" s="100" t="s">
        <v>148</v>
      </c>
    </row>
    <row r="33" ht="15.75" customHeight="1">
      <c r="A33" s="1"/>
      <c r="B33" s="80">
        <v>8.0</v>
      </c>
      <c r="C33" s="94"/>
      <c r="D33" s="95"/>
      <c r="E33" s="77"/>
      <c r="F33" s="1"/>
      <c r="G33" s="1"/>
      <c r="H33" s="1"/>
      <c r="I33" s="1"/>
      <c r="J33" s="1"/>
      <c r="K33" s="102" t="str">
        <f t="shared" ref="K33:K36" si="2">IF(O26="","",O26)</f>
        <v>INDAH</v>
      </c>
      <c r="L33" s="103">
        <v>5.0</v>
      </c>
      <c r="M33" s="103">
        <v>5.0</v>
      </c>
      <c r="N33" s="103">
        <v>5.0</v>
      </c>
      <c r="O33" s="103">
        <v>5.0</v>
      </c>
      <c r="P33" s="103">
        <v>5.0</v>
      </c>
      <c r="Q33" s="1"/>
      <c r="R33" s="1"/>
      <c r="AC33" s="100">
        <f t="shared" ref="AC33:AC38" si="3">IF(AG33="","",IF(COUNT(L33:P33)&lt;5,"",L33/5*20+M33/5*25+N33/5*25+O33/5*15+P33/5*15))</f>
        <v>100</v>
      </c>
      <c r="AD33" s="100" t="str">
        <f t="shared" ref="AD33:AD38" si="4">IF(AC33="","",IF(AC33&gt;=90,"Sangat Baik",IF(AC33&gt;=80,"Baik",IF(AC33&gt;=70,"Coaching","Underperform"))))</f>
        <v>Sangat Baik</v>
      </c>
      <c r="AE33" s="100" t="str">
        <f t="shared" ref="AE33:AE38" si="5">IF(AG33="","",IF(OR(AG33="INDAH",AG33="ADDEL",AG33="AMEL",AG33="PENTIL",AG33="JIJANG"),"Admin/CS","Fotografer"))</f>
        <v>Admin/CS</v>
      </c>
      <c r="AF33" s="100">
        <f t="shared" ref="AF33:AF38" si="6">IF(OR(AG33="",COUNT(L33:P33)&lt;5),"",1)</f>
        <v>1</v>
      </c>
      <c r="AG33" s="100" t="str">
        <f t="shared" ref="AG33:AG38" si="7">IFERROR(K33,"")</f>
        <v>INDAH</v>
      </c>
    </row>
    <row r="34" ht="15.75" customHeight="1">
      <c r="A34" s="1"/>
      <c r="B34" s="74">
        <v>9.0</v>
      </c>
      <c r="C34" s="75"/>
      <c r="D34" s="76"/>
      <c r="E34" s="77"/>
      <c r="F34" s="1"/>
      <c r="G34" s="1"/>
      <c r="H34" s="1"/>
      <c r="I34" s="1"/>
      <c r="J34" s="1"/>
      <c r="K34" s="102" t="str">
        <f t="shared" si="2"/>
        <v>INDAH</v>
      </c>
      <c r="L34" s="103">
        <v>5.0</v>
      </c>
      <c r="M34" s="103">
        <v>5.0</v>
      </c>
      <c r="N34" s="103">
        <v>5.0</v>
      </c>
      <c r="O34" s="103">
        <v>5.0</v>
      </c>
      <c r="P34" s="103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Admin/CS</v>
      </c>
      <c r="AF34" s="100">
        <f t="shared" si="6"/>
        <v>1</v>
      </c>
      <c r="AG34" s="100" t="str">
        <f t="shared" si="7"/>
        <v>INDAH</v>
      </c>
    </row>
    <row r="35" ht="15.75" customHeight="1">
      <c r="A35" s="1"/>
      <c r="B35" s="80">
        <v>10.0</v>
      </c>
      <c r="C35" s="94"/>
      <c r="D35" s="95"/>
      <c r="E35" s="77"/>
      <c r="F35" s="1"/>
      <c r="G35" s="1"/>
      <c r="H35" s="1"/>
      <c r="I35" s="1"/>
      <c r="J35" s="1"/>
      <c r="K35" s="102" t="str">
        <f t="shared" si="2"/>
        <v>ADIF</v>
      </c>
      <c r="L35" s="103">
        <v>5.0</v>
      </c>
      <c r="M35" s="103">
        <v>5.0</v>
      </c>
      <c r="N35" s="103">
        <v>5.0</v>
      </c>
      <c r="O35" s="103">
        <v>5.0</v>
      </c>
      <c r="P35" s="103">
        <v>5.0</v>
      </c>
      <c r="Q35" s="1"/>
      <c r="R35" s="1"/>
      <c r="AC35" s="100">
        <f t="shared" si="3"/>
        <v>100</v>
      </c>
      <c r="AD35" s="100" t="str">
        <f t="shared" si="4"/>
        <v>Sangat Baik</v>
      </c>
      <c r="AE35" s="100" t="str">
        <f t="shared" si="5"/>
        <v>Fotografer</v>
      </c>
      <c r="AF35" s="100">
        <f t="shared" si="6"/>
        <v>1</v>
      </c>
      <c r="AG35" s="100" t="str">
        <f t="shared" si="7"/>
        <v>ADIF</v>
      </c>
    </row>
    <row r="36" ht="15.75" customHeight="1">
      <c r="A36" s="1"/>
      <c r="B36" s="110">
        <v>11.0</v>
      </c>
      <c r="C36" s="111"/>
      <c r="D36" s="112"/>
      <c r="E36" s="77"/>
      <c r="F36" s="1"/>
      <c r="G36" s="1"/>
      <c r="H36" s="1"/>
      <c r="I36" s="1"/>
      <c r="J36" s="1"/>
      <c r="K36" s="102" t="str">
        <f t="shared" si="2"/>
        <v>SAKA</v>
      </c>
      <c r="L36" s="103">
        <v>5.0</v>
      </c>
      <c r="M36" s="103">
        <v>5.0</v>
      </c>
      <c r="N36" s="103">
        <v>5.0</v>
      </c>
      <c r="O36" s="103">
        <v>5.0</v>
      </c>
      <c r="P36" s="103">
        <v>5.0</v>
      </c>
      <c r="Q36" s="1"/>
      <c r="R36" s="1"/>
      <c r="AC36" s="100">
        <f t="shared" si="3"/>
        <v>100</v>
      </c>
      <c r="AD36" s="100" t="str">
        <f t="shared" si="4"/>
        <v>Sangat Baik</v>
      </c>
      <c r="AE36" s="100" t="str">
        <f t="shared" si="5"/>
        <v>Fotografer</v>
      </c>
      <c r="AF36" s="100">
        <f t="shared" si="6"/>
        <v>1</v>
      </c>
      <c r="AG36" s="100" t="str">
        <f t="shared" si="7"/>
        <v>SAKA</v>
      </c>
    </row>
    <row r="37" ht="15.75" customHeight="1">
      <c r="A37" s="1"/>
      <c r="B37" s="1"/>
      <c r="C37" s="3"/>
      <c r="D37" s="115">
        <f>SUM(D26:D36)</f>
        <v>250000</v>
      </c>
      <c r="E37" s="1"/>
      <c r="F37" s="1"/>
      <c r="G37" s="1"/>
      <c r="H37" s="1"/>
      <c r="I37" s="1"/>
      <c r="J37" s="1"/>
      <c r="K37" s="102"/>
      <c r="L37" s="117"/>
      <c r="M37" s="117"/>
      <c r="N37" s="117"/>
      <c r="O37" s="117"/>
      <c r="P37" s="117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2"/>
      <c r="L38" s="117"/>
      <c r="M38" s="117"/>
      <c r="N38" s="117"/>
      <c r="O38" s="117"/>
      <c r="P38" s="117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186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9" t="s">
        <v>187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189</v>
      </c>
      <c r="M42" s="121" t="s">
        <v>190</v>
      </c>
    </row>
    <row r="43" ht="15.75" customHeight="1">
      <c r="K43" s="123" t="str">
        <f t="shared" ref="K43:K44" si="8">IF(O26="","",O26)</f>
        <v>INDAH</v>
      </c>
      <c r="L43" s="127"/>
      <c r="M43" s="124" t="s">
        <v>193</v>
      </c>
    </row>
    <row r="44" ht="15.75" customHeight="1">
      <c r="K44" s="123" t="str">
        <f t="shared" si="8"/>
        <v>INDAH</v>
      </c>
      <c r="L44" s="127"/>
      <c r="M44" s="127"/>
    </row>
    <row r="45" ht="15.75" customHeight="1"/>
    <row r="46" ht="19.5" customHeight="1">
      <c r="K46" s="129" t="s">
        <v>194</v>
      </c>
    </row>
    <row r="47" ht="19.5" customHeight="1">
      <c r="K47" s="130" t="s">
        <v>196</v>
      </c>
      <c r="M47" s="124">
        <v>26.0</v>
      </c>
    </row>
    <row r="48" ht="19.5" customHeight="1">
      <c r="K48" s="131" t="s">
        <v>197</v>
      </c>
      <c r="M48" s="132">
        <f>COUNTIF($I$4:$I$24,"DP")</f>
        <v>6</v>
      </c>
    </row>
    <row r="49" ht="19.5" customHeight="1">
      <c r="K49" s="131" t="s">
        <v>199</v>
      </c>
      <c r="M49" s="132">
        <f>COUNTIFS($I$4:$I$24,"&lt;&gt;DP",$I$4:$I$24,"&lt;&gt;")</f>
        <v>11</v>
      </c>
    </row>
    <row r="50" ht="19.5" customHeight="1">
      <c r="K50" s="133" t="s">
        <v>201</v>
      </c>
      <c r="M50" s="132">
        <f>M48+M49</f>
        <v>17</v>
      </c>
    </row>
    <row r="51" ht="19.5" customHeight="1">
      <c r="K51" s="130" t="s">
        <v>202</v>
      </c>
      <c r="M51" s="134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317</v>
      </c>
      <c r="D4" s="22" t="s">
        <v>41</v>
      </c>
      <c r="E4" s="23"/>
      <c r="F4" s="53">
        <v>46311.0</v>
      </c>
      <c r="G4" s="30"/>
      <c r="H4" s="34">
        <v>100000.0</v>
      </c>
      <c r="I4" s="26" t="s">
        <v>27</v>
      </c>
      <c r="J4" s="17"/>
      <c r="K4" s="17"/>
      <c r="L4" s="26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" t="s">
        <v>303</v>
      </c>
      <c r="D5" s="22" t="s">
        <v>23</v>
      </c>
      <c r="E5" s="164" t="s">
        <v>318</v>
      </c>
      <c r="F5" s="53">
        <v>46306.0</v>
      </c>
      <c r="G5" s="55">
        <v>510000.0</v>
      </c>
      <c r="H5" s="40"/>
      <c r="I5" s="26" t="s">
        <v>28</v>
      </c>
      <c r="J5" s="26" t="s">
        <v>30</v>
      </c>
      <c r="K5" s="26" t="s">
        <v>30</v>
      </c>
      <c r="L5" s="26" t="s">
        <v>32</v>
      </c>
      <c r="M5" s="26" t="s">
        <v>46</v>
      </c>
      <c r="N5" s="43"/>
      <c r="O5" s="43"/>
      <c r="P5" s="43"/>
      <c r="Q5" s="1"/>
      <c r="R5" s="1"/>
    </row>
    <row r="6" ht="15.75" customHeight="1">
      <c r="A6" s="1"/>
      <c r="B6" s="18">
        <v>3.0</v>
      </c>
      <c r="C6" s="19" t="s">
        <v>319</v>
      </c>
      <c r="D6" s="22" t="s">
        <v>81</v>
      </c>
      <c r="E6" s="164" t="s">
        <v>320</v>
      </c>
      <c r="F6" s="53">
        <v>46306.0</v>
      </c>
      <c r="G6" s="30"/>
      <c r="H6" s="34">
        <v>150000.0</v>
      </c>
      <c r="I6" s="26" t="s">
        <v>28</v>
      </c>
      <c r="J6" s="26" t="s">
        <v>30</v>
      </c>
      <c r="K6" s="26" t="s">
        <v>30</v>
      </c>
      <c r="L6" s="26" t="s">
        <v>32</v>
      </c>
      <c r="M6" s="26" t="s">
        <v>46</v>
      </c>
      <c r="N6" s="43"/>
      <c r="O6" s="43"/>
      <c r="P6" s="43"/>
      <c r="Q6" s="1"/>
      <c r="R6" s="1"/>
    </row>
    <row r="7" ht="15.75" customHeight="1">
      <c r="A7" s="1"/>
      <c r="B7" s="18">
        <v>4.0</v>
      </c>
      <c r="C7" s="19" t="s">
        <v>321</v>
      </c>
      <c r="D7" s="22" t="s">
        <v>41</v>
      </c>
      <c r="E7" s="23"/>
      <c r="F7" s="53">
        <v>46307.0</v>
      </c>
      <c r="G7" s="30"/>
      <c r="H7" s="34">
        <v>100000.0</v>
      </c>
      <c r="I7" s="26" t="s">
        <v>27</v>
      </c>
      <c r="J7" s="17"/>
      <c r="K7" s="17"/>
      <c r="L7" s="26" t="s">
        <v>32</v>
      </c>
      <c r="M7" s="17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9" t="s">
        <v>322</v>
      </c>
      <c r="D8" s="22" t="s">
        <v>41</v>
      </c>
      <c r="E8" s="23"/>
      <c r="F8" s="53">
        <v>46306.0</v>
      </c>
      <c r="G8" s="55">
        <v>825000.0</v>
      </c>
      <c r="H8" s="40"/>
      <c r="I8" s="26" t="s">
        <v>28</v>
      </c>
      <c r="J8" s="26" t="s">
        <v>30</v>
      </c>
      <c r="K8" s="26" t="s">
        <v>31</v>
      </c>
      <c r="L8" s="26" t="s">
        <v>32</v>
      </c>
      <c r="M8" s="26" t="s">
        <v>46</v>
      </c>
      <c r="N8" s="43"/>
      <c r="O8" s="43"/>
      <c r="P8" s="43"/>
      <c r="Q8" s="1"/>
      <c r="R8" s="1"/>
    </row>
    <row r="9" ht="15.75" customHeight="1">
      <c r="A9" s="1"/>
      <c r="B9" s="18">
        <v>6.0</v>
      </c>
      <c r="C9" s="19" t="s">
        <v>323</v>
      </c>
      <c r="D9" s="22" t="s">
        <v>37</v>
      </c>
      <c r="E9" s="23"/>
      <c r="F9" s="53">
        <v>46306.0</v>
      </c>
      <c r="G9" s="30"/>
      <c r="H9" s="34">
        <v>100000.0</v>
      </c>
      <c r="I9" s="26" t="s">
        <v>27</v>
      </c>
      <c r="J9" s="17"/>
      <c r="K9" s="17"/>
      <c r="L9" s="26" t="s">
        <v>32</v>
      </c>
      <c r="M9" s="17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9" t="s">
        <v>324</v>
      </c>
      <c r="D10" s="22" t="s">
        <v>41</v>
      </c>
      <c r="E10" s="23"/>
      <c r="F10" s="53">
        <v>46306.0</v>
      </c>
      <c r="G10" s="30"/>
      <c r="H10" s="34">
        <v>1100000.0</v>
      </c>
      <c r="I10" s="26" t="s">
        <v>28</v>
      </c>
      <c r="J10" s="26" t="s">
        <v>30</v>
      </c>
      <c r="K10" s="26" t="s">
        <v>31</v>
      </c>
      <c r="L10" s="26" t="s">
        <v>32</v>
      </c>
      <c r="M10" s="26" t="s">
        <v>46</v>
      </c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9" t="s">
        <v>325</v>
      </c>
      <c r="D11" s="22" t="s">
        <v>41</v>
      </c>
      <c r="E11" s="23"/>
      <c r="F11" s="163">
        <v>46306.0</v>
      </c>
      <c r="G11" s="30"/>
      <c r="H11" s="34">
        <v>500000.0</v>
      </c>
      <c r="I11" s="26" t="s">
        <v>28</v>
      </c>
      <c r="J11" s="26" t="s">
        <v>30</v>
      </c>
      <c r="K11" s="26" t="s">
        <v>31</v>
      </c>
      <c r="L11" s="26" t="s">
        <v>32</v>
      </c>
      <c r="M11" s="26" t="s">
        <v>65</v>
      </c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9" t="s">
        <v>239</v>
      </c>
      <c r="D12" s="22" t="s">
        <v>41</v>
      </c>
      <c r="E12" s="23"/>
      <c r="F12" s="163">
        <v>46306.0</v>
      </c>
      <c r="G12" s="30"/>
      <c r="H12" s="34">
        <v>75000.0</v>
      </c>
      <c r="I12" s="26" t="s">
        <v>28</v>
      </c>
      <c r="J12" s="26" t="s">
        <v>30</v>
      </c>
      <c r="K12" s="26" t="s">
        <v>30</v>
      </c>
      <c r="L12" s="26" t="s">
        <v>32</v>
      </c>
      <c r="M12" s="26" t="s">
        <v>65</v>
      </c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9" t="s">
        <v>258</v>
      </c>
      <c r="D13" s="22" t="s">
        <v>49</v>
      </c>
      <c r="E13" s="164">
        <v>2.0</v>
      </c>
      <c r="F13" s="163">
        <v>46306.0</v>
      </c>
      <c r="G13" s="30"/>
      <c r="H13" s="34">
        <v>100000.0</v>
      </c>
      <c r="I13" s="26" t="s">
        <v>28</v>
      </c>
      <c r="J13" s="26" t="s">
        <v>30</v>
      </c>
      <c r="K13" s="26" t="s">
        <v>30</v>
      </c>
      <c r="L13" s="26" t="s">
        <v>32</v>
      </c>
      <c r="M13" s="26" t="s">
        <v>65</v>
      </c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19" t="s">
        <v>326</v>
      </c>
      <c r="D14" s="22" t="s">
        <v>41</v>
      </c>
      <c r="E14" s="23"/>
      <c r="F14" s="163">
        <v>46306.0</v>
      </c>
      <c r="G14" s="30"/>
      <c r="H14" s="34">
        <v>125000.0</v>
      </c>
      <c r="I14" s="26" t="s">
        <v>28</v>
      </c>
      <c r="J14" s="26" t="s">
        <v>30</v>
      </c>
      <c r="K14" s="26" t="s">
        <v>31</v>
      </c>
      <c r="L14" s="26" t="s">
        <v>32</v>
      </c>
      <c r="M14" s="26" t="s">
        <v>65</v>
      </c>
      <c r="N14" s="43"/>
      <c r="O14" s="43"/>
      <c r="P14" s="43"/>
      <c r="Q14" s="1"/>
      <c r="R14" s="1"/>
    </row>
    <row r="15" ht="15.75" customHeight="1">
      <c r="A15" s="1"/>
      <c r="B15" s="18">
        <v>12.0</v>
      </c>
      <c r="C15" s="19" t="s">
        <v>323</v>
      </c>
      <c r="D15" s="22" t="s">
        <v>24</v>
      </c>
      <c r="E15" s="23"/>
      <c r="F15" s="163">
        <v>46306.0</v>
      </c>
      <c r="G15" s="30"/>
      <c r="H15" s="34">
        <v>100000.0</v>
      </c>
      <c r="I15" s="26" t="s">
        <v>28</v>
      </c>
      <c r="J15" s="26" t="s">
        <v>30</v>
      </c>
      <c r="K15" s="26" t="s">
        <v>30</v>
      </c>
      <c r="L15" s="26" t="s">
        <v>32</v>
      </c>
      <c r="M15" s="26" t="s">
        <v>65</v>
      </c>
      <c r="N15" s="43"/>
      <c r="O15" s="43"/>
      <c r="P15" s="43"/>
      <c r="Q15" s="1"/>
      <c r="R15" s="1"/>
    </row>
    <row r="16" ht="15.75" customHeight="1">
      <c r="A16" s="1"/>
      <c r="B16" s="18">
        <v>13.0</v>
      </c>
      <c r="C16" s="62"/>
      <c r="D16" s="64"/>
      <c r="E16" s="23"/>
      <c r="F16" s="165"/>
      <c r="G16" s="30"/>
      <c r="H16" s="40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5.75" customHeight="1">
      <c r="A17" s="1"/>
      <c r="B17" s="18">
        <v>14.0</v>
      </c>
      <c r="C17" s="62"/>
      <c r="D17" s="64"/>
      <c r="E17" s="23"/>
      <c r="F17" s="165"/>
      <c r="G17" s="30"/>
      <c r="H17" s="40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5">
        <f t="shared" ref="G18:H18" si="1">SUM(G4:G17)</f>
        <v>1335000</v>
      </c>
      <c r="H18" s="71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0" t="s">
        <v>1</v>
      </c>
      <c r="C21" s="73" t="s">
        <v>7</v>
      </c>
      <c r="D21" s="73" t="s">
        <v>112</v>
      </c>
      <c r="E21" s="1"/>
      <c r="F21" s="1"/>
      <c r="G21" s="1"/>
      <c r="H21" s="1"/>
      <c r="I21" s="1"/>
      <c r="J21" s="1"/>
      <c r="K21" s="1"/>
      <c r="L21" s="1"/>
      <c r="M21" s="1"/>
      <c r="N21" s="73" t="s">
        <v>114</v>
      </c>
      <c r="O21" s="73" t="s">
        <v>2</v>
      </c>
      <c r="P21" s="1"/>
      <c r="Q21" s="1"/>
      <c r="R21" s="1"/>
    </row>
    <row r="22" ht="15.75" customHeight="1">
      <c r="A22" s="1"/>
      <c r="B22" s="74">
        <v>1.0</v>
      </c>
      <c r="C22" s="75" t="s">
        <v>115</v>
      </c>
      <c r="D22" s="76">
        <f>SUM(G18)</f>
        <v>1335000</v>
      </c>
      <c r="E22" s="77"/>
      <c r="F22" s="1"/>
      <c r="G22" s="1"/>
      <c r="H22" s="1"/>
      <c r="I22" s="1"/>
      <c r="J22" s="1"/>
      <c r="K22" s="1"/>
      <c r="L22" s="1"/>
      <c r="M22" s="1"/>
      <c r="N22" s="78" t="s">
        <v>119</v>
      </c>
      <c r="O22" s="79" t="s">
        <v>32</v>
      </c>
      <c r="P22" s="1"/>
      <c r="Q22" s="1"/>
      <c r="R22" s="1"/>
    </row>
    <row r="23" ht="15.75" customHeight="1">
      <c r="A23" s="1"/>
      <c r="B23" s="80">
        <v>2.0</v>
      </c>
      <c r="C23" s="82" t="s">
        <v>327</v>
      </c>
      <c r="D23" s="83">
        <v>-10000.0</v>
      </c>
      <c r="E23" s="77"/>
      <c r="F23" s="1"/>
      <c r="G23" s="1"/>
      <c r="H23" s="1"/>
      <c r="I23" s="1"/>
      <c r="J23" s="1"/>
      <c r="K23" s="1"/>
      <c r="L23" s="1"/>
      <c r="M23" s="1"/>
      <c r="N23" s="84" t="s">
        <v>125</v>
      </c>
      <c r="O23" s="85" t="s">
        <v>32</v>
      </c>
      <c r="P23" s="1"/>
      <c r="Q23" s="1"/>
      <c r="R23" s="1"/>
    </row>
    <row r="24" ht="15.75" customHeight="1">
      <c r="A24" s="1"/>
      <c r="B24" s="74">
        <v>3.0</v>
      </c>
      <c r="C24" s="89"/>
      <c r="D24" s="90"/>
      <c r="E24" s="77"/>
      <c r="F24" s="1"/>
      <c r="G24" s="1"/>
      <c r="H24" s="1"/>
      <c r="I24" s="1"/>
      <c r="J24" s="1"/>
      <c r="K24" s="1"/>
      <c r="L24" s="1"/>
      <c r="M24" s="1"/>
      <c r="N24" s="91" t="s">
        <v>128</v>
      </c>
      <c r="O24" s="92" t="s">
        <v>46</v>
      </c>
      <c r="P24" s="1"/>
      <c r="Q24" s="1"/>
      <c r="R24" s="1"/>
    </row>
    <row r="25" ht="15.75" customHeight="1">
      <c r="A25" s="1"/>
      <c r="B25" s="80">
        <v>4.0</v>
      </c>
      <c r="C25" s="94"/>
      <c r="D25" s="95"/>
      <c r="E25" s="77"/>
      <c r="F25" s="1"/>
      <c r="G25" s="1"/>
      <c r="H25" s="1"/>
      <c r="I25" s="1"/>
      <c r="J25" s="1"/>
      <c r="K25" s="1"/>
      <c r="L25" s="1"/>
      <c r="M25" s="1"/>
      <c r="N25" s="93" t="s">
        <v>131</v>
      </c>
      <c r="O25" s="85" t="s">
        <v>65</v>
      </c>
      <c r="P25" s="1"/>
      <c r="Q25" s="1"/>
      <c r="R25" s="1"/>
    </row>
    <row r="26" ht="15.75" customHeight="1">
      <c r="A26" s="1"/>
      <c r="B26" s="74">
        <v>5.0</v>
      </c>
      <c r="C26" s="75"/>
      <c r="D26" s="76"/>
      <c r="E26" s="77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80">
        <v>6.0</v>
      </c>
      <c r="C27" s="94"/>
      <c r="D27" s="95"/>
      <c r="E27" s="77"/>
      <c r="F27" s="1"/>
      <c r="G27" s="1"/>
      <c r="H27" s="1"/>
      <c r="I27" s="1"/>
      <c r="J27" s="1"/>
      <c r="K27" s="98" t="s">
        <v>134</v>
      </c>
      <c r="Q27" s="1"/>
      <c r="R27" s="1"/>
    </row>
    <row r="28" ht="15.75" customHeight="1">
      <c r="A28" s="1"/>
      <c r="B28" s="74">
        <v>7.0</v>
      </c>
      <c r="C28" s="75"/>
      <c r="D28" s="76"/>
      <c r="E28" s="77"/>
      <c r="F28" s="1"/>
      <c r="G28" s="1"/>
      <c r="H28" s="1"/>
      <c r="I28" s="1"/>
      <c r="J28" s="1"/>
      <c r="K28" s="99" t="s">
        <v>2</v>
      </c>
      <c r="L28" s="99" t="s">
        <v>137</v>
      </c>
      <c r="M28" s="99" t="s">
        <v>138</v>
      </c>
      <c r="N28" s="99" t="s">
        <v>139</v>
      </c>
      <c r="O28" s="99" t="s">
        <v>140</v>
      </c>
      <c r="P28" s="99" t="s">
        <v>141</v>
      </c>
      <c r="Q28" s="1"/>
      <c r="R28" s="1"/>
      <c r="AC28" s="100" t="s">
        <v>143</v>
      </c>
      <c r="AD28" s="100" t="s">
        <v>144</v>
      </c>
      <c r="AE28" s="100" t="s">
        <v>145</v>
      </c>
      <c r="AF28" s="100" t="s">
        <v>146</v>
      </c>
      <c r="AG28" s="100" t="s">
        <v>148</v>
      </c>
    </row>
    <row r="29" ht="15.75" customHeight="1">
      <c r="A29" s="1"/>
      <c r="B29" s="80">
        <v>8.0</v>
      </c>
      <c r="C29" s="94"/>
      <c r="D29" s="95"/>
      <c r="E29" s="77"/>
      <c r="F29" s="1"/>
      <c r="G29" s="1"/>
      <c r="H29" s="1"/>
      <c r="I29" s="1"/>
      <c r="J29" s="1"/>
      <c r="K29" s="102" t="str">
        <f t="shared" ref="K29:K32" si="2">IF(O22="","",O22)</f>
        <v>INDAH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1"/>
      <c r="R29" s="1"/>
      <c r="AC29" s="100">
        <f t="shared" ref="AC29:AC34" si="3">IF(AG29="","",IF(COUNT(L29:P29)&lt;5,"",L29/5*20+M29/5*25+N29/5*25+O29/5*15+P29/5*15))</f>
        <v>100</v>
      </c>
      <c r="AD29" s="100" t="str">
        <f t="shared" ref="AD29:AD34" si="4">IF(AC29="","",IF(AC29&gt;=90,"Sangat Baik",IF(AC29&gt;=80,"Baik",IF(AC29&gt;=70,"Coaching","Underperform"))))</f>
        <v>Sangat Baik</v>
      </c>
      <c r="AE29" s="100" t="str">
        <f t="shared" ref="AE29:AE34" si="5">IF(AG29="","",IF(OR(AG29="INDAH",AG29="ADDEL",AG29="AMEL",AG29="PENTIL",AG29="JIJANG"),"Admin/CS","Fotografer"))</f>
        <v>Admin/CS</v>
      </c>
      <c r="AF29" s="100">
        <f t="shared" ref="AF29:AF34" si="6">IF(OR(AG29="",COUNT(L29:P29)&lt;5),"",1)</f>
        <v>1</v>
      </c>
      <c r="AG29" s="100" t="str">
        <f t="shared" ref="AG29:AG34" si="7">IFERROR(K29,"")</f>
        <v>INDAH</v>
      </c>
    </row>
    <row r="30" ht="15.75" customHeight="1">
      <c r="A30" s="1"/>
      <c r="B30" s="74">
        <v>9.0</v>
      </c>
      <c r="C30" s="75"/>
      <c r="D30" s="76"/>
      <c r="E30" s="77"/>
      <c r="F30" s="1"/>
      <c r="G30" s="1"/>
      <c r="H30" s="1"/>
      <c r="I30" s="1"/>
      <c r="J30" s="1"/>
      <c r="K30" s="102" t="str">
        <f t="shared" si="2"/>
        <v>INDAH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Admin/CS</v>
      </c>
      <c r="AF30" s="100">
        <f t="shared" si="6"/>
        <v>1</v>
      </c>
      <c r="AG30" s="100" t="str">
        <f t="shared" si="7"/>
        <v>INDAH</v>
      </c>
    </row>
    <row r="31" ht="15.75" customHeight="1">
      <c r="A31" s="1"/>
      <c r="B31" s="80">
        <v>10.0</v>
      </c>
      <c r="C31" s="94"/>
      <c r="D31" s="95"/>
      <c r="E31" s="77"/>
      <c r="F31" s="1"/>
      <c r="G31" s="1"/>
      <c r="H31" s="1"/>
      <c r="I31" s="1"/>
      <c r="J31" s="1"/>
      <c r="K31" s="102" t="str">
        <f t="shared" si="2"/>
        <v>ADIF</v>
      </c>
      <c r="L31" s="103">
        <v>5.0</v>
      </c>
      <c r="M31" s="103">
        <v>5.0</v>
      </c>
      <c r="N31" s="103">
        <v>5.0</v>
      </c>
      <c r="O31" s="103">
        <v>5.0</v>
      </c>
      <c r="P31" s="103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ADIF</v>
      </c>
    </row>
    <row r="32" ht="15.75" customHeight="1">
      <c r="A32" s="1"/>
      <c r="B32" s="110">
        <v>11.0</v>
      </c>
      <c r="C32" s="111"/>
      <c r="D32" s="112"/>
      <c r="E32" s="77"/>
      <c r="F32" s="1"/>
      <c r="G32" s="1"/>
      <c r="H32" s="1"/>
      <c r="I32" s="1"/>
      <c r="J32" s="1"/>
      <c r="K32" s="102" t="str">
        <f t="shared" si="2"/>
        <v>SAKA</v>
      </c>
      <c r="L32" s="103">
        <v>5.0</v>
      </c>
      <c r="M32" s="103">
        <v>5.0</v>
      </c>
      <c r="N32" s="103">
        <v>5.0</v>
      </c>
      <c r="O32" s="103">
        <v>5.0</v>
      </c>
      <c r="P32" s="103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"/>
      <c r="C33" s="3"/>
      <c r="D33" s="115">
        <f>SUM(D22:D32)</f>
        <v>1325000</v>
      </c>
      <c r="E33" s="1"/>
      <c r="F33" s="1"/>
      <c r="G33" s="1"/>
      <c r="H33" s="1"/>
      <c r="I33" s="1"/>
      <c r="J33" s="1"/>
      <c r="K33" s="102"/>
      <c r="L33" s="117"/>
      <c r="M33" s="117"/>
      <c r="N33" s="117"/>
      <c r="O33" s="117"/>
      <c r="P33" s="117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2"/>
      <c r="L34" s="117"/>
      <c r="M34" s="117"/>
      <c r="N34" s="117"/>
      <c r="O34" s="117"/>
      <c r="P34" s="117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186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187</v>
      </c>
      <c r="N37" s="1"/>
      <c r="O37" s="1"/>
      <c r="P37" s="1"/>
      <c r="Q37" s="1"/>
      <c r="R37" s="1"/>
    </row>
    <row r="38" ht="15.75" customHeight="1">
      <c r="K38" s="121" t="s">
        <v>8</v>
      </c>
      <c r="L38" s="121" t="s">
        <v>189</v>
      </c>
      <c r="M38" s="121" t="s">
        <v>190</v>
      </c>
    </row>
    <row r="39" ht="15.75" customHeight="1">
      <c r="K39" s="123" t="str">
        <f t="shared" ref="K39:K40" si="8">IF(O22="","",O22)</f>
        <v>INDAH</v>
      </c>
      <c r="L39" s="124">
        <v>3.0</v>
      </c>
      <c r="M39" s="124" t="s">
        <v>334</v>
      </c>
    </row>
    <row r="40" ht="15.75" customHeight="1">
      <c r="K40" s="123" t="str">
        <f t="shared" si="8"/>
        <v>INDAH</v>
      </c>
      <c r="L40" s="127"/>
      <c r="M40" s="127"/>
    </row>
    <row r="41" ht="15.75" customHeight="1"/>
    <row r="42" ht="19.5" customHeight="1">
      <c r="K42" s="129" t="s">
        <v>194</v>
      </c>
    </row>
    <row r="43" ht="19.5" customHeight="1">
      <c r="K43" s="130" t="s">
        <v>196</v>
      </c>
      <c r="M43" s="124">
        <v>16.0</v>
      </c>
    </row>
    <row r="44" ht="19.5" customHeight="1">
      <c r="K44" s="131" t="s">
        <v>197</v>
      </c>
      <c r="M44" s="149">
        <v>3.0</v>
      </c>
    </row>
    <row r="45" ht="19.5" customHeight="1">
      <c r="K45" s="131" t="s">
        <v>199</v>
      </c>
      <c r="M45" s="149">
        <v>7.0</v>
      </c>
    </row>
    <row r="46" ht="19.5" customHeight="1">
      <c r="K46" s="133" t="s">
        <v>201</v>
      </c>
      <c r="M46" s="149">
        <v>10.0</v>
      </c>
    </row>
    <row r="47" ht="19.5" customHeight="1">
      <c r="K47" s="130" t="s">
        <v>202</v>
      </c>
      <c r="M47" s="134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37" t="s">
        <v>328</v>
      </c>
      <c r="D4" s="22" t="s">
        <v>49</v>
      </c>
      <c r="E4" s="58" t="s">
        <v>208</v>
      </c>
      <c r="F4" s="53">
        <v>46307.0</v>
      </c>
      <c r="G4" s="30"/>
      <c r="H4" s="34">
        <v>100000.0</v>
      </c>
      <c r="I4" s="26" t="s">
        <v>28</v>
      </c>
      <c r="J4" s="26" t="s">
        <v>30</v>
      </c>
      <c r="K4" s="26" t="s">
        <v>30</v>
      </c>
      <c r="L4" s="26" t="s">
        <v>32</v>
      </c>
      <c r="M4" s="175" t="s">
        <v>65</v>
      </c>
      <c r="N4" s="35"/>
      <c r="O4" s="35"/>
      <c r="P4" s="36"/>
      <c r="Q4" s="1"/>
      <c r="R4" s="1"/>
    </row>
    <row r="5" ht="15.75" customHeight="1">
      <c r="A5" s="1"/>
      <c r="B5" s="18">
        <v>2.0</v>
      </c>
      <c r="C5" s="26" t="s">
        <v>329</v>
      </c>
      <c r="D5" s="22" t="s">
        <v>49</v>
      </c>
      <c r="E5" s="24"/>
      <c r="F5" s="53">
        <v>46307.0</v>
      </c>
      <c r="G5" s="30"/>
      <c r="H5" s="34">
        <v>100000.0</v>
      </c>
      <c r="I5" s="26" t="s">
        <v>28</v>
      </c>
      <c r="J5" s="17"/>
      <c r="K5" s="17"/>
      <c r="L5" s="26" t="s">
        <v>32</v>
      </c>
      <c r="M5" s="176"/>
      <c r="N5" s="43"/>
      <c r="O5" s="43"/>
      <c r="P5" s="43"/>
      <c r="Q5" s="1"/>
      <c r="R5" s="1"/>
    </row>
    <row r="6" ht="15.75" customHeight="1">
      <c r="A6" s="1"/>
      <c r="B6" s="18">
        <v>3.0</v>
      </c>
      <c r="C6" s="37" t="s">
        <v>330</v>
      </c>
      <c r="D6" s="22" t="s">
        <v>81</v>
      </c>
      <c r="E6" s="24"/>
      <c r="F6" s="53">
        <v>46316.0</v>
      </c>
      <c r="G6" s="30"/>
      <c r="H6" s="34">
        <v>100000.0</v>
      </c>
      <c r="I6" s="26" t="s">
        <v>27</v>
      </c>
      <c r="J6" s="17"/>
      <c r="K6" s="17"/>
      <c r="L6" s="177" t="s">
        <v>32</v>
      </c>
      <c r="M6" s="176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9" t="s">
        <v>331</v>
      </c>
      <c r="D7" s="22" t="s">
        <v>238</v>
      </c>
      <c r="E7" s="23"/>
      <c r="F7" s="53">
        <v>46298.0</v>
      </c>
      <c r="G7" s="30"/>
      <c r="H7" s="34">
        <v>20000.0</v>
      </c>
      <c r="I7" s="26" t="s">
        <v>28</v>
      </c>
      <c r="J7" s="17"/>
      <c r="K7" s="17"/>
      <c r="L7" s="26" t="s">
        <v>32</v>
      </c>
      <c r="M7" s="176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9" t="s">
        <v>332</v>
      </c>
      <c r="D8" s="22" t="s">
        <v>41</v>
      </c>
      <c r="E8" s="24"/>
      <c r="F8" s="53">
        <v>46313.0</v>
      </c>
      <c r="G8" s="30"/>
      <c r="H8" s="34">
        <v>100000.0</v>
      </c>
      <c r="I8" s="26" t="s">
        <v>27</v>
      </c>
      <c r="J8" s="17"/>
      <c r="K8" s="17"/>
      <c r="L8" s="26" t="s">
        <v>32</v>
      </c>
      <c r="M8" s="17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9" t="s">
        <v>333</v>
      </c>
      <c r="D9" s="22" t="s">
        <v>37</v>
      </c>
      <c r="E9" s="24"/>
      <c r="F9" s="53">
        <v>46307.0</v>
      </c>
      <c r="G9" s="55">
        <v>100000.0</v>
      </c>
      <c r="H9" s="40"/>
      <c r="I9" s="26" t="s">
        <v>28</v>
      </c>
      <c r="J9" s="26" t="s">
        <v>30</v>
      </c>
      <c r="K9" s="26" t="s">
        <v>31</v>
      </c>
      <c r="L9" s="26" t="s">
        <v>29</v>
      </c>
      <c r="M9" s="26" t="s">
        <v>65</v>
      </c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9" t="s">
        <v>291</v>
      </c>
      <c r="D10" s="22" t="s">
        <v>41</v>
      </c>
      <c r="E10" s="24"/>
      <c r="F10" s="53">
        <v>46307.0</v>
      </c>
      <c r="G10" s="55">
        <v>75000.0</v>
      </c>
      <c r="H10" s="40"/>
      <c r="I10" s="26" t="s">
        <v>28</v>
      </c>
      <c r="J10" s="26" t="s">
        <v>30</v>
      </c>
      <c r="K10" s="26" t="s">
        <v>44</v>
      </c>
      <c r="L10" s="26" t="s">
        <v>29</v>
      </c>
      <c r="M10" s="26" t="s">
        <v>65</v>
      </c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9" t="s">
        <v>335</v>
      </c>
      <c r="D11" s="22" t="s">
        <v>49</v>
      </c>
      <c r="E11" s="24"/>
      <c r="F11" s="53">
        <v>46307.0</v>
      </c>
      <c r="G11" s="41"/>
      <c r="H11" s="42">
        <v>50000.0</v>
      </c>
      <c r="I11" s="26" t="s">
        <v>28</v>
      </c>
      <c r="J11" s="26" t="s">
        <v>30</v>
      </c>
      <c r="K11" s="26" t="s">
        <v>31</v>
      </c>
      <c r="L11" s="26" t="s">
        <v>29</v>
      </c>
      <c r="M11" s="26" t="s">
        <v>46</v>
      </c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9" t="s">
        <v>336</v>
      </c>
      <c r="D12" s="22" t="s">
        <v>41</v>
      </c>
      <c r="E12" s="24"/>
      <c r="F12" s="53">
        <v>46308.0</v>
      </c>
      <c r="G12" s="30"/>
      <c r="H12" s="34">
        <v>100000.0</v>
      </c>
      <c r="I12" s="26" t="s">
        <v>27</v>
      </c>
      <c r="J12" s="17"/>
      <c r="K12" s="17"/>
      <c r="L12" s="26" t="s">
        <v>29</v>
      </c>
      <c r="M12" s="176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9" t="s">
        <v>321</v>
      </c>
      <c r="D13" s="22" t="s">
        <v>41</v>
      </c>
      <c r="E13" s="24"/>
      <c r="F13" s="53">
        <v>46307.0</v>
      </c>
      <c r="G13" s="30"/>
      <c r="H13" s="34">
        <v>500000.0</v>
      </c>
      <c r="I13" s="26" t="s">
        <v>28</v>
      </c>
      <c r="J13" s="26" t="s">
        <v>30</v>
      </c>
      <c r="K13" s="26" t="s">
        <v>30</v>
      </c>
      <c r="L13" s="26" t="s">
        <v>29</v>
      </c>
      <c r="M13" s="175" t="s">
        <v>46</v>
      </c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19" t="s">
        <v>337</v>
      </c>
      <c r="D14" s="22" t="s">
        <v>41</v>
      </c>
      <c r="E14" s="58" t="s">
        <v>208</v>
      </c>
      <c r="F14" s="53">
        <v>46307.0</v>
      </c>
      <c r="G14" s="55">
        <v>225000.0</v>
      </c>
      <c r="H14" s="40"/>
      <c r="I14" s="26" t="s">
        <v>28</v>
      </c>
      <c r="J14" s="26" t="s">
        <v>30</v>
      </c>
      <c r="K14" s="26" t="s">
        <v>30</v>
      </c>
      <c r="L14" s="26" t="s">
        <v>29</v>
      </c>
      <c r="M14" s="175" t="s">
        <v>46</v>
      </c>
      <c r="N14" s="43"/>
      <c r="O14" s="43"/>
      <c r="P14" s="43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35">
        <f t="shared" ref="G15:H15" si="1">SUM(G4:G14)</f>
        <v>400000</v>
      </c>
      <c r="H15" s="71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0" t="s">
        <v>1</v>
      </c>
      <c r="C18" s="73" t="s">
        <v>7</v>
      </c>
      <c r="D18" s="73" t="s">
        <v>112</v>
      </c>
      <c r="E18" s="1"/>
      <c r="F18" s="1"/>
      <c r="G18" s="1"/>
      <c r="H18" s="1"/>
      <c r="I18" s="1"/>
      <c r="J18" s="1"/>
      <c r="K18" s="1"/>
      <c r="L18" s="1"/>
      <c r="M18" s="1"/>
      <c r="N18" s="73" t="s">
        <v>114</v>
      </c>
      <c r="O18" s="73" t="s">
        <v>2</v>
      </c>
      <c r="P18" s="1"/>
      <c r="Q18" s="1"/>
      <c r="R18" s="1"/>
    </row>
    <row r="19" ht="15.75" customHeight="1">
      <c r="A19" s="1"/>
      <c r="B19" s="74">
        <v>1.0</v>
      </c>
      <c r="C19" s="75" t="s">
        <v>115</v>
      </c>
      <c r="D19" s="76">
        <f>SUM(G15)</f>
        <v>400000</v>
      </c>
      <c r="E19" s="77"/>
      <c r="F19" s="1"/>
      <c r="G19" s="1"/>
      <c r="H19" s="1"/>
      <c r="I19" s="1"/>
      <c r="J19" s="1"/>
      <c r="K19" s="1"/>
      <c r="L19" s="1"/>
      <c r="M19" s="1"/>
      <c r="N19" s="78" t="s">
        <v>119</v>
      </c>
      <c r="O19" s="79" t="s">
        <v>32</v>
      </c>
      <c r="P19" s="1"/>
      <c r="Q19" s="1"/>
      <c r="R19" s="1"/>
    </row>
    <row r="20" ht="15.75" customHeight="1">
      <c r="A20" s="1"/>
      <c r="B20" s="80">
        <v>2.0</v>
      </c>
      <c r="C20" s="86"/>
      <c r="D20" s="87"/>
      <c r="E20" s="77"/>
      <c r="F20" s="1"/>
      <c r="G20" s="1"/>
      <c r="H20" s="1"/>
      <c r="I20" s="1"/>
      <c r="J20" s="1"/>
      <c r="K20" s="1"/>
      <c r="L20" s="1"/>
      <c r="M20" s="1"/>
      <c r="N20" s="84" t="s">
        <v>125</v>
      </c>
      <c r="O20" s="85" t="s">
        <v>29</v>
      </c>
      <c r="P20" s="1"/>
      <c r="Q20" s="1"/>
      <c r="R20" s="1"/>
    </row>
    <row r="21" ht="15.75" customHeight="1">
      <c r="A21" s="1"/>
      <c r="B21" s="74">
        <v>3.0</v>
      </c>
      <c r="C21" s="89"/>
      <c r="D21" s="90"/>
      <c r="E21" s="77"/>
      <c r="F21" s="1"/>
      <c r="G21" s="1"/>
      <c r="H21" s="1"/>
      <c r="I21" s="1"/>
      <c r="J21" s="1"/>
      <c r="K21" s="1"/>
      <c r="L21" s="1"/>
      <c r="M21" s="1"/>
      <c r="N21" s="91" t="s">
        <v>128</v>
      </c>
      <c r="O21" s="92" t="s">
        <v>65</v>
      </c>
      <c r="P21" s="1"/>
      <c r="Q21" s="1"/>
      <c r="R21" s="1"/>
    </row>
    <row r="22" ht="15.75" customHeight="1">
      <c r="A22" s="1"/>
      <c r="B22" s="80">
        <v>4.0</v>
      </c>
      <c r="C22" s="94"/>
      <c r="D22" s="95"/>
      <c r="E22" s="77"/>
      <c r="F22" s="1"/>
      <c r="G22" s="1"/>
      <c r="H22" s="1"/>
      <c r="I22" s="1"/>
      <c r="J22" s="1"/>
      <c r="K22" s="1"/>
      <c r="L22" s="1"/>
      <c r="M22" s="1"/>
      <c r="N22" s="93" t="s">
        <v>131</v>
      </c>
      <c r="O22" s="85" t="s">
        <v>46</v>
      </c>
      <c r="P22" s="1"/>
      <c r="Q22" s="1"/>
      <c r="R22" s="1"/>
    </row>
    <row r="23" ht="15.75" customHeight="1">
      <c r="A23" s="1"/>
      <c r="B23" s="74">
        <v>5.0</v>
      </c>
      <c r="C23" s="75"/>
      <c r="D23" s="76"/>
      <c r="E23" s="77"/>
      <c r="F23" s="1"/>
      <c r="G23" s="1"/>
      <c r="H23" s="1"/>
      <c r="I23" s="1"/>
      <c r="J23" s="1"/>
      <c r="K23" s="1"/>
      <c r="L23" s="1"/>
      <c r="M23" s="1"/>
      <c r="N23" s="97"/>
      <c r="O23" s="1"/>
      <c r="P23" s="1"/>
      <c r="Q23" s="1"/>
      <c r="R23" s="1"/>
    </row>
    <row r="24" ht="15.75" customHeight="1">
      <c r="A24" s="1"/>
      <c r="B24" s="80">
        <v>6.0</v>
      </c>
      <c r="C24" s="94"/>
      <c r="D24" s="95"/>
      <c r="E24" s="77"/>
      <c r="F24" s="1"/>
      <c r="G24" s="1"/>
      <c r="H24" s="1"/>
      <c r="I24" s="1"/>
      <c r="J24" s="1"/>
      <c r="K24" s="98" t="s">
        <v>134</v>
      </c>
      <c r="Q24" s="1"/>
      <c r="R24" s="1"/>
    </row>
    <row r="25" ht="15.75" customHeight="1">
      <c r="A25" s="1"/>
      <c r="B25" s="74">
        <v>7.0</v>
      </c>
      <c r="C25" s="75"/>
      <c r="D25" s="76"/>
      <c r="E25" s="77"/>
      <c r="F25" s="1"/>
      <c r="G25" s="1"/>
      <c r="H25" s="1"/>
      <c r="I25" s="1"/>
      <c r="J25" s="1"/>
      <c r="K25" s="99" t="s">
        <v>2</v>
      </c>
      <c r="L25" s="99" t="s">
        <v>137</v>
      </c>
      <c r="M25" s="99" t="s">
        <v>138</v>
      </c>
      <c r="N25" s="99" t="s">
        <v>139</v>
      </c>
      <c r="O25" s="99" t="s">
        <v>140</v>
      </c>
      <c r="P25" s="99" t="s">
        <v>141</v>
      </c>
      <c r="Q25" s="1"/>
      <c r="R25" s="1"/>
      <c r="AC25" s="100" t="s">
        <v>143</v>
      </c>
      <c r="AD25" s="100" t="s">
        <v>144</v>
      </c>
      <c r="AE25" s="100" t="s">
        <v>145</v>
      </c>
      <c r="AF25" s="100" t="s">
        <v>146</v>
      </c>
      <c r="AG25" s="100" t="s">
        <v>148</v>
      </c>
    </row>
    <row r="26" ht="15.75" customHeight="1">
      <c r="A26" s="1"/>
      <c r="B26" s="80">
        <v>8.0</v>
      </c>
      <c r="C26" s="94"/>
      <c r="D26" s="95"/>
      <c r="E26" s="77"/>
      <c r="F26" s="1"/>
      <c r="G26" s="1"/>
      <c r="H26" s="1"/>
      <c r="I26" s="1"/>
      <c r="J26" s="1"/>
      <c r="K26" s="102" t="str">
        <f t="shared" ref="K26:K29" si="2">IF(O19="","",O19)</f>
        <v>INDAH</v>
      </c>
      <c r="L26" s="152">
        <v>5.0</v>
      </c>
      <c r="M26" s="152">
        <v>5.0</v>
      </c>
      <c r="N26" s="152">
        <v>5.0</v>
      </c>
      <c r="O26" s="152">
        <v>5.0</v>
      </c>
      <c r="P26" s="152">
        <v>5.0</v>
      </c>
      <c r="Q26" s="1"/>
      <c r="R26" s="1"/>
      <c r="AC26" s="100">
        <f t="shared" ref="AC26:AC31" si="3">IF(AG26="","",IF(COUNT(L26:P26)&lt;5,"",L26/5*20+M26/5*25+N26/5*25+O26/5*15+P26/5*15))</f>
        <v>100</v>
      </c>
      <c r="AD26" s="100" t="str">
        <f t="shared" ref="AD26:AD31" si="4">IF(AC26="","",IF(AC26&gt;=90,"Sangat Baik",IF(AC26&gt;=80,"Baik",IF(AC26&gt;=70,"Coaching","Underperform"))))</f>
        <v>Sangat Baik</v>
      </c>
      <c r="AE26" s="100" t="str">
        <f t="shared" ref="AE26:AE31" si="5">IF(AG26="","",IF(OR(AG26="INDAH",AG26="ADDEL",AG26="AMEL",AG26="PENTIL",AG26="JIJANG"),"Admin/CS","Fotografer"))</f>
        <v>Admin/CS</v>
      </c>
      <c r="AF26" s="100">
        <f t="shared" ref="AF26:AF31" si="6">IF(OR(AG26="",COUNT(L26:P26)&lt;5),"",1)</f>
        <v>1</v>
      </c>
      <c r="AG26" s="100" t="str">
        <f t="shared" ref="AG26:AG31" si="7">IFERROR(K26,"")</f>
        <v>INDAH</v>
      </c>
    </row>
    <row r="27" ht="15.75" customHeight="1">
      <c r="A27" s="1"/>
      <c r="B27" s="74">
        <v>9.0</v>
      </c>
      <c r="C27" s="75"/>
      <c r="D27" s="76"/>
      <c r="E27" s="77"/>
      <c r="F27" s="1"/>
      <c r="G27" s="1"/>
      <c r="H27" s="1"/>
      <c r="I27" s="1"/>
      <c r="J27" s="1"/>
      <c r="K27" s="102" t="str">
        <f t="shared" si="2"/>
        <v>AMEL</v>
      </c>
      <c r="L27" s="103">
        <v>5.0</v>
      </c>
      <c r="M27" s="103">
        <v>5.0</v>
      </c>
      <c r="N27" s="103">
        <v>5.0</v>
      </c>
      <c r="O27" s="103">
        <v>5.0</v>
      </c>
      <c r="P27" s="103">
        <v>5.0</v>
      </c>
      <c r="Q27" s="1"/>
      <c r="R27" s="1"/>
      <c r="AC27" s="100">
        <f t="shared" si="3"/>
        <v>100</v>
      </c>
      <c r="AD27" s="100" t="str">
        <f t="shared" si="4"/>
        <v>Sangat Baik</v>
      </c>
      <c r="AE27" s="100" t="str">
        <f t="shared" si="5"/>
        <v>Admin/CS</v>
      </c>
      <c r="AF27" s="100">
        <f t="shared" si="6"/>
        <v>1</v>
      </c>
      <c r="AG27" s="100" t="str">
        <f t="shared" si="7"/>
        <v>AMEL</v>
      </c>
    </row>
    <row r="28" ht="15.75" customHeight="1">
      <c r="A28" s="1"/>
      <c r="B28" s="80">
        <v>10.0</v>
      </c>
      <c r="C28" s="94"/>
      <c r="D28" s="95"/>
      <c r="E28" s="77"/>
      <c r="F28" s="1"/>
      <c r="G28" s="1"/>
      <c r="H28" s="1"/>
      <c r="I28" s="1"/>
      <c r="J28" s="1"/>
      <c r="K28" s="102" t="str">
        <f t="shared" si="2"/>
        <v>SAKA</v>
      </c>
      <c r="L28" s="103">
        <v>5.0</v>
      </c>
      <c r="M28" s="103">
        <v>5.0</v>
      </c>
      <c r="N28" s="103">
        <v>5.0</v>
      </c>
      <c r="O28" s="103">
        <v>5.0</v>
      </c>
      <c r="P28" s="103">
        <v>5.0</v>
      </c>
      <c r="Q28" s="1"/>
      <c r="R28" s="1"/>
      <c r="AC28" s="100">
        <f t="shared" si="3"/>
        <v>100</v>
      </c>
      <c r="AD28" s="100" t="str">
        <f t="shared" si="4"/>
        <v>Sangat Baik</v>
      </c>
      <c r="AE28" s="100" t="str">
        <f t="shared" si="5"/>
        <v>Fotografer</v>
      </c>
      <c r="AF28" s="100">
        <f t="shared" si="6"/>
        <v>1</v>
      </c>
      <c r="AG28" s="100" t="str">
        <f t="shared" si="7"/>
        <v>SAKA</v>
      </c>
    </row>
    <row r="29" ht="15.75" customHeight="1">
      <c r="A29" s="1"/>
      <c r="B29" s="110">
        <v>11.0</v>
      </c>
      <c r="C29" s="111"/>
      <c r="D29" s="112"/>
      <c r="E29" s="77"/>
      <c r="F29" s="1"/>
      <c r="G29" s="1"/>
      <c r="H29" s="1"/>
      <c r="I29" s="1"/>
      <c r="J29" s="1"/>
      <c r="K29" s="102" t="str">
        <f t="shared" si="2"/>
        <v>ADIF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1"/>
      <c r="R29" s="1"/>
      <c r="AC29" s="100">
        <f t="shared" si="3"/>
        <v>100</v>
      </c>
      <c r="AD29" s="100" t="str">
        <f t="shared" si="4"/>
        <v>Sangat Baik</v>
      </c>
      <c r="AE29" s="100" t="str">
        <f t="shared" si="5"/>
        <v>Fotografer</v>
      </c>
      <c r="AF29" s="100">
        <f t="shared" si="6"/>
        <v>1</v>
      </c>
      <c r="AG29" s="100" t="str">
        <f t="shared" si="7"/>
        <v>ADIF</v>
      </c>
    </row>
    <row r="30" ht="15.75" customHeight="1">
      <c r="A30" s="1"/>
      <c r="B30" s="1"/>
      <c r="C30" s="3"/>
      <c r="D30" s="115">
        <f>SUM(D19:D29)</f>
        <v>400000</v>
      </c>
      <c r="E30" s="1"/>
      <c r="F30" s="1"/>
      <c r="G30" s="1"/>
      <c r="H30" s="1"/>
      <c r="I30" s="1"/>
      <c r="J30" s="1"/>
      <c r="K30" s="102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2"/>
      <c r="L31" s="117"/>
      <c r="M31" s="117"/>
      <c r="N31" s="117"/>
      <c r="O31" s="117"/>
      <c r="P31" s="117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8" t="s">
        <v>186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187</v>
      </c>
      <c r="N34" s="1"/>
      <c r="O34" s="1"/>
      <c r="P34" s="1"/>
      <c r="Q34" s="1"/>
      <c r="R34" s="1"/>
    </row>
    <row r="35" ht="15.75" customHeight="1">
      <c r="K35" s="121" t="s">
        <v>8</v>
      </c>
      <c r="L35" s="121" t="s">
        <v>189</v>
      </c>
      <c r="M35" s="121" t="s">
        <v>190</v>
      </c>
    </row>
    <row r="36" ht="15.75" customHeight="1">
      <c r="K36" s="123" t="str">
        <f t="shared" ref="K36:K37" si="8">IF(O19="","",O19)</f>
        <v>INDAH</v>
      </c>
      <c r="L36" s="124">
        <v>2.0</v>
      </c>
      <c r="M36" s="124" t="s">
        <v>341</v>
      </c>
    </row>
    <row r="37" ht="15.75" customHeight="1">
      <c r="K37" s="123" t="str">
        <f t="shared" si="8"/>
        <v>AMEL</v>
      </c>
      <c r="L37" s="124">
        <v>2.0</v>
      </c>
      <c r="M37" s="127"/>
    </row>
    <row r="38" ht="15.75" customHeight="1"/>
    <row r="39" ht="19.5" customHeight="1">
      <c r="K39" s="129" t="s">
        <v>194</v>
      </c>
    </row>
    <row r="40" ht="19.5" customHeight="1">
      <c r="K40" s="130" t="s">
        <v>196</v>
      </c>
      <c r="M40" s="124">
        <v>20.0</v>
      </c>
    </row>
    <row r="41" ht="19.5" customHeight="1">
      <c r="K41" s="131" t="s">
        <v>197</v>
      </c>
      <c r="M41" s="132">
        <f>COUNTIF($I$4:$I$17,"DP")</f>
        <v>3</v>
      </c>
    </row>
    <row r="42" ht="19.5" customHeight="1">
      <c r="K42" s="131" t="s">
        <v>199</v>
      </c>
      <c r="M42" s="132">
        <f>COUNTIFS($I$4:$I$17,"&lt;&gt;DP",$I$4:$I$17,"&lt;&gt;")</f>
        <v>8</v>
      </c>
    </row>
    <row r="43" ht="19.5" customHeight="1">
      <c r="K43" s="133" t="s">
        <v>201</v>
      </c>
      <c r="M43" s="132">
        <f>M41+M42</f>
        <v>11</v>
      </c>
    </row>
    <row r="44" ht="19.5" customHeight="1">
      <c r="K44" s="130" t="s">
        <v>202</v>
      </c>
      <c r="M44" s="134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338</v>
      </c>
      <c r="D4" s="22" t="s">
        <v>184</v>
      </c>
      <c r="E4" s="24"/>
      <c r="F4" s="163">
        <v>46313.0</v>
      </c>
      <c r="G4" s="30"/>
      <c r="H4" s="34">
        <v>100000.0</v>
      </c>
      <c r="I4" s="26" t="s">
        <v>27</v>
      </c>
      <c r="J4" s="17"/>
      <c r="K4" s="17"/>
      <c r="L4" s="26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1" t="s">
        <v>339</v>
      </c>
      <c r="D5" s="19" t="s">
        <v>277</v>
      </c>
      <c r="E5" s="26">
        <v>2.0</v>
      </c>
      <c r="F5" s="25">
        <v>46320.0</v>
      </c>
      <c r="G5" s="159"/>
      <c r="H5" s="31">
        <v>100000.0</v>
      </c>
      <c r="I5" s="33" t="s">
        <v>28</v>
      </c>
      <c r="J5" s="18"/>
      <c r="K5" s="18"/>
      <c r="L5" s="33" t="s">
        <v>32</v>
      </c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21" t="s">
        <v>340</v>
      </c>
      <c r="D6" s="19" t="s">
        <v>238</v>
      </c>
      <c r="E6" s="17"/>
      <c r="F6" s="157">
        <v>46273.0</v>
      </c>
      <c r="G6" s="159"/>
      <c r="H6" s="31">
        <v>20000.0</v>
      </c>
      <c r="I6" s="33" t="s">
        <v>28</v>
      </c>
      <c r="J6" s="18"/>
      <c r="K6" s="18"/>
      <c r="L6" s="33" t="s">
        <v>32</v>
      </c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21" t="s">
        <v>342</v>
      </c>
      <c r="D7" s="19" t="s">
        <v>41</v>
      </c>
      <c r="E7" s="17"/>
      <c r="F7" s="157">
        <v>46313.0</v>
      </c>
      <c r="G7" s="159"/>
      <c r="H7" s="31">
        <v>100000.0</v>
      </c>
      <c r="I7" s="33" t="s">
        <v>27</v>
      </c>
      <c r="J7" s="18"/>
      <c r="K7" s="18"/>
      <c r="L7" s="33" t="s">
        <v>32</v>
      </c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21" t="s">
        <v>343</v>
      </c>
      <c r="D8" s="19" t="s">
        <v>41</v>
      </c>
      <c r="E8" s="17"/>
      <c r="F8" s="157">
        <v>46315.0</v>
      </c>
      <c r="G8" s="159"/>
      <c r="H8" s="31">
        <v>100000.0</v>
      </c>
      <c r="I8" s="33" t="s">
        <v>27</v>
      </c>
      <c r="J8" s="18"/>
      <c r="K8" s="18"/>
      <c r="L8" s="33" t="s">
        <v>32</v>
      </c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21" t="s">
        <v>336</v>
      </c>
      <c r="D9" s="19" t="s">
        <v>41</v>
      </c>
      <c r="E9" s="17"/>
      <c r="F9" s="157">
        <v>46308.0</v>
      </c>
      <c r="G9" s="161">
        <v>75000.0</v>
      </c>
      <c r="H9" s="63"/>
      <c r="I9" s="33" t="s">
        <v>28</v>
      </c>
      <c r="J9" s="33" t="s">
        <v>30</v>
      </c>
      <c r="K9" s="33" t="s">
        <v>30</v>
      </c>
      <c r="L9" s="33" t="s">
        <v>29</v>
      </c>
      <c r="M9" s="33" t="s">
        <v>46</v>
      </c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21" t="s">
        <v>70</v>
      </c>
      <c r="D10" s="19" t="s">
        <v>72</v>
      </c>
      <c r="E10" s="17"/>
      <c r="F10" s="157">
        <v>46307.0</v>
      </c>
      <c r="G10" s="161">
        <v>450000.0</v>
      </c>
      <c r="H10" s="63"/>
      <c r="I10" s="33" t="s">
        <v>28</v>
      </c>
      <c r="J10" s="33" t="s">
        <v>44</v>
      </c>
      <c r="K10" s="33" t="s">
        <v>44</v>
      </c>
      <c r="L10" s="33" t="s">
        <v>29</v>
      </c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21" t="s">
        <v>344</v>
      </c>
      <c r="D11" s="19" t="s">
        <v>41</v>
      </c>
      <c r="E11" s="17"/>
      <c r="F11" s="33" t="s">
        <v>345</v>
      </c>
      <c r="G11" s="159"/>
      <c r="H11" s="31">
        <v>100000.0</v>
      </c>
      <c r="I11" s="33" t="s">
        <v>27</v>
      </c>
      <c r="J11" s="18"/>
      <c r="K11" s="18"/>
      <c r="L11" s="33" t="s">
        <v>29</v>
      </c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21" t="s">
        <v>346</v>
      </c>
      <c r="D12" s="19" t="s">
        <v>277</v>
      </c>
      <c r="E12" s="17"/>
      <c r="F12" s="157">
        <v>46308.0</v>
      </c>
      <c r="G12" s="159"/>
      <c r="H12" s="31">
        <v>50000.0</v>
      </c>
      <c r="I12" s="33" t="s">
        <v>28</v>
      </c>
      <c r="J12" s="33" t="s">
        <v>30</v>
      </c>
      <c r="K12" s="33" t="s">
        <v>30</v>
      </c>
      <c r="L12" s="33" t="s">
        <v>29</v>
      </c>
      <c r="M12" s="33" t="s">
        <v>65</v>
      </c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88"/>
      <c r="D13" s="62"/>
      <c r="E13" s="17"/>
      <c r="F13" s="178"/>
      <c r="G13" s="159"/>
      <c r="H13" s="63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525000</v>
      </c>
      <c r="H14" s="71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3" t="s">
        <v>7</v>
      </c>
      <c r="D17" s="73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114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525000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79" t="s">
        <v>32</v>
      </c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7"/>
      <c r="F19" s="1"/>
      <c r="G19" s="1"/>
      <c r="H19" s="1"/>
      <c r="I19" s="1"/>
      <c r="J19" s="1"/>
      <c r="K19" s="1"/>
      <c r="L19" s="1"/>
      <c r="M19" s="1"/>
      <c r="N19" s="84" t="s">
        <v>125</v>
      </c>
      <c r="O19" s="85" t="s">
        <v>29</v>
      </c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128</v>
      </c>
      <c r="O20" s="92" t="s">
        <v>46</v>
      </c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7"/>
      <c r="F21" s="1"/>
      <c r="G21" s="1"/>
      <c r="H21" s="1"/>
      <c r="I21" s="1"/>
      <c r="J21" s="1"/>
      <c r="K21" s="1"/>
      <c r="L21" s="1"/>
      <c r="M21" s="1"/>
      <c r="N21" s="93" t="s">
        <v>131</v>
      </c>
      <c r="O21" s="85" t="s">
        <v>65</v>
      </c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7"/>
      <c r="F23" s="1"/>
      <c r="G23" s="1"/>
      <c r="H23" s="1"/>
      <c r="I23" s="1"/>
      <c r="J23" s="1"/>
      <c r="K23" s="98" t="s">
        <v>134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137</v>
      </c>
      <c r="M24" s="99" t="s">
        <v>138</v>
      </c>
      <c r="N24" s="99" t="s">
        <v>139</v>
      </c>
      <c r="O24" s="99" t="s">
        <v>140</v>
      </c>
      <c r="P24" s="99" t="s">
        <v>141</v>
      </c>
      <c r="Q24" s="1"/>
      <c r="R24" s="1"/>
      <c r="AC24" s="100" t="s">
        <v>143</v>
      </c>
      <c r="AD24" s="100" t="s">
        <v>144</v>
      </c>
      <c r="AE24" s="100" t="s">
        <v>145</v>
      </c>
      <c r="AF24" s="100" t="s">
        <v>146</v>
      </c>
      <c r="AG24" s="100" t="s">
        <v>148</v>
      </c>
    </row>
    <row r="25" ht="15.75" customHeight="1">
      <c r="A25" s="1"/>
      <c r="B25" s="80">
        <v>8.0</v>
      </c>
      <c r="C25" s="94"/>
      <c r="D25" s="95"/>
      <c r="E25" s="77"/>
      <c r="F25" s="1"/>
      <c r="G25" s="1"/>
      <c r="H25" s="1"/>
      <c r="I25" s="1"/>
      <c r="J25" s="1"/>
      <c r="K25" s="102" t="str">
        <f t="shared" ref="K25:K28" si="2">IF(O18="","",O18)</f>
        <v>INDAH</v>
      </c>
      <c r="L25" s="152">
        <v>5.0</v>
      </c>
      <c r="M25" s="152">
        <v>5.0</v>
      </c>
      <c r="N25" s="152">
        <v>5.0</v>
      </c>
      <c r="O25" s="152">
        <v>5.0</v>
      </c>
      <c r="P25" s="152">
        <v>5.0</v>
      </c>
      <c r="Q25" s="1"/>
      <c r="R25" s="1"/>
      <c r="AC25" s="100">
        <f t="shared" ref="AC25:AC30" si="3">IF(AG25="","",IF(COUNT(L25:P25)&lt;5,"",L25/5*20+M25/5*25+N25/5*25+O25/5*15+P25/5*15))</f>
        <v>100</v>
      </c>
      <c r="AD25" s="100" t="str">
        <f t="shared" ref="AD25:AD30" si="4">IF(AC25="","",IF(AC25&gt;=90,"Sangat Baik",IF(AC25&gt;=80,"Baik",IF(AC25&gt;=70,"Coaching","Underperform"))))</f>
        <v>Sangat Baik</v>
      </c>
      <c r="AE25" s="100" t="str">
        <f t="shared" ref="AE25:AE30" si="5">IF(AG25="","",IF(OR(AG25="INDAH",AG25="ADDEL",AG25="AMEL",AG25="PENTIL",AG25="JIJANG"),"Admin/CS","Fotografer"))</f>
        <v>Admin/CS</v>
      </c>
      <c r="AF25" s="100">
        <f t="shared" ref="AF25:AF30" si="6">IF(OR(AG25="",COUNT(L25:P25)&lt;5),"",1)</f>
        <v>1</v>
      </c>
      <c r="AG25" s="100" t="str">
        <f t="shared" ref="AG25:AG30" si="7">IFERROR(K25,"")</f>
        <v>INDAH</v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2" t="str">
        <f t="shared" si="2"/>
        <v>AMEL</v>
      </c>
      <c r="L26" s="103">
        <v>5.0</v>
      </c>
      <c r="M26" s="103">
        <v>5.0</v>
      </c>
      <c r="N26" s="103">
        <v>5.0</v>
      </c>
      <c r="O26" s="103">
        <v>5.0</v>
      </c>
      <c r="P26" s="103">
        <v>5.0</v>
      </c>
      <c r="Q26" s="1"/>
      <c r="R26" s="1"/>
      <c r="AC26" s="100">
        <f t="shared" si="3"/>
        <v>100</v>
      </c>
      <c r="AD26" s="100" t="str">
        <f t="shared" si="4"/>
        <v>Sangat Baik</v>
      </c>
      <c r="AE26" s="100" t="str">
        <f t="shared" si="5"/>
        <v>Admin/CS</v>
      </c>
      <c r="AF26" s="100">
        <f t="shared" si="6"/>
        <v>1</v>
      </c>
      <c r="AG26" s="100" t="str">
        <f t="shared" si="7"/>
        <v>AMEL</v>
      </c>
    </row>
    <row r="27" ht="15.75" customHeight="1">
      <c r="A27" s="1"/>
      <c r="B27" s="80">
        <v>10.0</v>
      </c>
      <c r="C27" s="94"/>
      <c r="D27" s="95"/>
      <c r="E27" s="77"/>
      <c r="F27" s="1"/>
      <c r="G27" s="1"/>
      <c r="H27" s="1"/>
      <c r="I27" s="1"/>
      <c r="J27" s="1"/>
      <c r="K27" s="102" t="str">
        <f t="shared" si="2"/>
        <v>ADIF</v>
      </c>
      <c r="L27" s="152">
        <v>5.0</v>
      </c>
      <c r="M27" s="152">
        <v>5.0</v>
      </c>
      <c r="N27" s="152">
        <v>5.0</v>
      </c>
      <c r="O27" s="152">
        <v>5.0</v>
      </c>
      <c r="P27" s="152">
        <v>5.0</v>
      </c>
      <c r="Q27" s="1"/>
      <c r="R27" s="1"/>
      <c r="AC27" s="100">
        <f t="shared" si="3"/>
        <v>100</v>
      </c>
      <c r="AD27" s="100" t="str">
        <f t="shared" si="4"/>
        <v>Sangat Baik</v>
      </c>
      <c r="AE27" s="100" t="str">
        <f t="shared" si="5"/>
        <v>Fotografer</v>
      </c>
      <c r="AF27" s="100">
        <f t="shared" si="6"/>
        <v>1</v>
      </c>
      <c r="AG27" s="100" t="str">
        <f t="shared" si="7"/>
        <v>ADIF</v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2" t="str">
        <f t="shared" si="2"/>
        <v>SAKA</v>
      </c>
      <c r="L28" s="103">
        <v>5.0</v>
      </c>
      <c r="M28" s="103">
        <v>5.0</v>
      </c>
      <c r="N28" s="103">
        <v>5.0</v>
      </c>
      <c r="O28" s="103">
        <v>5.0</v>
      </c>
      <c r="P28" s="103">
        <v>5.0</v>
      </c>
      <c r="Q28" s="1"/>
      <c r="R28" s="1"/>
      <c r="AC28" s="100">
        <f t="shared" si="3"/>
        <v>100</v>
      </c>
      <c r="AD28" s="100" t="str">
        <f t="shared" si="4"/>
        <v>Sangat Baik</v>
      </c>
      <c r="AE28" s="100" t="str">
        <f t="shared" si="5"/>
        <v>Fotografer</v>
      </c>
      <c r="AF28" s="100">
        <f t="shared" si="6"/>
        <v>1</v>
      </c>
      <c r="AG28" s="100" t="str">
        <f t="shared" si="7"/>
        <v>SAKA</v>
      </c>
    </row>
    <row r="29" ht="15.75" customHeight="1">
      <c r="A29" s="1"/>
      <c r="B29" s="1"/>
      <c r="C29" s="3"/>
      <c r="D29" s="115">
        <f>SUM(D18:D28)</f>
        <v>525000</v>
      </c>
      <c r="E29" s="1"/>
      <c r="F29" s="1"/>
      <c r="G29" s="1"/>
      <c r="H29" s="1"/>
      <c r="I29" s="1"/>
      <c r="J29" s="1"/>
      <c r="K29" s="102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187</v>
      </c>
      <c r="N33" s="120"/>
      <c r="O33" s="1"/>
      <c r="P33" s="1"/>
      <c r="Q33" s="1"/>
      <c r="R33" s="1"/>
    </row>
    <row r="34" ht="15.75" customHeight="1">
      <c r="K34" s="121" t="s">
        <v>8</v>
      </c>
      <c r="L34" s="121" t="s">
        <v>189</v>
      </c>
      <c r="M34" s="121" t="s">
        <v>190</v>
      </c>
      <c r="N34" s="122" t="s">
        <v>191</v>
      </c>
    </row>
    <row r="35" ht="15.75" customHeight="1">
      <c r="K35" s="123" t="str">
        <f t="shared" ref="K35:K36" si="8">IF(O18="","",O18)</f>
        <v>INDAH</v>
      </c>
      <c r="L35" s="124">
        <v>3.0</v>
      </c>
      <c r="M35" s="127"/>
      <c r="N35" s="126">
        <v>21.0</v>
      </c>
    </row>
    <row r="36" ht="15.75" customHeight="1">
      <c r="K36" s="123" t="str">
        <f t="shared" si="8"/>
        <v>AMEL</v>
      </c>
      <c r="L36" s="124">
        <v>2.0</v>
      </c>
      <c r="M36" s="127"/>
      <c r="N36" s="126">
        <v>44.0</v>
      </c>
    </row>
    <row r="37" ht="15.75" customHeight="1"/>
    <row r="38" ht="19.5" customHeight="1">
      <c r="K38" s="129" t="s">
        <v>194</v>
      </c>
    </row>
    <row r="39" ht="19.5" customHeight="1">
      <c r="K39" s="130" t="s">
        <v>196</v>
      </c>
      <c r="M39" s="124">
        <v>20.0</v>
      </c>
    </row>
    <row r="40" ht="19.5" customHeight="1">
      <c r="K40" s="131" t="s">
        <v>197</v>
      </c>
      <c r="M40" s="132">
        <f>COUNTIF($I$4:$I$16,"DP")</f>
        <v>4</v>
      </c>
    </row>
    <row r="41" ht="19.5" customHeight="1">
      <c r="K41" s="131" t="s">
        <v>199</v>
      </c>
      <c r="M41" s="132">
        <f>COUNTIFS($I$4:$I$16,"&lt;&gt;DP",$I$4:$I$16,"&lt;&gt;")</f>
        <v>5</v>
      </c>
    </row>
    <row r="42" ht="19.5" customHeight="1">
      <c r="K42" s="133" t="s">
        <v>201</v>
      </c>
      <c r="M42" s="132">
        <f>M40+M41</f>
        <v>9</v>
      </c>
    </row>
    <row r="43" ht="19.5" customHeight="1">
      <c r="K43" s="130" t="s">
        <v>202</v>
      </c>
      <c r="M43" s="134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1" t="s">
        <v>347</v>
      </c>
      <c r="D4" s="19" t="s">
        <v>23</v>
      </c>
      <c r="E4" s="17"/>
      <c r="F4" s="157">
        <v>46312.0</v>
      </c>
      <c r="G4" s="159"/>
      <c r="H4" s="31">
        <v>100000.0</v>
      </c>
      <c r="I4" s="33" t="s">
        <v>27</v>
      </c>
      <c r="J4" s="18"/>
      <c r="K4" s="18"/>
      <c r="L4" s="33" t="s">
        <v>29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1" t="s">
        <v>348</v>
      </c>
      <c r="D5" s="19" t="s">
        <v>41</v>
      </c>
      <c r="E5" s="17"/>
      <c r="F5" s="157">
        <v>46313.0</v>
      </c>
      <c r="G5" s="159"/>
      <c r="H5" s="31">
        <v>100000.0</v>
      </c>
      <c r="I5" s="33" t="s">
        <v>27</v>
      </c>
      <c r="J5" s="18"/>
      <c r="K5" s="18"/>
      <c r="L5" s="33" t="s">
        <v>29</v>
      </c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21" t="s">
        <v>349</v>
      </c>
      <c r="D6" s="19" t="s">
        <v>41</v>
      </c>
      <c r="E6" s="17"/>
      <c r="F6" s="157">
        <v>46314.0</v>
      </c>
      <c r="G6" s="159"/>
      <c r="H6" s="31">
        <v>100000.0</v>
      </c>
      <c r="I6" s="33" t="s">
        <v>27</v>
      </c>
      <c r="J6" s="18"/>
      <c r="K6" s="18"/>
      <c r="L6" s="33" t="s">
        <v>29</v>
      </c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21" t="s">
        <v>350</v>
      </c>
      <c r="D7" s="19" t="s">
        <v>54</v>
      </c>
      <c r="E7" s="17"/>
      <c r="F7" s="157">
        <v>46298.0</v>
      </c>
      <c r="G7" s="159"/>
      <c r="H7" s="31">
        <v>10000.0</v>
      </c>
      <c r="I7" s="33" t="s">
        <v>28</v>
      </c>
      <c r="J7" s="33" t="s">
        <v>30</v>
      </c>
      <c r="K7" s="33" t="s">
        <v>30</v>
      </c>
      <c r="L7" s="33" t="s">
        <v>29</v>
      </c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50" t="s">
        <v>351</v>
      </c>
      <c r="D8" s="19" t="s">
        <v>41</v>
      </c>
      <c r="E8" s="17"/>
      <c r="F8" s="157">
        <v>46310.0</v>
      </c>
      <c r="G8" s="159"/>
      <c r="H8" s="31">
        <v>100000.0</v>
      </c>
      <c r="I8" s="33" t="s">
        <v>27</v>
      </c>
      <c r="J8" s="18"/>
      <c r="K8" s="18"/>
      <c r="L8" s="33" t="s">
        <v>29</v>
      </c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21" t="s">
        <v>352</v>
      </c>
      <c r="D9" s="19" t="s">
        <v>49</v>
      </c>
      <c r="E9" s="17"/>
      <c r="F9" s="157">
        <v>46310.0</v>
      </c>
      <c r="G9" s="159"/>
      <c r="H9" s="31">
        <v>100000.0</v>
      </c>
      <c r="I9" s="33" t="s">
        <v>28</v>
      </c>
      <c r="J9" s="18"/>
      <c r="K9" s="18"/>
      <c r="L9" s="33" t="s">
        <v>29</v>
      </c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26" t="s">
        <v>353</v>
      </c>
      <c r="D10" s="19" t="s">
        <v>277</v>
      </c>
      <c r="E10" s="26" t="s">
        <v>208</v>
      </c>
      <c r="F10" s="157">
        <v>46309.0</v>
      </c>
      <c r="G10" s="159"/>
      <c r="H10" s="31">
        <v>50000.0</v>
      </c>
      <c r="I10" s="33" t="s">
        <v>28</v>
      </c>
      <c r="J10" s="33" t="s">
        <v>30</v>
      </c>
      <c r="K10" s="33" t="s">
        <v>30</v>
      </c>
      <c r="L10" s="33" t="s">
        <v>29</v>
      </c>
      <c r="M10" s="33" t="s">
        <v>46</v>
      </c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21" t="s">
        <v>354</v>
      </c>
      <c r="D11" s="19" t="s">
        <v>23</v>
      </c>
      <c r="E11" s="17"/>
      <c r="F11" s="57">
        <v>46312.0</v>
      </c>
      <c r="G11" s="159"/>
      <c r="H11" s="31">
        <v>100000.0</v>
      </c>
      <c r="I11" s="33" t="s">
        <v>27</v>
      </c>
      <c r="J11" s="18"/>
      <c r="K11" s="18"/>
      <c r="L11" s="33" t="s">
        <v>29</v>
      </c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49" t="s">
        <v>355</v>
      </c>
      <c r="D12" s="19" t="s">
        <v>277</v>
      </c>
      <c r="E12" s="26" t="s">
        <v>208</v>
      </c>
      <c r="F12" s="157">
        <v>46309.0</v>
      </c>
      <c r="G12" s="161">
        <v>50000.0</v>
      </c>
      <c r="H12" s="31"/>
      <c r="I12" s="33" t="s">
        <v>28</v>
      </c>
      <c r="J12" s="33" t="s">
        <v>30</v>
      </c>
      <c r="K12" s="33" t="s">
        <v>30</v>
      </c>
      <c r="L12" s="33" t="s">
        <v>29</v>
      </c>
      <c r="M12" s="33" t="s">
        <v>46</v>
      </c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21" t="s">
        <v>356</v>
      </c>
      <c r="D13" s="19" t="s">
        <v>49</v>
      </c>
      <c r="E13" s="26" t="s">
        <v>208</v>
      </c>
      <c r="F13" s="157">
        <v>46309.0</v>
      </c>
      <c r="G13" s="161">
        <v>100000.0</v>
      </c>
      <c r="H13" s="31"/>
      <c r="I13" s="33" t="s">
        <v>28</v>
      </c>
      <c r="J13" s="33" t="s">
        <v>30</v>
      </c>
      <c r="K13" s="33" t="s">
        <v>30</v>
      </c>
      <c r="L13" s="33" t="s">
        <v>29</v>
      </c>
      <c r="M13" s="33" t="s">
        <v>46</v>
      </c>
      <c r="N13" s="43"/>
      <c r="O13" s="43"/>
      <c r="P13" s="43"/>
      <c r="Q13" s="1"/>
      <c r="R13" s="1"/>
    </row>
    <row r="14" ht="18.75" customHeight="1">
      <c r="A14" s="1"/>
      <c r="B14" s="1"/>
      <c r="D14" s="3"/>
      <c r="E14" s="1"/>
      <c r="F14" s="1"/>
      <c r="G14" s="135">
        <f t="shared" ref="G14:H14" si="1">SUM(G4:G13)</f>
        <v>150000</v>
      </c>
      <c r="H14" s="71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3" t="s">
        <v>7</v>
      </c>
      <c r="D17" s="73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114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150000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79" t="s">
        <v>29</v>
      </c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7"/>
      <c r="F19" s="1"/>
      <c r="G19" s="1"/>
      <c r="H19" s="1"/>
      <c r="I19" s="1"/>
      <c r="J19" s="1"/>
      <c r="K19" s="1"/>
      <c r="L19" s="1"/>
      <c r="M19" s="1"/>
      <c r="N19" s="84" t="s">
        <v>125</v>
      </c>
      <c r="O19" s="85" t="s">
        <v>29</v>
      </c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128</v>
      </c>
      <c r="O20" s="92" t="s">
        <v>65</v>
      </c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7"/>
      <c r="F21" s="1"/>
      <c r="G21" s="1"/>
      <c r="H21" s="1"/>
      <c r="I21" s="1"/>
      <c r="J21" s="1"/>
      <c r="K21" s="1"/>
      <c r="L21" s="1"/>
      <c r="M21" s="1"/>
      <c r="N21" s="93" t="s">
        <v>131</v>
      </c>
      <c r="O21" s="85" t="s">
        <v>46</v>
      </c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7"/>
      <c r="F23" s="1"/>
      <c r="G23" s="1"/>
      <c r="H23" s="1"/>
      <c r="I23" s="1"/>
      <c r="J23" s="1"/>
      <c r="K23" s="98" t="s">
        <v>134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137</v>
      </c>
      <c r="M24" s="99" t="s">
        <v>138</v>
      </c>
      <c r="N24" s="99" t="s">
        <v>139</v>
      </c>
      <c r="O24" s="99" t="s">
        <v>140</v>
      </c>
      <c r="P24" s="99" t="s">
        <v>141</v>
      </c>
      <c r="Q24" s="1"/>
      <c r="R24" s="1"/>
      <c r="AC24" s="100" t="s">
        <v>143</v>
      </c>
      <c r="AD24" s="100" t="s">
        <v>144</v>
      </c>
      <c r="AE24" s="100" t="s">
        <v>145</v>
      </c>
      <c r="AF24" s="100" t="s">
        <v>146</v>
      </c>
      <c r="AG24" s="100" t="s">
        <v>148</v>
      </c>
    </row>
    <row r="25" ht="15.75" customHeight="1">
      <c r="A25" s="1"/>
      <c r="B25" s="80">
        <v>8.0</v>
      </c>
      <c r="C25" s="94"/>
      <c r="D25" s="95"/>
      <c r="E25" s="77"/>
      <c r="F25" s="1"/>
      <c r="G25" s="1"/>
      <c r="H25" s="1"/>
      <c r="I25" s="1"/>
      <c r="J25" s="1"/>
      <c r="K25" s="102" t="str">
        <f t="shared" ref="K25:K28" si="2">IF(O18="","",O18)</f>
        <v>AMEL</v>
      </c>
      <c r="L25" s="117"/>
      <c r="M25" s="117"/>
      <c r="N25" s="117"/>
      <c r="O25" s="117"/>
      <c r="P25" s="117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>Admin/CS</v>
      </c>
      <c r="AF25" s="100" t="str">
        <f t="shared" ref="AF25:AF30" si="6">IF(OR(AG25="",COUNT(L25:P25)&lt;5),"",1)</f>
        <v/>
      </c>
      <c r="AG25" s="100" t="str">
        <f t="shared" ref="AG25:AG30" si="7">IFERROR(K25,"")</f>
        <v>AMEL</v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2" t="str">
        <f t="shared" si="2"/>
        <v>AMEL</v>
      </c>
      <c r="L26" s="117"/>
      <c r="M26" s="117"/>
      <c r="N26" s="117"/>
      <c r="O26" s="117"/>
      <c r="P26" s="117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>Admin/CS</v>
      </c>
      <c r="AF26" s="100" t="str">
        <f t="shared" si="6"/>
        <v/>
      </c>
      <c r="AG26" s="100" t="str">
        <f t="shared" si="7"/>
        <v>AMEL</v>
      </c>
    </row>
    <row r="27" ht="15.75" customHeight="1">
      <c r="A27" s="1"/>
      <c r="B27" s="80">
        <v>10.0</v>
      </c>
      <c r="C27" s="94"/>
      <c r="D27" s="95"/>
      <c r="E27" s="77"/>
      <c r="F27" s="1"/>
      <c r="G27" s="1"/>
      <c r="H27" s="1"/>
      <c r="I27" s="1"/>
      <c r="J27" s="1"/>
      <c r="K27" s="102" t="str">
        <f t="shared" si="2"/>
        <v>SAKA</v>
      </c>
      <c r="L27" s="117"/>
      <c r="M27" s="117"/>
      <c r="N27" s="117"/>
      <c r="O27" s="117"/>
      <c r="P27" s="117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>Fotografer</v>
      </c>
      <c r="AF27" s="100" t="str">
        <f t="shared" si="6"/>
        <v/>
      </c>
      <c r="AG27" s="100" t="str">
        <f t="shared" si="7"/>
        <v>SAKA</v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2" t="str">
        <f t="shared" si="2"/>
        <v>ADIF</v>
      </c>
      <c r="L28" s="117"/>
      <c r="M28" s="117"/>
      <c r="N28" s="117"/>
      <c r="O28" s="117"/>
      <c r="P28" s="117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>Fotografer</v>
      </c>
      <c r="AF28" s="100" t="str">
        <f t="shared" si="6"/>
        <v/>
      </c>
      <c r="AG28" s="100" t="str">
        <f t="shared" si="7"/>
        <v>ADIF</v>
      </c>
    </row>
    <row r="29" ht="15.75" customHeight="1">
      <c r="A29" s="1"/>
      <c r="B29" s="1"/>
      <c r="C29" s="3"/>
      <c r="D29" s="115">
        <f>SUM(D18:D28)</f>
        <v>150000</v>
      </c>
      <c r="E29" s="1"/>
      <c r="F29" s="1"/>
      <c r="G29" s="1"/>
      <c r="H29" s="1"/>
      <c r="I29" s="1"/>
      <c r="J29" s="1"/>
      <c r="K29" s="102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187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189</v>
      </c>
      <c r="M34" s="121" t="s">
        <v>190</v>
      </c>
    </row>
    <row r="35" ht="15.75" customHeight="1">
      <c r="K35" s="123" t="str">
        <f t="shared" ref="K35:K36" si="8">IF(O18="","",O18)</f>
        <v>AMEL</v>
      </c>
      <c r="L35" s="124">
        <v>9.0</v>
      </c>
      <c r="M35" s="127"/>
    </row>
    <row r="36" ht="15.75" customHeight="1">
      <c r="K36" s="123" t="str">
        <f t="shared" si="8"/>
        <v>AMEL</v>
      </c>
      <c r="L36" s="127"/>
      <c r="M36" s="127"/>
    </row>
    <row r="37" ht="15.75" customHeight="1"/>
    <row r="38" ht="19.5" customHeight="1">
      <c r="K38" s="129" t="s">
        <v>194</v>
      </c>
    </row>
    <row r="39" ht="19.5" customHeight="1">
      <c r="K39" s="130" t="s">
        <v>196</v>
      </c>
      <c r="M39" s="124">
        <v>29.0</v>
      </c>
    </row>
    <row r="40" ht="19.5" customHeight="1">
      <c r="K40" s="131" t="s">
        <v>197</v>
      </c>
      <c r="M40" s="149">
        <v>5.0</v>
      </c>
    </row>
    <row r="41" ht="19.5" customHeight="1">
      <c r="K41" s="131" t="s">
        <v>199</v>
      </c>
      <c r="M41" s="149">
        <v>3.0</v>
      </c>
    </row>
    <row r="42" ht="19.5" customHeight="1">
      <c r="K42" s="133" t="s">
        <v>201</v>
      </c>
      <c r="M42" s="149">
        <v>8.0</v>
      </c>
    </row>
    <row r="43" ht="19.5" customHeight="1">
      <c r="K43" s="130" t="s">
        <v>202</v>
      </c>
      <c r="M43" s="134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1" t="s">
        <v>357</v>
      </c>
      <c r="D4" s="19" t="s">
        <v>41</v>
      </c>
      <c r="E4" s="17"/>
      <c r="F4" s="25">
        <v>46313.0</v>
      </c>
      <c r="G4" s="159"/>
      <c r="H4" s="31">
        <v>100000.0</v>
      </c>
      <c r="I4" s="33" t="s">
        <v>27</v>
      </c>
      <c r="J4" s="18"/>
      <c r="K4" s="18"/>
      <c r="L4" s="33" t="s">
        <v>29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1" t="s">
        <v>358</v>
      </c>
      <c r="D5" s="19" t="s">
        <v>49</v>
      </c>
      <c r="E5" s="17"/>
      <c r="F5" s="157">
        <v>46310.0</v>
      </c>
      <c r="G5" s="161" t="s">
        <v>44</v>
      </c>
      <c r="H5" s="31" t="s">
        <v>44</v>
      </c>
      <c r="I5" s="33" t="s">
        <v>28</v>
      </c>
      <c r="J5" s="33" t="s">
        <v>30</v>
      </c>
      <c r="K5" s="33" t="s">
        <v>30</v>
      </c>
      <c r="L5" s="33" t="s">
        <v>29</v>
      </c>
      <c r="M5" s="33" t="s">
        <v>65</v>
      </c>
      <c r="N5" s="43"/>
      <c r="O5" s="43"/>
      <c r="P5" s="43"/>
      <c r="Q5" s="1"/>
      <c r="R5" s="1"/>
    </row>
    <row r="6" ht="15.75" customHeight="1">
      <c r="A6" s="1"/>
      <c r="B6" s="18">
        <v>3.0</v>
      </c>
      <c r="C6" s="49" t="s">
        <v>359</v>
      </c>
      <c r="D6" s="19" t="s">
        <v>37</v>
      </c>
      <c r="E6" s="17"/>
      <c r="F6" s="57">
        <v>46310.0</v>
      </c>
      <c r="G6" s="159"/>
      <c r="H6" s="31">
        <v>100000.0</v>
      </c>
      <c r="I6" s="33" t="s">
        <v>27</v>
      </c>
      <c r="J6" s="18"/>
      <c r="K6" s="18"/>
      <c r="L6" s="33" t="s">
        <v>29</v>
      </c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21" t="s">
        <v>360</v>
      </c>
      <c r="D7" s="19" t="s">
        <v>23</v>
      </c>
      <c r="E7" s="17"/>
      <c r="F7" s="57">
        <v>46312.0</v>
      </c>
      <c r="G7" s="159"/>
      <c r="H7" s="31">
        <v>100000.0</v>
      </c>
      <c r="I7" s="33" t="s">
        <v>27</v>
      </c>
      <c r="J7" s="18"/>
      <c r="K7" s="18"/>
      <c r="L7" s="33" t="s">
        <v>29</v>
      </c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79" t="s">
        <v>361</v>
      </c>
      <c r="D8" s="19" t="s">
        <v>23</v>
      </c>
      <c r="E8" s="17"/>
      <c r="F8" s="57">
        <v>46312.0</v>
      </c>
      <c r="G8" s="159"/>
      <c r="H8" s="31">
        <v>150000.0</v>
      </c>
      <c r="I8" s="33" t="s">
        <v>27</v>
      </c>
      <c r="J8" s="18"/>
      <c r="K8" s="18"/>
      <c r="L8" s="33" t="s">
        <v>29</v>
      </c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21" t="s">
        <v>362</v>
      </c>
      <c r="D9" s="19" t="s">
        <v>251</v>
      </c>
      <c r="E9" s="17"/>
      <c r="F9" s="57">
        <v>46311.0</v>
      </c>
      <c r="G9" s="159"/>
      <c r="H9" s="31">
        <v>100000.0</v>
      </c>
      <c r="I9" s="33" t="s">
        <v>27</v>
      </c>
      <c r="J9" s="18"/>
      <c r="K9" s="18"/>
      <c r="L9" s="33" t="s">
        <v>29</v>
      </c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21" t="s">
        <v>363</v>
      </c>
      <c r="D10" s="19" t="s">
        <v>23</v>
      </c>
      <c r="E10" s="17"/>
      <c r="F10" s="157">
        <v>46312.0</v>
      </c>
      <c r="G10" s="159"/>
      <c r="H10" s="31">
        <v>100000.0</v>
      </c>
      <c r="I10" s="33" t="s">
        <v>27</v>
      </c>
      <c r="J10" s="18"/>
      <c r="K10" s="18"/>
      <c r="L10" s="33" t="s">
        <v>32</v>
      </c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21" t="s">
        <v>351</v>
      </c>
      <c r="D11" s="19" t="s">
        <v>41</v>
      </c>
      <c r="E11" s="17"/>
      <c r="F11" s="157">
        <v>46310.0</v>
      </c>
      <c r="G11" s="161">
        <v>1075000.0</v>
      </c>
      <c r="H11" s="63"/>
      <c r="I11" s="33" t="s">
        <v>28</v>
      </c>
      <c r="J11" s="33" t="s">
        <v>30</v>
      </c>
      <c r="K11" s="33" t="s">
        <v>31</v>
      </c>
      <c r="L11" s="33" t="s">
        <v>32</v>
      </c>
      <c r="M11" s="33" t="s">
        <v>65</v>
      </c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49" t="s">
        <v>364</v>
      </c>
      <c r="D12" s="19" t="s">
        <v>72</v>
      </c>
      <c r="E12" s="17"/>
      <c r="F12" s="157">
        <v>46312.0</v>
      </c>
      <c r="G12" s="159"/>
      <c r="H12" s="31">
        <v>250000.0</v>
      </c>
      <c r="I12" s="33" t="s">
        <v>27</v>
      </c>
      <c r="J12" s="18"/>
      <c r="K12" s="18"/>
      <c r="L12" s="33" t="s">
        <v>32</v>
      </c>
      <c r="M12" s="18"/>
      <c r="N12" s="43"/>
      <c r="O12" s="43"/>
      <c r="P12" s="43"/>
      <c r="Q12" s="1"/>
      <c r="R12" s="1"/>
    </row>
    <row r="13" ht="15.75" customHeight="1">
      <c r="A13" s="1"/>
      <c r="B13" s="18"/>
      <c r="C13" s="180" t="s">
        <v>359</v>
      </c>
      <c r="D13" s="19" t="s">
        <v>37</v>
      </c>
      <c r="E13" s="17"/>
      <c r="F13" s="157">
        <v>46310.0</v>
      </c>
      <c r="G13" s="159"/>
      <c r="H13" s="31">
        <v>125000.0</v>
      </c>
      <c r="I13" s="33" t="s">
        <v>28</v>
      </c>
      <c r="J13" s="33" t="s">
        <v>30</v>
      </c>
      <c r="K13" s="33" t="s">
        <v>30</v>
      </c>
      <c r="L13" s="33" t="s">
        <v>32</v>
      </c>
      <c r="M13" s="33" t="s">
        <v>65</v>
      </c>
      <c r="N13" s="43"/>
      <c r="O13" s="43"/>
      <c r="P13" s="43"/>
      <c r="Q13" s="1"/>
      <c r="R13" s="1"/>
    </row>
    <row r="14" ht="15.75" customHeight="1">
      <c r="A14" s="1"/>
      <c r="B14" s="18"/>
      <c r="C14" s="180" t="s">
        <v>365</v>
      </c>
      <c r="D14" s="19" t="s">
        <v>41</v>
      </c>
      <c r="E14" s="17"/>
      <c r="F14" s="157">
        <v>46315.0</v>
      </c>
      <c r="G14" s="159"/>
      <c r="H14" s="31">
        <v>100000.0</v>
      </c>
      <c r="I14" s="33" t="s">
        <v>27</v>
      </c>
      <c r="J14" s="18"/>
      <c r="K14" s="18"/>
      <c r="L14" s="33" t="s">
        <v>32</v>
      </c>
      <c r="M14" s="18"/>
      <c r="N14" s="43"/>
      <c r="O14" s="43"/>
      <c r="P14" s="43"/>
      <c r="Q14" s="1"/>
      <c r="R14" s="1"/>
    </row>
    <row r="15" ht="15.75" customHeight="1">
      <c r="A15" s="1"/>
      <c r="B15" s="18"/>
      <c r="C15" s="180" t="s">
        <v>366</v>
      </c>
      <c r="D15" s="19" t="s">
        <v>23</v>
      </c>
      <c r="E15" s="17"/>
      <c r="F15" s="157">
        <v>46312.0</v>
      </c>
      <c r="G15" s="159"/>
      <c r="H15" s="31">
        <v>100000.0</v>
      </c>
      <c r="I15" s="33" t="s">
        <v>27</v>
      </c>
      <c r="J15" s="18"/>
      <c r="K15" s="18"/>
      <c r="L15" s="33" t="s">
        <v>32</v>
      </c>
      <c r="M15" s="18"/>
      <c r="N15" s="43"/>
      <c r="O15" s="43"/>
      <c r="P15" s="43"/>
      <c r="Q15" s="1"/>
      <c r="R15" s="1"/>
    </row>
    <row r="16" ht="15.75" customHeight="1">
      <c r="A16" s="1"/>
      <c r="B16" s="18"/>
      <c r="C16" s="180" t="s">
        <v>367</v>
      </c>
      <c r="D16" s="19" t="s">
        <v>41</v>
      </c>
      <c r="E16" s="17"/>
      <c r="F16" s="157">
        <v>46311.0</v>
      </c>
      <c r="G16" s="159"/>
      <c r="H16" s="31">
        <v>100000.0</v>
      </c>
      <c r="I16" s="33" t="s">
        <v>27</v>
      </c>
      <c r="J16" s="18"/>
      <c r="K16" s="18"/>
      <c r="L16" s="33" t="s">
        <v>32</v>
      </c>
      <c r="M16" s="18"/>
      <c r="N16" s="43"/>
      <c r="O16" s="43"/>
      <c r="P16" s="43"/>
      <c r="Q16" s="1"/>
      <c r="R16" s="1"/>
    </row>
    <row r="17" ht="15.75" customHeight="1">
      <c r="A17" s="1"/>
      <c r="B17" s="18">
        <v>10.0</v>
      </c>
      <c r="C17" s="88"/>
      <c r="D17" s="62"/>
      <c r="E17" s="17"/>
      <c r="F17" s="178"/>
      <c r="G17" s="159"/>
      <c r="H17" s="63"/>
      <c r="I17" s="18"/>
      <c r="J17" s="18"/>
      <c r="K17" s="18"/>
      <c r="L17" s="18"/>
      <c r="M17" s="18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5">
        <f t="shared" ref="G18:H18" si="1">SUM(G4:G17)</f>
        <v>1075000</v>
      </c>
      <c r="H18" s="71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0" t="s">
        <v>1</v>
      </c>
      <c r="C21" s="73" t="s">
        <v>7</v>
      </c>
      <c r="D21" s="73" t="s">
        <v>112</v>
      </c>
      <c r="E21" s="1"/>
      <c r="F21" s="1"/>
      <c r="G21" s="1"/>
      <c r="H21" s="1"/>
      <c r="I21" s="1"/>
      <c r="J21" s="1"/>
      <c r="K21" s="1"/>
      <c r="L21" s="1"/>
      <c r="M21" s="1"/>
      <c r="N21" s="73" t="s">
        <v>114</v>
      </c>
      <c r="O21" s="73" t="s">
        <v>2</v>
      </c>
      <c r="P21" s="1"/>
      <c r="Q21" s="1"/>
      <c r="R21" s="1"/>
    </row>
    <row r="22" ht="15.75" customHeight="1">
      <c r="A22" s="1"/>
      <c r="B22" s="74">
        <v>1.0</v>
      </c>
      <c r="C22" s="75" t="s">
        <v>115</v>
      </c>
      <c r="D22" s="76">
        <f>SUM(G18)</f>
        <v>1075000</v>
      </c>
      <c r="E22" s="77"/>
      <c r="F22" s="1"/>
      <c r="G22" s="1"/>
      <c r="H22" s="1"/>
      <c r="I22" s="1"/>
      <c r="J22" s="1"/>
      <c r="K22" s="1"/>
      <c r="L22" s="1"/>
      <c r="M22" s="1"/>
      <c r="N22" s="78" t="s">
        <v>119</v>
      </c>
      <c r="O22" s="79" t="s">
        <v>29</v>
      </c>
      <c r="P22" s="1"/>
      <c r="Q22" s="1"/>
      <c r="R22" s="1"/>
    </row>
    <row r="23" ht="15.75" customHeight="1">
      <c r="A23" s="1"/>
      <c r="B23" s="80">
        <v>2.0</v>
      </c>
      <c r="C23" s="173" t="s">
        <v>327</v>
      </c>
      <c r="D23" s="146">
        <v>-8000.0</v>
      </c>
      <c r="E23" s="77"/>
      <c r="F23" s="1"/>
      <c r="G23" s="1"/>
      <c r="H23" s="1"/>
      <c r="I23" s="1"/>
      <c r="J23" s="1"/>
      <c r="K23" s="1"/>
      <c r="L23" s="1"/>
      <c r="M23" s="1"/>
      <c r="N23" s="84" t="s">
        <v>125</v>
      </c>
      <c r="O23" s="85" t="s">
        <v>32</v>
      </c>
      <c r="P23" s="1"/>
      <c r="Q23" s="1"/>
      <c r="R23" s="1"/>
    </row>
    <row r="24" ht="15.75" customHeight="1">
      <c r="A24" s="1"/>
      <c r="B24" s="74">
        <v>3.0</v>
      </c>
      <c r="C24" s="144" t="s">
        <v>368</v>
      </c>
      <c r="D24" s="181">
        <v>-100000.0</v>
      </c>
      <c r="E24" s="77"/>
      <c r="F24" s="1"/>
      <c r="G24" s="1"/>
      <c r="H24" s="1"/>
      <c r="I24" s="1"/>
      <c r="J24" s="1"/>
      <c r="K24" s="1"/>
      <c r="L24" s="1"/>
      <c r="M24" s="1"/>
      <c r="N24" s="91" t="s">
        <v>128</v>
      </c>
      <c r="O24" s="92" t="s">
        <v>65</v>
      </c>
      <c r="P24" s="1"/>
      <c r="Q24" s="1"/>
      <c r="R24" s="1"/>
    </row>
    <row r="25" ht="15.75" customHeight="1">
      <c r="A25" s="1"/>
      <c r="B25" s="80">
        <v>4.0</v>
      </c>
      <c r="C25" s="94"/>
      <c r="D25" s="95"/>
      <c r="E25" s="77"/>
      <c r="F25" s="1"/>
      <c r="G25" s="1"/>
      <c r="H25" s="1"/>
      <c r="I25" s="1"/>
      <c r="J25" s="1"/>
      <c r="K25" s="1"/>
      <c r="L25" s="1"/>
      <c r="M25" s="1"/>
      <c r="N25" s="93" t="s">
        <v>131</v>
      </c>
      <c r="O25" s="85" t="s">
        <v>65</v>
      </c>
      <c r="P25" s="1"/>
      <c r="Q25" s="1"/>
      <c r="R25" s="1"/>
    </row>
    <row r="26" ht="15.75" customHeight="1">
      <c r="A26" s="1"/>
      <c r="B26" s="74">
        <v>5.0</v>
      </c>
      <c r="C26" s="75"/>
      <c r="D26" s="76"/>
      <c r="E26" s="77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80">
        <v>6.0</v>
      </c>
      <c r="C27" s="94"/>
      <c r="D27" s="95"/>
      <c r="E27" s="77"/>
      <c r="F27" s="1"/>
      <c r="G27" s="1"/>
      <c r="H27" s="1"/>
      <c r="I27" s="1"/>
      <c r="J27" s="1"/>
      <c r="K27" s="98" t="s">
        <v>134</v>
      </c>
      <c r="Q27" s="1"/>
      <c r="R27" s="1"/>
    </row>
    <row r="28" ht="15.75" customHeight="1">
      <c r="A28" s="1"/>
      <c r="B28" s="74">
        <v>7.0</v>
      </c>
      <c r="C28" s="75"/>
      <c r="D28" s="76"/>
      <c r="E28" s="77"/>
      <c r="F28" s="1"/>
      <c r="G28" s="1"/>
      <c r="H28" s="1"/>
      <c r="I28" s="1"/>
      <c r="J28" s="1"/>
      <c r="K28" s="99" t="s">
        <v>2</v>
      </c>
      <c r="L28" s="99" t="s">
        <v>137</v>
      </c>
      <c r="M28" s="99" t="s">
        <v>138</v>
      </c>
      <c r="N28" s="99" t="s">
        <v>139</v>
      </c>
      <c r="O28" s="99" t="s">
        <v>140</v>
      </c>
      <c r="P28" s="99" t="s">
        <v>141</v>
      </c>
      <c r="Q28" s="1"/>
      <c r="R28" s="1"/>
      <c r="AC28" s="100" t="s">
        <v>143</v>
      </c>
      <c r="AD28" s="100" t="s">
        <v>144</v>
      </c>
      <c r="AE28" s="100" t="s">
        <v>145</v>
      </c>
      <c r="AF28" s="100" t="s">
        <v>146</v>
      </c>
      <c r="AG28" s="100" t="s">
        <v>148</v>
      </c>
    </row>
    <row r="29" ht="15.75" customHeight="1">
      <c r="A29" s="1"/>
      <c r="B29" s="80">
        <v>8.0</v>
      </c>
      <c r="C29" s="94"/>
      <c r="D29" s="95"/>
      <c r="E29" s="77"/>
      <c r="F29" s="1"/>
      <c r="G29" s="1"/>
      <c r="H29" s="1"/>
      <c r="I29" s="1"/>
      <c r="J29" s="1"/>
      <c r="K29" s="102" t="str">
        <f t="shared" ref="K29:K32" si="2">IF(O22="","",O22)</f>
        <v>AMEL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1"/>
      <c r="R29" s="1"/>
      <c r="AC29" s="100">
        <f t="shared" ref="AC29:AC34" si="3">IF(AG29="","",IF(COUNT(L29:P29)&lt;5,"",L29/5*20+M29/5*25+N29/5*25+O29/5*15+P29/5*15))</f>
        <v>100</v>
      </c>
      <c r="AD29" s="100" t="str">
        <f t="shared" ref="AD29:AD34" si="4">IF(AC29="","",IF(AC29&gt;=90,"Sangat Baik",IF(AC29&gt;=80,"Baik",IF(AC29&gt;=70,"Coaching","Underperform"))))</f>
        <v>Sangat Baik</v>
      </c>
      <c r="AE29" s="100" t="str">
        <f t="shared" ref="AE29:AE34" si="5">IF(AG29="","",IF(OR(AG29="INDAH",AG29="ADDEL",AG29="AMEL",AG29="PENTIL",AG29="JIJANG"),"Admin/CS","Fotografer"))</f>
        <v>Admin/CS</v>
      </c>
      <c r="AF29" s="100">
        <f t="shared" ref="AF29:AF34" si="6">IF(OR(AG29="",COUNT(L29:P29)&lt;5),"",1)</f>
        <v>1</v>
      </c>
      <c r="AG29" s="100" t="str">
        <f t="shared" ref="AG29:AG34" si="7">IFERROR(K29,"")</f>
        <v>AMEL</v>
      </c>
    </row>
    <row r="30" ht="15.75" customHeight="1">
      <c r="A30" s="1"/>
      <c r="B30" s="74">
        <v>9.0</v>
      </c>
      <c r="C30" s="75"/>
      <c r="D30" s="76"/>
      <c r="E30" s="77"/>
      <c r="F30" s="1"/>
      <c r="G30" s="1"/>
      <c r="H30" s="1"/>
      <c r="I30" s="1"/>
      <c r="J30" s="1"/>
      <c r="K30" s="102" t="str">
        <f t="shared" si="2"/>
        <v>INDAH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Admin/CS</v>
      </c>
      <c r="AF30" s="100">
        <f t="shared" si="6"/>
        <v>1</v>
      </c>
      <c r="AG30" s="100" t="str">
        <f t="shared" si="7"/>
        <v>INDAH</v>
      </c>
    </row>
    <row r="31" ht="15.75" customHeight="1">
      <c r="A31" s="1"/>
      <c r="B31" s="80">
        <v>10.0</v>
      </c>
      <c r="C31" s="94"/>
      <c r="D31" s="95"/>
      <c r="E31" s="77"/>
      <c r="F31" s="1"/>
      <c r="G31" s="1"/>
      <c r="H31" s="1"/>
      <c r="I31" s="1"/>
      <c r="J31" s="1"/>
      <c r="K31" s="102" t="str">
        <f t="shared" si="2"/>
        <v>SAKA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SAKA</v>
      </c>
    </row>
    <row r="32" ht="15.75" customHeight="1">
      <c r="A32" s="1"/>
      <c r="B32" s="110">
        <v>11.0</v>
      </c>
      <c r="C32" s="111"/>
      <c r="D32" s="112"/>
      <c r="E32" s="77"/>
      <c r="F32" s="1"/>
      <c r="G32" s="1"/>
      <c r="H32" s="1"/>
      <c r="I32" s="1"/>
      <c r="J32" s="1"/>
      <c r="K32" s="102" t="str">
        <f t="shared" si="2"/>
        <v>SAKA</v>
      </c>
      <c r="L32" s="152">
        <v>5.0</v>
      </c>
      <c r="M32" s="152">
        <v>5.0</v>
      </c>
      <c r="N32" s="152">
        <v>5.0</v>
      </c>
      <c r="O32" s="152">
        <v>5.0</v>
      </c>
      <c r="P32" s="152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"/>
      <c r="C33" s="3"/>
      <c r="D33" s="115">
        <f>SUM(D22:D32)</f>
        <v>967000</v>
      </c>
      <c r="E33" s="1"/>
      <c r="F33" s="1"/>
      <c r="G33" s="1"/>
      <c r="H33" s="1"/>
      <c r="I33" s="1"/>
      <c r="J33" s="1"/>
      <c r="K33" s="102"/>
      <c r="L33" s="117"/>
      <c r="M33" s="117"/>
      <c r="N33" s="117"/>
      <c r="O33" s="117"/>
      <c r="P33" s="117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2"/>
      <c r="L34" s="117"/>
      <c r="M34" s="117"/>
      <c r="N34" s="117"/>
      <c r="O34" s="117"/>
      <c r="P34" s="117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186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187</v>
      </c>
      <c r="N37" s="182"/>
      <c r="O37" s="1"/>
      <c r="P37" s="1"/>
      <c r="Q37" s="1"/>
      <c r="R37" s="1"/>
    </row>
    <row r="38" ht="15.75" customHeight="1">
      <c r="K38" s="121" t="s">
        <v>8</v>
      </c>
      <c r="L38" s="121" t="s">
        <v>189</v>
      </c>
      <c r="M38" s="121" t="s">
        <v>190</v>
      </c>
      <c r="N38" s="183" t="s">
        <v>191</v>
      </c>
    </row>
    <row r="39" ht="15.75" customHeight="1">
      <c r="K39" s="123" t="str">
        <f t="shared" ref="K39:K40" si="8">IF(O22="","",O22)</f>
        <v>AMEL</v>
      </c>
      <c r="L39" s="124">
        <v>5.0</v>
      </c>
      <c r="M39" s="124" t="s">
        <v>334</v>
      </c>
      <c r="N39" s="184"/>
    </row>
    <row r="40" ht="15.75" customHeight="1">
      <c r="K40" s="123" t="str">
        <f t="shared" si="8"/>
        <v>INDAH</v>
      </c>
      <c r="L40" s="124">
        <v>5.0</v>
      </c>
      <c r="M40" s="124" t="s">
        <v>334</v>
      </c>
      <c r="N40" s="184"/>
    </row>
    <row r="41" ht="15.75" customHeight="1"/>
    <row r="42" ht="19.5" customHeight="1">
      <c r="K42" s="129" t="s">
        <v>194</v>
      </c>
    </row>
    <row r="43" ht="19.5" customHeight="1">
      <c r="K43" s="130" t="s">
        <v>196</v>
      </c>
      <c r="M43" s="124">
        <v>30.0</v>
      </c>
    </row>
    <row r="44" ht="19.5" customHeight="1">
      <c r="K44" s="131" t="s">
        <v>197</v>
      </c>
      <c r="M44" s="132">
        <f>COUNTIF($I$4:$I$20,"DP")</f>
        <v>10</v>
      </c>
    </row>
    <row r="45" ht="19.5" customHeight="1">
      <c r="K45" s="131" t="s">
        <v>199</v>
      </c>
      <c r="M45" s="132">
        <f>COUNTIFS($I$4:$I$20,"&lt;&gt;DP",$I$4:$I$20,"&lt;&gt;")</f>
        <v>3</v>
      </c>
    </row>
    <row r="46" ht="19.5" customHeight="1">
      <c r="K46" s="133" t="s">
        <v>201</v>
      </c>
      <c r="M46" s="132">
        <f>M44+M45</f>
        <v>13</v>
      </c>
    </row>
    <row r="47" ht="19.5" customHeight="1">
      <c r="K47" s="130" t="s">
        <v>202</v>
      </c>
      <c r="M47" s="134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1" t="s">
        <v>369</v>
      </c>
      <c r="D4" s="19" t="s">
        <v>41</v>
      </c>
      <c r="E4" s="17"/>
      <c r="F4" s="157">
        <v>46313.0</v>
      </c>
      <c r="G4" s="159"/>
      <c r="H4" s="31">
        <v>100000.0</v>
      </c>
      <c r="I4" s="33" t="s">
        <v>27</v>
      </c>
      <c r="J4" s="18"/>
      <c r="K4" s="18"/>
      <c r="L4" s="33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1" t="s">
        <v>370</v>
      </c>
      <c r="D5" s="19" t="s">
        <v>41</v>
      </c>
      <c r="E5" s="17"/>
      <c r="F5" s="157">
        <v>46313.0</v>
      </c>
      <c r="G5" s="159"/>
      <c r="H5" s="31">
        <v>100000.0</v>
      </c>
      <c r="I5" s="33" t="s">
        <v>27</v>
      </c>
      <c r="J5" s="18"/>
      <c r="K5" s="18"/>
      <c r="L5" s="33" t="s">
        <v>32</v>
      </c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21" t="s">
        <v>371</v>
      </c>
      <c r="D6" s="19" t="s">
        <v>41</v>
      </c>
      <c r="E6" s="17"/>
      <c r="F6" s="157">
        <v>46313.0</v>
      </c>
      <c r="G6" s="159"/>
      <c r="H6" s="31">
        <v>100000.0</v>
      </c>
      <c r="I6" s="33" t="s">
        <v>27</v>
      </c>
      <c r="J6" s="18"/>
      <c r="K6" s="18"/>
      <c r="L6" s="33" t="s">
        <v>32</v>
      </c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21" t="s">
        <v>372</v>
      </c>
      <c r="D7" s="19" t="s">
        <v>41</v>
      </c>
      <c r="E7" s="26" t="s">
        <v>208</v>
      </c>
      <c r="F7" s="157">
        <v>46311.0</v>
      </c>
      <c r="G7" s="159"/>
      <c r="H7" s="31">
        <v>375000.0</v>
      </c>
      <c r="I7" s="33" t="s">
        <v>28</v>
      </c>
      <c r="J7" s="33" t="s">
        <v>30</v>
      </c>
      <c r="K7" s="33" t="s">
        <v>30</v>
      </c>
      <c r="L7" s="33" t="s">
        <v>32</v>
      </c>
      <c r="M7" s="33" t="s">
        <v>46</v>
      </c>
      <c r="N7" s="43"/>
      <c r="O7" s="43"/>
      <c r="P7" s="43"/>
      <c r="Q7" s="1"/>
      <c r="R7" s="1"/>
    </row>
    <row r="8" ht="15.75" customHeight="1">
      <c r="A8" s="1"/>
      <c r="B8" s="18">
        <v>5.0</v>
      </c>
      <c r="C8" s="21" t="s">
        <v>373</v>
      </c>
      <c r="D8" s="19" t="s">
        <v>41</v>
      </c>
      <c r="E8" s="17"/>
      <c r="F8" s="157">
        <v>46311.0</v>
      </c>
      <c r="G8" s="159"/>
      <c r="H8" s="31">
        <v>425000.0</v>
      </c>
      <c r="I8" s="33" t="s">
        <v>28</v>
      </c>
      <c r="J8" s="33" t="s">
        <v>30</v>
      </c>
      <c r="K8" s="33" t="s">
        <v>31</v>
      </c>
      <c r="L8" s="33" t="s">
        <v>32</v>
      </c>
      <c r="M8" s="33" t="s">
        <v>46</v>
      </c>
      <c r="N8" s="43"/>
      <c r="O8" s="43"/>
      <c r="P8" s="43"/>
      <c r="Q8" s="1"/>
      <c r="R8" s="1"/>
    </row>
    <row r="9" ht="15.75" customHeight="1">
      <c r="A9" s="1"/>
      <c r="B9" s="18">
        <v>6.0</v>
      </c>
      <c r="C9" s="21" t="s">
        <v>374</v>
      </c>
      <c r="D9" s="19" t="s">
        <v>23</v>
      </c>
      <c r="E9" s="17"/>
      <c r="F9" s="157">
        <v>46311.0</v>
      </c>
      <c r="G9" s="159"/>
      <c r="H9" s="31">
        <v>100000.0</v>
      </c>
      <c r="I9" s="33" t="s">
        <v>27</v>
      </c>
      <c r="J9" s="18"/>
      <c r="K9" s="18"/>
      <c r="L9" s="33" t="s">
        <v>32</v>
      </c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21" t="s">
        <v>375</v>
      </c>
      <c r="D10" s="19" t="s">
        <v>41</v>
      </c>
      <c r="E10" s="17"/>
      <c r="F10" s="57">
        <v>46311.0</v>
      </c>
      <c r="G10" s="161">
        <v>600000.0</v>
      </c>
      <c r="H10" s="63"/>
      <c r="I10" s="33" t="s">
        <v>28</v>
      </c>
      <c r="J10" s="33" t="s">
        <v>30</v>
      </c>
      <c r="K10" s="33" t="s">
        <v>31</v>
      </c>
      <c r="L10" s="33" t="s">
        <v>32</v>
      </c>
      <c r="M10" s="33" t="s">
        <v>46</v>
      </c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21" t="s">
        <v>362</v>
      </c>
      <c r="D11" s="19" t="s">
        <v>251</v>
      </c>
      <c r="E11" s="17"/>
      <c r="F11" s="57">
        <v>46311.0</v>
      </c>
      <c r="G11" s="159"/>
      <c r="H11" s="31">
        <v>250000.0</v>
      </c>
      <c r="I11" s="33" t="s">
        <v>28</v>
      </c>
      <c r="J11" s="33" t="s">
        <v>30</v>
      </c>
      <c r="K11" s="33" t="s">
        <v>31</v>
      </c>
      <c r="L11" s="33" t="s">
        <v>32</v>
      </c>
      <c r="M11" s="33" t="s">
        <v>46</v>
      </c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21" t="s">
        <v>376</v>
      </c>
      <c r="D12" s="19" t="s">
        <v>41</v>
      </c>
      <c r="E12" s="17"/>
      <c r="F12" s="57">
        <v>46312.0</v>
      </c>
      <c r="G12" s="159"/>
      <c r="H12" s="31">
        <v>100000.0</v>
      </c>
      <c r="I12" s="33" t="s">
        <v>27</v>
      </c>
      <c r="J12" s="18"/>
      <c r="K12" s="18"/>
      <c r="L12" s="33" t="s">
        <v>32</v>
      </c>
      <c r="M12" s="18"/>
      <c r="N12" s="43"/>
      <c r="O12" s="43"/>
      <c r="P12" s="43"/>
      <c r="Q12" s="1"/>
      <c r="R12" s="1"/>
    </row>
    <row r="13" ht="15.75" customHeight="1">
      <c r="A13" s="1"/>
      <c r="B13" s="18"/>
      <c r="C13" s="21" t="s">
        <v>377</v>
      </c>
      <c r="D13" s="19" t="s">
        <v>23</v>
      </c>
      <c r="E13" s="17"/>
      <c r="F13" s="57">
        <v>46312.0</v>
      </c>
      <c r="G13" s="159"/>
      <c r="H13" s="31">
        <v>100000.0</v>
      </c>
      <c r="I13" s="33" t="s">
        <v>27</v>
      </c>
      <c r="J13" s="18"/>
      <c r="K13" s="18"/>
      <c r="L13" s="33" t="s">
        <v>32</v>
      </c>
      <c r="M13" s="18"/>
      <c r="N13" s="43"/>
      <c r="O13" s="43"/>
      <c r="P13" s="43"/>
      <c r="Q13" s="1"/>
      <c r="R13" s="1"/>
    </row>
    <row r="14" ht="15.75" customHeight="1">
      <c r="A14" s="1"/>
      <c r="B14" s="18"/>
      <c r="C14" s="21" t="s">
        <v>317</v>
      </c>
      <c r="D14" s="19" t="s">
        <v>41</v>
      </c>
      <c r="E14" s="17"/>
      <c r="F14" s="57">
        <v>46311.0</v>
      </c>
      <c r="G14" s="161">
        <v>200000.0</v>
      </c>
      <c r="H14" s="63"/>
      <c r="I14" s="33" t="s">
        <v>28</v>
      </c>
      <c r="J14" s="33" t="s">
        <v>30</v>
      </c>
      <c r="K14" s="33" t="s">
        <v>30</v>
      </c>
      <c r="L14" s="33" t="s">
        <v>32</v>
      </c>
      <c r="M14" s="33" t="s">
        <v>46</v>
      </c>
      <c r="N14" s="43"/>
      <c r="O14" s="43"/>
      <c r="P14" s="43"/>
      <c r="Q14" s="1"/>
      <c r="R14" s="1"/>
    </row>
    <row r="15" ht="15.75" customHeight="1">
      <c r="A15" s="1"/>
      <c r="B15" s="18"/>
      <c r="C15" s="21" t="s">
        <v>378</v>
      </c>
      <c r="D15" s="19" t="s">
        <v>23</v>
      </c>
      <c r="E15" s="17"/>
      <c r="F15" s="57">
        <v>46312.0</v>
      </c>
      <c r="G15" s="159"/>
      <c r="H15" s="31">
        <v>100000.0</v>
      </c>
      <c r="I15" s="33" t="s">
        <v>27</v>
      </c>
      <c r="J15" s="18"/>
      <c r="K15" s="18"/>
      <c r="L15" s="33" t="s">
        <v>32</v>
      </c>
      <c r="M15" s="18"/>
      <c r="N15" s="43"/>
      <c r="O15" s="43"/>
      <c r="P15" s="43"/>
      <c r="Q15" s="1"/>
      <c r="R15" s="1"/>
    </row>
    <row r="16" ht="15.75" customHeight="1">
      <c r="A16" s="1"/>
      <c r="B16" s="18">
        <v>10.0</v>
      </c>
      <c r="C16" s="88"/>
      <c r="D16" s="62"/>
      <c r="E16" s="17"/>
      <c r="F16" s="105"/>
      <c r="G16" s="159"/>
      <c r="H16" s="63"/>
      <c r="I16" s="18"/>
      <c r="J16" s="18"/>
      <c r="K16" s="18"/>
      <c r="L16" s="18"/>
      <c r="M16" s="18"/>
      <c r="N16" s="43"/>
      <c r="O16" s="43"/>
      <c r="P16" s="43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5">
        <f t="shared" ref="G17:H17" si="1">SUM(G4:G16)</f>
        <v>800000</v>
      </c>
      <c r="H17" s="71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0" t="s">
        <v>1</v>
      </c>
      <c r="C20" s="73" t="s">
        <v>7</v>
      </c>
      <c r="D20" s="73" t="s">
        <v>112</v>
      </c>
      <c r="E20" s="1"/>
      <c r="F20" s="1"/>
      <c r="G20" s="1"/>
      <c r="H20" s="1"/>
      <c r="I20" s="1"/>
      <c r="J20" s="1"/>
      <c r="K20" s="1"/>
      <c r="L20" s="1"/>
      <c r="M20" s="1"/>
      <c r="N20" s="73" t="s">
        <v>114</v>
      </c>
      <c r="O20" s="73" t="s">
        <v>2</v>
      </c>
      <c r="P20" s="1"/>
      <c r="Q20" s="1"/>
      <c r="R20" s="1"/>
    </row>
    <row r="21" ht="15.75" customHeight="1">
      <c r="A21" s="1"/>
      <c r="B21" s="74">
        <v>1.0</v>
      </c>
      <c r="C21" s="75" t="s">
        <v>115</v>
      </c>
      <c r="D21" s="76">
        <f>SUM(G17)</f>
        <v>800000</v>
      </c>
      <c r="E21" s="77"/>
      <c r="F21" s="1"/>
      <c r="G21" s="1"/>
      <c r="H21" s="1"/>
      <c r="I21" s="1"/>
      <c r="J21" s="1"/>
      <c r="K21" s="1"/>
      <c r="L21" s="1"/>
      <c r="M21" s="1"/>
      <c r="N21" s="78" t="s">
        <v>119</v>
      </c>
      <c r="O21" s="79" t="s">
        <v>32</v>
      </c>
      <c r="P21" s="1"/>
      <c r="Q21" s="1"/>
      <c r="R21" s="1"/>
    </row>
    <row r="22" ht="15.75" customHeight="1">
      <c r="A22" s="1"/>
      <c r="B22" s="80">
        <v>2.0</v>
      </c>
      <c r="C22" s="94"/>
      <c r="D22" s="95"/>
      <c r="E22" s="77"/>
      <c r="F22" s="1"/>
      <c r="G22" s="1"/>
      <c r="H22" s="1"/>
      <c r="I22" s="1"/>
      <c r="J22" s="1"/>
      <c r="K22" s="1"/>
      <c r="L22" s="1"/>
      <c r="M22" s="1"/>
      <c r="N22" s="84" t="s">
        <v>125</v>
      </c>
      <c r="O22" s="85" t="s">
        <v>32</v>
      </c>
      <c r="P22" s="1"/>
      <c r="Q22" s="1"/>
      <c r="R22" s="1"/>
    </row>
    <row r="23" ht="15.75" customHeight="1">
      <c r="A23" s="1"/>
      <c r="B23" s="74">
        <v>3.0</v>
      </c>
      <c r="C23" s="75"/>
      <c r="D23" s="76"/>
      <c r="E23" s="77"/>
      <c r="F23" s="1"/>
      <c r="G23" s="1"/>
      <c r="H23" s="1"/>
      <c r="I23" s="1"/>
      <c r="J23" s="1"/>
      <c r="K23" s="1"/>
      <c r="L23" s="1"/>
      <c r="M23" s="1"/>
      <c r="N23" s="91" t="s">
        <v>128</v>
      </c>
      <c r="O23" s="92" t="s">
        <v>46</v>
      </c>
      <c r="P23" s="1"/>
      <c r="Q23" s="1"/>
      <c r="R23" s="1"/>
    </row>
    <row r="24" ht="15.75" customHeight="1">
      <c r="A24" s="1"/>
      <c r="B24" s="80">
        <v>4.0</v>
      </c>
      <c r="C24" s="94"/>
      <c r="D24" s="95"/>
      <c r="E24" s="77"/>
      <c r="F24" s="1"/>
      <c r="G24" s="1"/>
      <c r="H24" s="1"/>
      <c r="I24" s="1"/>
      <c r="J24" s="1"/>
      <c r="K24" s="1"/>
      <c r="L24" s="1"/>
      <c r="M24" s="1"/>
      <c r="N24" s="93" t="s">
        <v>131</v>
      </c>
      <c r="O24" s="85" t="s">
        <v>46</v>
      </c>
      <c r="P24" s="1"/>
      <c r="Q24" s="1"/>
      <c r="R24" s="1"/>
    </row>
    <row r="25" ht="15.75" customHeight="1">
      <c r="A25" s="1"/>
      <c r="B25" s="74">
        <v>5.0</v>
      </c>
      <c r="C25" s="75"/>
      <c r="D25" s="76"/>
      <c r="E25" s="77"/>
      <c r="F25" s="1"/>
      <c r="G25" s="1"/>
      <c r="H25" s="1"/>
      <c r="I25" s="1"/>
      <c r="J25" s="1"/>
      <c r="K25" s="1"/>
      <c r="L25" s="1"/>
      <c r="M25" s="1"/>
      <c r="N25" s="97"/>
      <c r="O25" s="1"/>
      <c r="P25" s="1"/>
      <c r="Q25" s="1"/>
      <c r="R25" s="1"/>
    </row>
    <row r="26" ht="15.75" customHeight="1">
      <c r="A26" s="1"/>
      <c r="B26" s="80">
        <v>6.0</v>
      </c>
      <c r="C26" s="94"/>
      <c r="D26" s="95"/>
      <c r="E26" s="77"/>
      <c r="F26" s="1"/>
      <c r="G26" s="1"/>
      <c r="H26" s="1"/>
      <c r="I26" s="1"/>
      <c r="J26" s="1"/>
      <c r="K26" s="98" t="s">
        <v>134</v>
      </c>
      <c r="Q26" s="1"/>
      <c r="R26" s="1"/>
    </row>
    <row r="27" ht="15.75" customHeight="1">
      <c r="A27" s="1"/>
      <c r="B27" s="74">
        <v>7.0</v>
      </c>
      <c r="C27" s="75"/>
      <c r="D27" s="76"/>
      <c r="E27" s="77"/>
      <c r="F27" s="1"/>
      <c r="G27" s="1"/>
      <c r="H27" s="1"/>
      <c r="I27" s="1"/>
      <c r="J27" s="1"/>
      <c r="K27" s="99" t="s">
        <v>2</v>
      </c>
      <c r="L27" s="99" t="s">
        <v>137</v>
      </c>
      <c r="M27" s="99" t="s">
        <v>138</v>
      </c>
      <c r="N27" s="99" t="s">
        <v>139</v>
      </c>
      <c r="O27" s="99" t="s">
        <v>140</v>
      </c>
      <c r="P27" s="99" t="s">
        <v>141</v>
      </c>
      <c r="Q27" s="1"/>
      <c r="R27" s="1"/>
      <c r="AC27" s="100" t="s">
        <v>143</v>
      </c>
      <c r="AD27" s="100" t="s">
        <v>144</v>
      </c>
      <c r="AE27" s="100" t="s">
        <v>145</v>
      </c>
      <c r="AF27" s="100" t="s">
        <v>146</v>
      </c>
      <c r="AG27" s="100" t="s">
        <v>148</v>
      </c>
    </row>
    <row r="28" ht="15.75" customHeight="1">
      <c r="A28" s="1"/>
      <c r="B28" s="80">
        <v>8.0</v>
      </c>
      <c r="C28" s="94"/>
      <c r="D28" s="95"/>
      <c r="E28" s="77"/>
      <c r="F28" s="1"/>
      <c r="G28" s="1"/>
      <c r="H28" s="1"/>
      <c r="I28" s="1"/>
      <c r="J28" s="1"/>
      <c r="K28" s="102" t="str">
        <f t="shared" ref="K28:K31" si="2">IF(O21="","",O21)</f>
        <v>INDAH</v>
      </c>
      <c r="L28" s="152">
        <v>5.0</v>
      </c>
      <c r="M28" s="152">
        <v>5.0</v>
      </c>
      <c r="N28" s="152">
        <v>5.0</v>
      </c>
      <c r="O28" s="152">
        <v>5.0</v>
      </c>
      <c r="P28" s="152">
        <v>5.0</v>
      </c>
      <c r="Q28" s="1"/>
      <c r="R28" s="1"/>
      <c r="AC28" s="100">
        <f t="shared" ref="AC28:AC33" si="3">IF(AG28="","",IF(COUNT(L28:P28)&lt;5,"",L28/5*20+M28/5*25+N28/5*25+O28/5*15+P28/5*15))</f>
        <v>100</v>
      </c>
      <c r="AD28" s="100" t="str">
        <f t="shared" ref="AD28:AD33" si="4">IF(AC28="","",IF(AC28&gt;=90,"Sangat Baik",IF(AC28&gt;=80,"Baik",IF(AC28&gt;=70,"Coaching","Underperform"))))</f>
        <v>Sangat Baik</v>
      </c>
      <c r="AE28" s="100" t="str">
        <f t="shared" ref="AE28:AE33" si="5">IF(AG28="","",IF(OR(AG28="INDAH",AG28="ADDEL",AG28="AMEL",AG28="PENTIL",AG28="JIJANG"),"Admin/CS","Fotografer"))</f>
        <v>Admin/CS</v>
      </c>
      <c r="AF28" s="100">
        <f t="shared" ref="AF28:AF33" si="6">IF(OR(AG28="",COUNT(L28:P28)&lt;5),"",1)</f>
        <v>1</v>
      </c>
      <c r="AG28" s="100" t="str">
        <f t="shared" ref="AG28:AG33" si="7">IFERROR(K28,"")</f>
        <v>INDAH</v>
      </c>
    </row>
    <row r="29" ht="15.75" customHeight="1">
      <c r="A29" s="1"/>
      <c r="B29" s="74">
        <v>9.0</v>
      </c>
      <c r="C29" s="75"/>
      <c r="D29" s="76"/>
      <c r="E29" s="77"/>
      <c r="F29" s="1"/>
      <c r="G29" s="1"/>
      <c r="H29" s="1"/>
      <c r="I29" s="1"/>
      <c r="J29" s="1"/>
      <c r="K29" s="102" t="str">
        <f t="shared" si="2"/>
        <v>INDAH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1"/>
      <c r="R29" s="1"/>
      <c r="AC29" s="100">
        <f t="shared" si="3"/>
        <v>100</v>
      </c>
      <c r="AD29" s="100" t="str">
        <f t="shared" si="4"/>
        <v>Sangat Baik</v>
      </c>
      <c r="AE29" s="100" t="str">
        <f t="shared" si="5"/>
        <v>Admin/CS</v>
      </c>
      <c r="AF29" s="100">
        <f t="shared" si="6"/>
        <v>1</v>
      </c>
      <c r="AG29" s="100" t="str">
        <f t="shared" si="7"/>
        <v>INDAH</v>
      </c>
    </row>
    <row r="30" ht="15.75" customHeight="1">
      <c r="A30" s="1"/>
      <c r="B30" s="80">
        <v>10.0</v>
      </c>
      <c r="C30" s="94"/>
      <c r="D30" s="95"/>
      <c r="E30" s="77"/>
      <c r="F30" s="1"/>
      <c r="G30" s="1"/>
      <c r="H30" s="1"/>
      <c r="I30" s="1"/>
      <c r="J30" s="1"/>
      <c r="K30" s="102" t="str">
        <f t="shared" si="2"/>
        <v>ADIF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1"/>
      <c r="R30" s="1"/>
      <c r="AC30" s="100">
        <f t="shared" si="3"/>
        <v>100</v>
      </c>
      <c r="AD30" s="100" t="str">
        <f t="shared" si="4"/>
        <v>Sangat Baik</v>
      </c>
      <c r="AE30" s="100" t="str">
        <f t="shared" si="5"/>
        <v>Fotografer</v>
      </c>
      <c r="AF30" s="100">
        <f t="shared" si="6"/>
        <v>1</v>
      </c>
      <c r="AG30" s="100" t="str">
        <f t="shared" si="7"/>
        <v>ADIF</v>
      </c>
    </row>
    <row r="31" ht="15.75" customHeight="1">
      <c r="A31" s="1"/>
      <c r="B31" s="110">
        <v>11.0</v>
      </c>
      <c r="C31" s="111"/>
      <c r="D31" s="112"/>
      <c r="E31" s="77"/>
      <c r="F31" s="1"/>
      <c r="G31" s="1"/>
      <c r="H31" s="1"/>
      <c r="I31" s="1"/>
      <c r="J31" s="1"/>
      <c r="K31" s="102" t="str">
        <f t="shared" si="2"/>
        <v>ADIF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ADIF</v>
      </c>
    </row>
    <row r="32" ht="15.75" customHeight="1">
      <c r="A32" s="1"/>
      <c r="B32" s="1"/>
      <c r="C32" s="3"/>
      <c r="D32" s="115">
        <f>SUM(D21:D31)</f>
        <v>800000</v>
      </c>
      <c r="E32" s="1"/>
      <c r="F32" s="1"/>
      <c r="G32" s="1"/>
      <c r="H32" s="1"/>
      <c r="I32" s="1"/>
      <c r="J32" s="1"/>
      <c r="K32" s="102"/>
      <c r="L32" s="117"/>
      <c r="M32" s="117"/>
      <c r="N32" s="117"/>
      <c r="O32" s="117"/>
      <c r="P32" s="117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2"/>
      <c r="L33" s="117"/>
      <c r="M33" s="117"/>
      <c r="N33" s="117"/>
      <c r="O33" s="117"/>
      <c r="P33" s="117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186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187</v>
      </c>
      <c r="N36" s="182"/>
      <c r="O36" s="1"/>
      <c r="P36" s="1"/>
      <c r="Q36" s="1"/>
      <c r="R36" s="1"/>
    </row>
    <row r="37" ht="15.75" customHeight="1">
      <c r="K37" s="121" t="s">
        <v>8</v>
      </c>
      <c r="L37" s="121" t="s">
        <v>189</v>
      </c>
      <c r="M37" s="121" t="s">
        <v>190</v>
      </c>
      <c r="N37" s="183" t="s">
        <v>191</v>
      </c>
    </row>
    <row r="38" ht="15.75" customHeight="1">
      <c r="K38" s="123" t="s">
        <v>32</v>
      </c>
      <c r="L38" s="124">
        <v>9.0</v>
      </c>
      <c r="M38" s="124" t="s">
        <v>379</v>
      </c>
      <c r="N38" s="185">
        <v>12.0</v>
      </c>
    </row>
    <row r="39" ht="15.75" customHeight="1">
      <c r="K39" s="123" t="s">
        <v>32</v>
      </c>
      <c r="L39" s="124" t="s">
        <v>380</v>
      </c>
      <c r="M39" s="127"/>
      <c r="N39" s="184"/>
    </row>
    <row r="40" ht="15.75" customHeight="1"/>
    <row r="41" ht="19.5" customHeight="1">
      <c r="K41" s="129" t="s">
        <v>194</v>
      </c>
    </row>
    <row r="42" ht="19.5" customHeight="1">
      <c r="K42" s="130" t="s">
        <v>196</v>
      </c>
      <c r="M42" s="124">
        <v>23.0</v>
      </c>
    </row>
    <row r="43" ht="19.5" customHeight="1">
      <c r="K43" s="131" t="s">
        <v>197</v>
      </c>
      <c r="M43" s="132">
        <f>COUNTIF($I$4:$I$19,"DP")</f>
        <v>7</v>
      </c>
    </row>
    <row r="44" ht="19.5" customHeight="1">
      <c r="K44" s="131" t="s">
        <v>199</v>
      </c>
      <c r="M44" s="132">
        <f>COUNTIFS($I$4:$I$19,"&lt;&gt;DP",$I$4:$I$19,"&lt;&gt;")</f>
        <v>5</v>
      </c>
    </row>
    <row r="45" ht="19.5" customHeight="1">
      <c r="K45" s="133" t="s">
        <v>201</v>
      </c>
      <c r="M45" s="132">
        <f>M43+M44</f>
        <v>12</v>
      </c>
    </row>
    <row r="46" ht="19.5" customHeight="1">
      <c r="K46" s="130" t="s">
        <v>202</v>
      </c>
      <c r="M46" s="134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8"/>
      <c r="D4" s="62"/>
      <c r="E4" s="17"/>
      <c r="F4" s="18"/>
      <c r="G4" s="159"/>
      <c r="H4" s="63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8"/>
      <c r="D5" s="62"/>
      <c r="E5" s="17"/>
      <c r="F5" s="18"/>
      <c r="G5" s="159"/>
      <c r="H5" s="63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88"/>
      <c r="D6" s="62"/>
      <c r="E6" s="17"/>
      <c r="F6" s="18"/>
      <c r="G6" s="159"/>
      <c r="H6" s="63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86"/>
      <c r="D7" s="62"/>
      <c r="E7" s="17"/>
      <c r="F7" s="18"/>
      <c r="G7" s="159"/>
      <c r="H7" s="63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88"/>
      <c r="D8" s="62"/>
      <c r="E8" s="17"/>
      <c r="F8" s="18"/>
      <c r="G8" s="159"/>
      <c r="H8" s="63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88"/>
      <c r="D9" s="62"/>
      <c r="E9" s="17"/>
      <c r="F9" s="18"/>
      <c r="G9" s="159"/>
      <c r="H9" s="63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88"/>
      <c r="D10" s="62"/>
      <c r="E10" s="17"/>
      <c r="F10" s="18"/>
      <c r="G10" s="159"/>
      <c r="H10" s="63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88"/>
      <c r="D11" s="62"/>
      <c r="E11" s="17"/>
      <c r="F11" s="18"/>
      <c r="G11" s="63"/>
      <c r="H11" s="63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88"/>
      <c r="D12" s="62"/>
      <c r="E12" s="17"/>
      <c r="F12" s="18"/>
      <c r="G12" s="159"/>
      <c r="H12" s="63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88"/>
      <c r="D13" s="62"/>
      <c r="E13" s="17"/>
      <c r="F13" s="18"/>
      <c r="G13" s="159"/>
      <c r="H13" s="63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3" t="s">
        <v>7</v>
      </c>
      <c r="D17" s="73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114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5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7"/>
      <c r="F19" s="1"/>
      <c r="G19" s="1"/>
      <c r="H19" s="1"/>
      <c r="I19" s="1"/>
      <c r="J19" s="1"/>
      <c r="K19" s="1"/>
      <c r="L19" s="1"/>
      <c r="M19" s="1"/>
      <c r="N19" s="84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128</v>
      </c>
      <c r="O20" s="43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7"/>
      <c r="F21" s="1"/>
      <c r="G21" s="1"/>
      <c r="H21" s="1"/>
      <c r="I21" s="1"/>
      <c r="J21" s="1"/>
      <c r="K21" s="1"/>
      <c r="L21" s="1"/>
      <c r="M21" s="1"/>
      <c r="N21" s="93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96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7"/>
      <c r="F23" s="96"/>
      <c r="G23" s="1"/>
      <c r="H23" s="1"/>
      <c r="I23" s="1"/>
      <c r="J23" s="1"/>
      <c r="K23" s="98" t="s">
        <v>134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137</v>
      </c>
      <c r="M24" s="99" t="s">
        <v>138</v>
      </c>
      <c r="N24" s="99" t="s">
        <v>139</v>
      </c>
      <c r="O24" s="99" t="s">
        <v>140</v>
      </c>
      <c r="P24" s="99" t="s">
        <v>141</v>
      </c>
      <c r="Q24" s="1"/>
      <c r="R24" s="1"/>
      <c r="AC24" s="100" t="s">
        <v>143</v>
      </c>
      <c r="AD24" s="100" t="s">
        <v>144</v>
      </c>
      <c r="AE24" s="100" t="s">
        <v>145</v>
      </c>
      <c r="AF24" s="100" t="s">
        <v>146</v>
      </c>
      <c r="AG24" s="100" t="s">
        <v>148</v>
      </c>
    </row>
    <row r="25" ht="15.75" customHeight="1">
      <c r="A25" s="1"/>
      <c r="B25" s="80">
        <v>8.0</v>
      </c>
      <c r="C25" s="94"/>
      <c r="D25" s="95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17"/>
      <c r="M26" s="117"/>
      <c r="N26" s="117"/>
      <c r="O26" s="117"/>
      <c r="P26" s="117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94"/>
      <c r="D27" s="95"/>
      <c r="E27" s="77"/>
      <c r="F27" s="1"/>
      <c r="G27" s="1"/>
      <c r="H27" s="1"/>
      <c r="I27" s="1"/>
      <c r="J27" s="1"/>
      <c r="K27" s="102" t="str">
        <f t="shared" si="2"/>
        <v/>
      </c>
      <c r="L27" s="117"/>
      <c r="M27" s="117"/>
      <c r="N27" s="117"/>
      <c r="O27" s="117"/>
      <c r="P27" s="117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2" t="str">
        <f t="shared" si="2"/>
        <v/>
      </c>
      <c r="L28" s="117"/>
      <c r="M28" s="117"/>
      <c r="N28" s="117"/>
      <c r="O28" s="117"/>
      <c r="P28" s="117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2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187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189</v>
      </c>
      <c r="M34" s="121" t="s">
        <v>190</v>
      </c>
      <c r="N34" s="183" t="s">
        <v>191</v>
      </c>
    </row>
    <row r="35" ht="15.75" customHeight="1">
      <c r="K35" s="123" t="str">
        <f t="shared" ref="K35:K36" si="8">IF(O18="","",O18)</f>
        <v/>
      </c>
      <c r="L35" s="127"/>
      <c r="M35" s="127"/>
      <c r="N35" s="184"/>
    </row>
    <row r="36" ht="15.75" customHeight="1">
      <c r="K36" s="123" t="str">
        <f t="shared" si="8"/>
        <v/>
      </c>
      <c r="L36" s="127"/>
      <c r="M36" s="127"/>
      <c r="N36" s="184"/>
    </row>
    <row r="37" ht="15.75" customHeight="1"/>
    <row r="38" ht="19.5" customHeight="1">
      <c r="K38" s="129" t="s">
        <v>194</v>
      </c>
    </row>
    <row r="39" ht="19.5" customHeight="1">
      <c r="K39" s="130" t="s">
        <v>196</v>
      </c>
      <c r="M39" s="127"/>
    </row>
    <row r="40" ht="19.5" customHeight="1">
      <c r="K40" s="131" t="s">
        <v>197</v>
      </c>
      <c r="M40" s="132">
        <f>COUNTIF($I$4:$I$16,"DP")</f>
        <v>0</v>
      </c>
    </row>
    <row r="41" ht="19.5" customHeight="1">
      <c r="K41" s="131" t="s">
        <v>199</v>
      </c>
      <c r="M41" s="132">
        <f>COUNTIFS($I$4:$I$16,"&lt;&gt;DP",$I$4:$I$16,"&lt;&gt;")</f>
        <v>0</v>
      </c>
    </row>
    <row r="42" ht="19.5" customHeight="1">
      <c r="K42" s="133" t="s">
        <v>201</v>
      </c>
      <c r="M42" s="132">
        <f>M40+M41</f>
        <v>0</v>
      </c>
    </row>
    <row r="43" ht="19.5" customHeight="1">
      <c r="K43" s="130" t="s">
        <v>202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8"/>
      <c r="D4" s="62"/>
      <c r="E4" s="17"/>
      <c r="F4" s="18"/>
      <c r="G4" s="159"/>
      <c r="H4" s="63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8"/>
      <c r="D5" s="62"/>
      <c r="E5" s="17"/>
      <c r="F5" s="18"/>
      <c r="G5" s="159"/>
      <c r="H5" s="63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88"/>
      <c r="D6" s="62"/>
      <c r="E6" s="17"/>
      <c r="F6" s="18"/>
      <c r="G6" s="159"/>
      <c r="H6" s="63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88"/>
      <c r="D7" s="62"/>
      <c r="E7" s="17"/>
      <c r="F7" s="18"/>
      <c r="G7" s="159"/>
      <c r="H7" s="63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7"/>
      <c r="D8" s="62"/>
      <c r="E8" s="17"/>
      <c r="F8" s="18"/>
      <c r="G8" s="159"/>
      <c r="H8" s="63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88"/>
      <c r="D9" s="62"/>
      <c r="E9" s="17"/>
      <c r="F9" s="178"/>
      <c r="G9" s="159"/>
      <c r="H9" s="63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88"/>
      <c r="D10" s="62"/>
      <c r="E10" s="17"/>
      <c r="F10" s="105"/>
      <c r="G10" s="159"/>
      <c r="H10" s="63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88"/>
      <c r="D11" s="62"/>
      <c r="E11" s="17"/>
      <c r="F11" s="105"/>
      <c r="G11" s="159"/>
      <c r="H11" s="63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88"/>
      <c r="D12" s="62"/>
      <c r="E12" s="17"/>
      <c r="F12" s="105"/>
      <c r="G12" s="159"/>
      <c r="H12" s="63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88"/>
      <c r="D13" s="62"/>
      <c r="E13" s="17"/>
      <c r="F13" s="105"/>
      <c r="G13" s="159"/>
      <c r="H13" s="63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3" t="s">
        <v>7</v>
      </c>
      <c r="D17" s="73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114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5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7"/>
      <c r="F19" s="1"/>
      <c r="G19" s="1"/>
      <c r="H19" s="1"/>
      <c r="I19" s="1"/>
      <c r="J19" s="1"/>
      <c r="K19" s="1"/>
      <c r="L19" s="1"/>
      <c r="M19" s="1"/>
      <c r="N19" s="84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128</v>
      </c>
      <c r="O20" s="43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7"/>
      <c r="F21" s="1"/>
      <c r="G21" s="1"/>
      <c r="H21" s="1"/>
      <c r="I21" s="1"/>
      <c r="J21" s="1"/>
      <c r="K21" s="1"/>
      <c r="L21" s="1"/>
      <c r="M21" s="1"/>
      <c r="N21" s="93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7"/>
      <c r="F23" s="1"/>
      <c r="G23" s="1"/>
      <c r="H23" s="1"/>
      <c r="I23" s="1"/>
      <c r="J23" s="1"/>
      <c r="K23" s="98" t="s">
        <v>134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137</v>
      </c>
      <c r="M24" s="99" t="s">
        <v>138</v>
      </c>
      <c r="N24" s="99" t="s">
        <v>139</v>
      </c>
      <c r="O24" s="99" t="s">
        <v>140</v>
      </c>
      <c r="P24" s="99" t="s">
        <v>141</v>
      </c>
      <c r="Q24" s="1"/>
      <c r="R24" s="1"/>
      <c r="AC24" s="100" t="s">
        <v>143</v>
      </c>
      <c r="AD24" s="100" t="s">
        <v>144</v>
      </c>
      <c r="AE24" s="100" t="s">
        <v>145</v>
      </c>
      <c r="AF24" s="100" t="s">
        <v>146</v>
      </c>
      <c r="AG24" s="100" t="s">
        <v>148</v>
      </c>
    </row>
    <row r="25" ht="15.75" customHeight="1">
      <c r="A25" s="1"/>
      <c r="B25" s="80">
        <v>8.0</v>
      </c>
      <c r="C25" s="94"/>
      <c r="D25" s="95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17"/>
      <c r="M26" s="117"/>
      <c r="N26" s="117"/>
      <c r="O26" s="117"/>
      <c r="P26" s="117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94"/>
      <c r="D27" s="95"/>
      <c r="E27" s="77"/>
      <c r="F27" s="1"/>
      <c r="G27" s="1"/>
      <c r="H27" s="1"/>
      <c r="I27" s="1"/>
      <c r="J27" s="1"/>
      <c r="K27" s="102" t="str">
        <f t="shared" si="2"/>
        <v/>
      </c>
      <c r="L27" s="117"/>
      <c r="M27" s="117"/>
      <c r="N27" s="117"/>
      <c r="O27" s="117"/>
      <c r="P27" s="117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2" t="str">
        <f t="shared" si="2"/>
        <v/>
      </c>
      <c r="L28" s="117"/>
      <c r="M28" s="117"/>
      <c r="N28" s="117"/>
      <c r="O28" s="117"/>
      <c r="P28" s="117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2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187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189</v>
      </c>
      <c r="M34" s="121" t="s">
        <v>190</v>
      </c>
    </row>
    <row r="35" ht="15.75" customHeight="1">
      <c r="K35" s="123" t="str">
        <f t="shared" ref="K35:K36" si="8">IF(O18="","",O18)</f>
        <v/>
      </c>
      <c r="L35" s="127"/>
      <c r="M35" s="127"/>
    </row>
    <row r="36" ht="15.75" customHeight="1">
      <c r="K36" s="123" t="str">
        <f t="shared" si="8"/>
        <v/>
      </c>
      <c r="L36" s="127"/>
      <c r="M36" s="127"/>
    </row>
    <row r="37" ht="15.75" customHeight="1"/>
    <row r="38" ht="19.5" customHeight="1">
      <c r="K38" s="129" t="s">
        <v>194</v>
      </c>
    </row>
    <row r="39" ht="19.5" customHeight="1">
      <c r="K39" s="130" t="s">
        <v>196</v>
      </c>
      <c r="M39" s="127"/>
    </row>
    <row r="40" ht="19.5" customHeight="1">
      <c r="K40" s="131" t="s">
        <v>197</v>
      </c>
      <c r="M40" s="132">
        <f>COUNTIF($I$4:$I$16,"DP")</f>
        <v>0</v>
      </c>
    </row>
    <row r="41" ht="19.5" customHeight="1">
      <c r="K41" s="131" t="s">
        <v>199</v>
      </c>
      <c r="M41" s="132">
        <f>COUNTIFS($I$4:$I$16,"&lt;&gt;DP",$I$4:$I$16,"&lt;&gt;")</f>
        <v>0</v>
      </c>
    </row>
    <row r="42" ht="19.5" customHeight="1">
      <c r="K42" s="133" t="s">
        <v>201</v>
      </c>
      <c r="M42" s="132">
        <f>M40+M41</f>
        <v>0</v>
      </c>
    </row>
    <row r="43" ht="19.5" customHeight="1">
      <c r="K43" s="130" t="s">
        <v>202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8"/>
      <c r="D4" s="62"/>
      <c r="E4" s="17"/>
      <c r="F4" s="178"/>
      <c r="G4" s="159"/>
      <c r="H4" s="63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8"/>
      <c r="D5" s="62"/>
      <c r="E5" s="17"/>
      <c r="F5" s="178"/>
      <c r="G5" s="159"/>
      <c r="H5" s="63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88"/>
      <c r="D6" s="62"/>
      <c r="E6" s="17"/>
      <c r="F6" s="178"/>
      <c r="G6" s="159"/>
      <c r="H6" s="63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88"/>
      <c r="D7" s="62"/>
      <c r="E7" s="17"/>
      <c r="F7" s="178"/>
      <c r="G7" s="159"/>
      <c r="H7" s="63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88"/>
      <c r="D8" s="62"/>
      <c r="E8" s="17"/>
      <c r="F8" s="178"/>
      <c r="G8" s="159"/>
      <c r="H8" s="63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88"/>
      <c r="D9" s="62"/>
      <c r="E9" s="17"/>
      <c r="F9" s="105"/>
      <c r="G9" s="159"/>
      <c r="H9" s="63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88"/>
      <c r="D10" s="62"/>
      <c r="E10" s="17"/>
      <c r="F10" s="105"/>
      <c r="G10" s="159"/>
      <c r="H10" s="63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88"/>
      <c r="D11" s="62"/>
      <c r="E11" s="17"/>
      <c r="F11" s="105"/>
      <c r="G11" s="159"/>
      <c r="H11" s="63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88"/>
      <c r="D12" s="62"/>
      <c r="E12" s="17"/>
      <c r="F12" s="105"/>
      <c r="G12" s="159"/>
      <c r="H12" s="63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88"/>
      <c r="D13" s="62"/>
      <c r="E13" s="17"/>
      <c r="F13" s="178"/>
      <c r="G13" s="159"/>
      <c r="H13" s="63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3" t="s">
        <v>7</v>
      </c>
      <c r="D17" s="73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114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5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7"/>
      <c r="F19" s="1"/>
      <c r="G19" s="1"/>
      <c r="H19" s="1"/>
      <c r="I19" s="1"/>
      <c r="J19" s="1"/>
      <c r="K19" s="1"/>
      <c r="L19" s="1"/>
      <c r="M19" s="1"/>
      <c r="N19" s="84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128</v>
      </c>
      <c r="O20" s="43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7"/>
      <c r="F21" s="1"/>
      <c r="G21" s="1"/>
      <c r="H21" s="1"/>
      <c r="I21" s="1"/>
      <c r="J21" s="1"/>
      <c r="K21" s="1"/>
      <c r="L21" s="1"/>
      <c r="M21" s="1"/>
      <c r="N21" s="93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7"/>
      <c r="F23" s="1"/>
      <c r="G23" s="1"/>
      <c r="H23" s="1"/>
      <c r="I23" s="1"/>
      <c r="J23" s="1"/>
      <c r="K23" s="98" t="s">
        <v>134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137</v>
      </c>
      <c r="M24" s="99" t="s">
        <v>138</v>
      </c>
      <c r="N24" s="99" t="s">
        <v>139</v>
      </c>
      <c r="O24" s="99" t="s">
        <v>140</v>
      </c>
      <c r="P24" s="99" t="s">
        <v>141</v>
      </c>
      <c r="Q24" s="1"/>
      <c r="R24" s="1"/>
      <c r="AC24" s="100" t="s">
        <v>143</v>
      </c>
      <c r="AD24" s="100" t="s">
        <v>144</v>
      </c>
      <c r="AE24" s="100" t="s">
        <v>145</v>
      </c>
      <c r="AF24" s="100" t="s">
        <v>146</v>
      </c>
      <c r="AG24" s="100" t="s">
        <v>148</v>
      </c>
    </row>
    <row r="25" ht="15.75" customHeight="1">
      <c r="A25" s="1"/>
      <c r="B25" s="80">
        <v>8.0</v>
      </c>
      <c r="C25" s="94"/>
      <c r="D25" s="95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17"/>
      <c r="M26" s="117"/>
      <c r="N26" s="117"/>
      <c r="O26" s="117"/>
      <c r="P26" s="117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94"/>
      <c r="D27" s="95"/>
      <c r="E27" s="77"/>
      <c r="F27" s="1"/>
      <c r="G27" s="1"/>
      <c r="H27" s="1"/>
      <c r="I27" s="1"/>
      <c r="J27" s="1"/>
      <c r="K27" s="102" t="str">
        <f t="shared" si="2"/>
        <v/>
      </c>
      <c r="L27" s="117"/>
      <c r="M27" s="117"/>
      <c r="N27" s="117"/>
      <c r="O27" s="117"/>
      <c r="P27" s="117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2" t="str">
        <f t="shared" si="2"/>
        <v/>
      </c>
      <c r="L28" s="117"/>
      <c r="M28" s="117"/>
      <c r="N28" s="117"/>
      <c r="O28" s="117"/>
      <c r="P28" s="117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2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187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189</v>
      </c>
      <c r="M34" s="121" t="s">
        <v>190</v>
      </c>
    </row>
    <row r="35" ht="15.75" customHeight="1">
      <c r="K35" s="123" t="str">
        <f t="shared" ref="K35:K36" si="8">IF(O18="","",O18)</f>
        <v/>
      </c>
      <c r="L35" s="127"/>
      <c r="M35" s="127"/>
    </row>
    <row r="36" ht="15.75" customHeight="1">
      <c r="K36" s="123" t="str">
        <f t="shared" si="8"/>
        <v/>
      </c>
      <c r="L36" s="127"/>
      <c r="M36" s="127"/>
    </row>
    <row r="37" ht="15.75" customHeight="1"/>
    <row r="38" ht="19.5" customHeight="1">
      <c r="K38" s="129" t="s">
        <v>194</v>
      </c>
    </row>
    <row r="39" ht="19.5" customHeight="1">
      <c r="K39" s="130" t="s">
        <v>196</v>
      </c>
      <c r="M39" s="127"/>
    </row>
    <row r="40" ht="19.5" customHeight="1">
      <c r="K40" s="131" t="s">
        <v>197</v>
      </c>
      <c r="M40" s="132">
        <f>COUNTIF($I$4:$I$16,"DP")</f>
        <v>0</v>
      </c>
    </row>
    <row r="41" ht="19.5" customHeight="1">
      <c r="K41" s="131" t="s">
        <v>199</v>
      </c>
      <c r="M41" s="132">
        <f>COUNTIFS($I$4:$I$16,"&lt;&gt;DP",$I$4:$I$16,"&lt;&gt;")</f>
        <v>0</v>
      </c>
    </row>
    <row r="42" ht="19.5" customHeight="1">
      <c r="K42" s="133" t="s">
        <v>201</v>
      </c>
      <c r="M42" s="132">
        <f>M40+M41</f>
        <v>0</v>
      </c>
    </row>
    <row r="43" ht="19.5" customHeight="1">
      <c r="K43" s="130" t="s">
        <v>202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8"/>
      <c r="D4" s="62"/>
      <c r="E4" s="17"/>
      <c r="F4" s="108"/>
      <c r="G4" s="159"/>
      <c r="H4" s="63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8"/>
      <c r="D5" s="62"/>
      <c r="E5" s="17"/>
      <c r="F5" s="108"/>
      <c r="G5" s="159"/>
      <c r="H5" s="63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88"/>
      <c r="D6" s="62"/>
      <c r="E6" s="17"/>
      <c r="F6" s="178"/>
      <c r="G6" s="159"/>
      <c r="H6" s="63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88"/>
      <c r="D7" s="62"/>
      <c r="E7" s="17"/>
      <c r="F7" s="178"/>
      <c r="G7" s="159"/>
      <c r="H7" s="63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88"/>
      <c r="D8" s="62"/>
      <c r="E8" s="17"/>
      <c r="F8" s="178"/>
      <c r="G8" s="159"/>
      <c r="H8" s="63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88"/>
      <c r="D9" s="62"/>
      <c r="E9" s="17"/>
      <c r="F9" s="178"/>
      <c r="G9" s="159"/>
      <c r="H9" s="63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88"/>
      <c r="D10" s="62"/>
      <c r="E10" s="17"/>
      <c r="F10" s="178"/>
      <c r="G10" s="159"/>
      <c r="H10" s="63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88"/>
      <c r="D11" s="62"/>
      <c r="E11" s="17"/>
      <c r="F11" s="178"/>
      <c r="G11" s="159"/>
      <c r="H11" s="63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88"/>
      <c r="D12" s="62"/>
      <c r="E12" s="17"/>
      <c r="F12" s="178"/>
      <c r="G12" s="159"/>
      <c r="H12" s="63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88"/>
      <c r="D13" s="62"/>
      <c r="E13" s="17"/>
      <c r="F13" s="18"/>
      <c r="G13" s="159"/>
      <c r="H13" s="63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3" t="s">
        <v>7</v>
      </c>
      <c r="D17" s="73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114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5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7"/>
      <c r="F19" s="1"/>
      <c r="G19" s="1"/>
      <c r="H19" s="1"/>
      <c r="I19" s="1"/>
      <c r="J19" s="1"/>
      <c r="K19" s="1"/>
      <c r="L19" s="1"/>
      <c r="M19" s="1"/>
      <c r="N19" s="84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128</v>
      </c>
      <c r="O20" s="43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7"/>
      <c r="F21" s="1"/>
      <c r="G21" s="1"/>
      <c r="H21" s="1"/>
      <c r="I21" s="1"/>
      <c r="J21" s="1"/>
      <c r="K21" s="1"/>
      <c r="L21" s="1"/>
      <c r="M21" s="1"/>
      <c r="N21" s="93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7"/>
      <c r="F23" s="1"/>
      <c r="G23" s="1"/>
      <c r="H23" s="1"/>
      <c r="I23" s="1"/>
      <c r="J23" s="1"/>
      <c r="K23" s="98" t="s">
        <v>134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137</v>
      </c>
      <c r="M24" s="99" t="s">
        <v>138</v>
      </c>
      <c r="N24" s="99" t="s">
        <v>139</v>
      </c>
      <c r="O24" s="99" t="s">
        <v>140</v>
      </c>
      <c r="P24" s="99" t="s">
        <v>141</v>
      </c>
      <c r="Q24" s="1"/>
      <c r="R24" s="1"/>
      <c r="AC24" s="100" t="s">
        <v>143</v>
      </c>
      <c r="AD24" s="100" t="s">
        <v>144</v>
      </c>
      <c r="AE24" s="100" t="s">
        <v>145</v>
      </c>
      <c r="AF24" s="100" t="s">
        <v>146</v>
      </c>
      <c r="AG24" s="100" t="s">
        <v>148</v>
      </c>
    </row>
    <row r="25" ht="15.75" customHeight="1">
      <c r="A25" s="1"/>
      <c r="B25" s="80">
        <v>8.0</v>
      </c>
      <c r="C25" s="94"/>
      <c r="D25" s="95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52"/>
      <c r="M26" s="152"/>
      <c r="N26" s="152"/>
      <c r="O26" s="152"/>
      <c r="P26" s="15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94"/>
      <c r="D27" s="95"/>
      <c r="E27" s="77"/>
      <c r="F27" s="1"/>
      <c r="G27" s="1"/>
      <c r="H27" s="1"/>
      <c r="I27" s="1"/>
      <c r="J27" s="1"/>
      <c r="K27" s="102" t="str">
        <f t="shared" si="2"/>
        <v/>
      </c>
      <c r="L27" s="117"/>
      <c r="M27" s="117"/>
      <c r="N27" s="117"/>
      <c r="O27" s="117"/>
      <c r="P27" s="117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2" t="str">
        <f t="shared" si="2"/>
        <v/>
      </c>
      <c r="L28" s="152"/>
      <c r="M28" s="152"/>
      <c r="N28" s="152"/>
      <c r="O28" s="152"/>
      <c r="P28" s="15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2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187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189</v>
      </c>
      <c r="M34" s="121" t="s">
        <v>190</v>
      </c>
      <c r="N34" s="183" t="s">
        <v>191</v>
      </c>
    </row>
    <row r="35" ht="15.75" customHeight="1">
      <c r="K35" s="123" t="str">
        <f t="shared" ref="K35:K36" si="8">IF(O18="","",O18)</f>
        <v/>
      </c>
      <c r="L35" s="127"/>
      <c r="M35" s="127"/>
      <c r="N35" s="184"/>
    </row>
    <row r="36" ht="15.75" customHeight="1">
      <c r="K36" s="123" t="str">
        <f t="shared" si="8"/>
        <v/>
      </c>
      <c r="L36" s="127"/>
      <c r="M36" s="127"/>
      <c r="N36" s="184"/>
    </row>
    <row r="37" ht="15.75" customHeight="1"/>
    <row r="38" ht="19.5" customHeight="1">
      <c r="K38" s="129" t="s">
        <v>194</v>
      </c>
    </row>
    <row r="39" ht="19.5" customHeight="1">
      <c r="K39" s="130" t="s">
        <v>196</v>
      </c>
      <c r="M39" s="127"/>
    </row>
    <row r="40" ht="19.5" customHeight="1">
      <c r="K40" s="131" t="s">
        <v>197</v>
      </c>
      <c r="M40" s="132">
        <f>COUNTIF($I$4:$I$16,"DP")</f>
        <v>0</v>
      </c>
    </row>
    <row r="41" ht="19.5" customHeight="1">
      <c r="K41" s="131" t="s">
        <v>199</v>
      </c>
      <c r="M41" s="132">
        <f>COUNTIFS($I$4:$I$16,"&lt;&gt;DP",$I$4:$I$16,"&lt;&gt;")</f>
        <v>0</v>
      </c>
    </row>
    <row r="42" ht="19.5" customHeight="1">
      <c r="K42" s="133" t="s">
        <v>201</v>
      </c>
      <c r="M42" s="132">
        <f>M40+M41</f>
        <v>0</v>
      </c>
    </row>
    <row r="43" ht="19.5" customHeight="1">
      <c r="K43" s="130" t="s">
        <v>202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8"/>
      <c r="D4" s="62"/>
      <c r="E4" s="17"/>
      <c r="F4" s="18"/>
      <c r="G4" s="159"/>
      <c r="H4" s="63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8"/>
      <c r="D5" s="62"/>
      <c r="E5" s="17"/>
      <c r="F5" s="18"/>
      <c r="G5" s="159"/>
      <c r="H5" s="63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88"/>
      <c r="D6" s="62"/>
      <c r="E6" s="17"/>
      <c r="F6" s="18"/>
      <c r="G6" s="159"/>
      <c r="H6" s="63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88"/>
      <c r="D7" s="62"/>
      <c r="E7" s="17"/>
      <c r="F7" s="178"/>
      <c r="G7" s="159"/>
      <c r="H7" s="63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88"/>
      <c r="D8" s="62"/>
      <c r="E8" s="17"/>
      <c r="F8" s="178"/>
      <c r="G8" s="159"/>
      <c r="H8" s="63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88"/>
      <c r="D9" s="62"/>
      <c r="E9" s="17"/>
      <c r="F9" s="178"/>
      <c r="G9" s="159"/>
      <c r="H9" s="63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88"/>
      <c r="D10" s="62"/>
      <c r="E10" s="17"/>
      <c r="F10" s="105"/>
      <c r="G10" s="159"/>
      <c r="H10" s="63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88"/>
      <c r="D11" s="62"/>
      <c r="E11" s="17"/>
      <c r="F11" s="178"/>
      <c r="G11" s="159"/>
      <c r="H11" s="63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88"/>
      <c r="D12" s="62"/>
      <c r="E12" s="17"/>
      <c r="F12" s="178"/>
      <c r="G12" s="159"/>
      <c r="H12" s="63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88"/>
      <c r="D13" s="62"/>
      <c r="E13" s="17"/>
      <c r="F13" s="178"/>
      <c r="G13" s="159"/>
      <c r="H13" s="63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3" t="s">
        <v>7</v>
      </c>
      <c r="D17" s="73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114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5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7"/>
      <c r="F19" s="1"/>
      <c r="G19" s="1"/>
      <c r="H19" s="1"/>
      <c r="I19" s="1"/>
      <c r="J19" s="1"/>
      <c r="K19" s="1"/>
      <c r="L19" s="1"/>
      <c r="M19" s="1"/>
      <c r="N19" s="84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128</v>
      </c>
      <c r="O20" s="43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7"/>
      <c r="F21" s="1"/>
      <c r="G21" s="1"/>
      <c r="H21" s="1"/>
      <c r="I21" s="1"/>
      <c r="J21" s="1"/>
      <c r="K21" s="1"/>
      <c r="L21" s="1"/>
      <c r="M21" s="1"/>
      <c r="N21" s="93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7"/>
      <c r="F23" s="1"/>
      <c r="G23" s="1"/>
      <c r="H23" s="1"/>
      <c r="I23" s="1"/>
      <c r="J23" s="1"/>
      <c r="K23" s="98" t="s">
        <v>134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137</v>
      </c>
      <c r="M24" s="99" t="s">
        <v>138</v>
      </c>
      <c r="N24" s="99" t="s">
        <v>139</v>
      </c>
      <c r="O24" s="99" t="s">
        <v>140</v>
      </c>
      <c r="P24" s="99" t="s">
        <v>141</v>
      </c>
      <c r="Q24" s="1"/>
      <c r="R24" s="1"/>
      <c r="AC24" s="100" t="s">
        <v>143</v>
      </c>
      <c r="AD24" s="100" t="s">
        <v>144</v>
      </c>
      <c r="AE24" s="100" t="s">
        <v>145</v>
      </c>
      <c r="AF24" s="100" t="s">
        <v>146</v>
      </c>
      <c r="AG24" s="100" t="s">
        <v>148</v>
      </c>
    </row>
    <row r="25" ht="15.75" customHeight="1">
      <c r="A25" s="1"/>
      <c r="B25" s="80">
        <v>8.0</v>
      </c>
      <c r="C25" s="94"/>
      <c r="D25" s="95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52"/>
      <c r="M26" s="152"/>
      <c r="N26" s="152"/>
      <c r="O26" s="152"/>
      <c r="P26" s="15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94"/>
      <c r="D27" s="95"/>
      <c r="E27" s="77"/>
      <c r="F27" s="1"/>
      <c r="G27" s="1"/>
      <c r="H27" s="1"/>
      <c r="I27" s="1"/>
      <c r="J27" s="1"/>
      <c r="K27" s="102" t="str">
        <f t="shared" si="2"/>
        <v/>
      </c>
      <c r="L27" s="117"/>
      <c r="M27" s="117"/>
      <c r="N27" s="117"/>
      <c r="O27" s="117"/>
      <c r="P27" s="117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2" t="str">
        <f t="shared" si="2"/>
        <v/>
      </c>
      <c r="L28" s="117"/>
      <c r="M28" s="117"/>
      <c r="N28" s="117"/>
      <c r="O28" s="117"/>
      <c r="P28" s="117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2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187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189</v>
      </c>
      <c r="M34" s="121" t="s">
        <v>190</v>
      </c>
      <c r="N34" s="183" t="s">
        <v>191</v>
      </c>
    </row>
    <row r="35" ht="15.75" customHeight="1">
      <c r="K35" s="123" t="str">
        <f t="shared" ref="K35:K36" si="8">IF(O18="","",O18)</f>
        <v/>
      </c>
      <c r="L35" s="127"/>
      <c r="M35" s="127"/>
      <c r="N35" s="184"/>
    </row>
    <row r="36" ht="15.75" customHeight="1">
      <c r="K36" s="123" t="str">
        <f t="shared" si="8"/>
        <v/>
      </c>
      <c r="L36" s="127"/>
      <c r="M36" s="127"/>
      <c r="N36" s="184"/>
    </row>
    <row r="37" ht="15.75" customHeight="1"/>
    <row r="38" ht="19.5" customHeight="1">
      <c r="K38" s="129" t="s">
        <v>194</v>
      </c>
    </row>
    <row r="39" ht="19.5" customHeight="1">
      <c r="K39" s="130" t="s">
        <v>196</v>
      </c>
      <c r="M39" s="127"/>
    </row>
    <row r="40" ht="19.5" customHeight="1">
      <c r="K40" s="131" t="s">
        <v>197</v>
      </c>
      <c r="M40" s="187"/>
    </row>
    <row r="41" ht="19.5" customHeight="1">
      <c r="K41" s="131" t="s">
        <v>199</v>
      </c>
      <c r="M41" s="132"/>
    </row>
    <row r="42" ht="19.5" customHeight="1">
      <c r="K42" s="133" t="s">
        <v>201</v>
      </c>
      <c r="M42" s="132"/>
    </row>
    <row r="43" ht="19.5" customHeight="1">
      <c r="K43" s="130" t="s">
        <v>202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8"/>
      <c r="D4" s="62"/>
      <c r="E4" s="17"/>
      <c r="F4" s="108"/>
      <c r="G4" s="159"/>
      <c r="H4" s="63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8"/>
      <c r="D5" s="62"/>
      <c r="E5" s="17"/>
      <c r="F5" s="108"/>
      <c r="G5" s="159"/>
      <c r="H5" s="63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88"/>
      <c r="D6" s="62"/>
      <c r="E6" s="17"/>
      <c r="F6" s="178"/>
      <c r="G6" s="159"/>
      <c r="H6" s="63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88"/>
      <c r="D7" s="62"/>
      <c r="E7" s="17"/>
      <c r="F7" s="178"/>
      <c r="G7" s="159"/>
      <c r="H7" s="63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88"/>
      <c r="D8" s="62"/>
      <c r="E8" s="17"/>
      <c r="F8" s="178"/>
      <c r="G8" s="159"/>
      <c r="H8" s="63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88"/>
      <c r="D9" s="62"/>
      <c r="E9" s="17"/>
      <c r="F9" s="178"/>
      <c r="G9" s="159"/>
      <c r="H9" s="63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88"/>
      <c r="D10" s="62"/>
      <c r="E10" s="17"/>
      <c r="F10" s="178"/>
      <c r="G10" s="159"/>
      <c r="H10" s="63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88"/>
      <c r="D11" s="62"/>
      <c r="E11" s="17"/>
      <c r="F11" s="178"/>
      <c r="G11" s="159"/>
      <c r="H11" s="63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88"/>
      <c r="D12" s="62"/>
      <c r="E12" s="17"/>
      <c r="F12" s="178"/>
      <c r="G12" s="159"/>
      <c r="H12" s="63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88"/>
      <c r="D13" s="62"/>
      <c r="E13" s="17"/>
      <c r="F13" s="178"/>
      <c r="G13" s="159"/>
      <c r="H13" s="63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3" t="s">
        <v>7</v>
      </c>
      <c r="D17" s="73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114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5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7"/>
      <c r="F19" s="1"/>
      <c r="G19" s="1"/>
      <c r="H19" s="1"/>
      <c r="I19" s="1"/>
      <c r="J19" s="1"/>
      <c r="K19" s="1"/>
      <c r="L19" s="1"/>
      <c r="M19" s="1"/>
      <c r="N19" s="84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128</v>
      </c>
      <c r="O20" s="188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7"/>
      <c r="F21" s="1"/>
      <c r="G21" s="1"/>
      <c r="H21" s="1"/>
      <c r="I21" s="1"/>
      <c r="J21" s="1"/>
      <c r="K21" s="1"/>
      <c r="L21" s="1"/>
      <c r="M21" s="1"/>
      <c r="N21" s="93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7"/>
      <c r="F23" s="1"/>
      <c r="G23" s="1"/>
      <c r="H23" s="1"/>
      <c r="I23" s="1"/>
      <c r="J23" s="1"/>
      <c r="K23" s="98" t="s">
        <v>134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137</v>
      </c>
      <c r="M24" s="99" t="s">
        <v>138</v>
      </c>
      <c r="N24" s="99" t="s">
        <v>139</v>
      </c>
      <c r="O24" s="99" t="s">
        <v>140</v>
      </c>
      <c r="P24" s="99" t="s">
        <v>141</v>
      </c>
      <c r="Q24" s="1"/>
      <c r="R24" s="1"/>
      <c r="AC24" s="100" t="s">
        <v>143</v>
      </c>
      <c r="AD24" s="100" t="s">
        <v>144</v>
      </c>
      <c r="AE24" s="100" t="s">
        <v>145</v>
      </c>
      <c r="AF24" s="100" t="s">
        <v>146</v>
      </c>
      <c r="AG24" s="100" t="s">
        <v>148</v>
      </c>
    </row>
    <row r="25" ht="15.75" customHeight="1">
      <c r="A25" s="1"/>
      <c r="B25" s="80">
        <v>8.0</v>
      </c>
      <c r="C25" s="94"/>
      <c r="D25" s="95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17"/>
      <c r="M26" s="117"/>
      <c r="N26" s="117"/>
      <c r="O26" s="117"/>
      <c r="P26" s="117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94"/>
      <c r="D27" s="95"/>
      <c r="E27" s="77"/>
      <c r="F27" s="1"/>
      <c r="G27" s="1"/>
      <c r="H27" s="1"/>
      <c r="I27" s="1"/>
      <c r="J27" s="1"/>
      <c r="K27" s="102" t="str">
        <f t="shared" si="2"/>
        <v/>
      </c>
      <c r="L27" s="152"/>
      <c r="M27" s="152"/>
      <c r="N27" s="152"/>
      <c r="O27" s="152"/>
      <c r="P27" s="15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2" t="str">
        <f t="shared" si="2"/>
        <v/>
      </c>
      <c r="L28" s="117"/>
      <c r="M28" s="117"/>
      <c r="N28" s="117"/>
      <c r="O28" s="117"/>
      <c r="P28" s="117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2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187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189</v>
      </c>
      <c r="M34" s="121" t="s">
        <v>190</v>
      </c>
      <c r="N34" s="183" t="s">
        <v>191</v>
      </c>
    </row>
    <row r="35" ht="15.75" customHeight="1">
      <c r="K35" s="123" t="str">
        <f t="shared" ref="K35:K36" si="8">IF(O18="","",O18)</f>
        <v/>
      </c>
      <c r="L35" s="127"/>
      <c r="M35" s="127"/>
      <c r="N35" s="184"/>
    </row>
    <row r="36" ht="15.75" customHeight="1">
      <c r="K36" s="123" t="str">
        <f t="shared" si="8"/>
        <v/>
      </c>
      <c r="L36" s="127"/>
      <c r="M36" s="127"/>
      <c r="N36" s="184"/>
    </row>
    <row r="37" ht="15.75" customHeight="1"/>
    <row r="38" ht="19.5" customHeight="1">
      <c r="K38" s="129" t="s">
        <v>194</v>
      </c>
    </row>
    <row r="39" ht="19.5" customHeight="1">
      <c r="K39" s="130" t="s">
        <v>196</v>
      </c>
      <c r="M39" s="127"/>
    </row>
    <row r="40" ht="19.5" customHeight="1">
      <c r="K40" s="131" t="s">
        <v>197</v>
      </c>
      <c r="M40" s="132">
        <f>COUNTIF($I$4:$I$16,"DP")</f>
        <v>0</v>
      </c>
    </row>
    <row r="41" ht="19.5" customHeight="1">
      <c r="K41" s="131" t="s">
        <v>199</v>
      </c>
      <c r="M41" s="132">
        <f>COUNTIFS($I$4:$I$16,"&lt;&gt;DP",$I$4:$I$16,"&lt;&gt;")</f>
        <v>0</v>
      </c>
    </row>
    <row r="42" ht="19.5" customHeight="1">
      <c r="K42" s="133" t="s">
        <v>201</v>
      </c>
      <c r="M42" s="132">
        <f>M40+M41</f>
        <v>0</v>
      </c>
    </row>
    <row r="43" ht="19.5" customHeight="1">
      <c r="K43" s="130" t="s">
        <v>202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8"/>
      <c r="D4" s="62"/>
      <c r="E4" s="17"/>
      <c r="F4" s="18"/>
      <c r="G4" s="159"/>
      <c r="H4" s="63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8"/>
      <c r="D5" s="62"/>
      <c r="E5" s="17"/>
      <c r="F5" s="18"/>
      <c r="G5" s="159"/>
      <c r="H5" s="63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86"/>
      <c r="D6" s="62"/>
      <c r="E6" s="17"/>
      <c r="F6" s="18"/>
      <c r="G6" s="159"/>
      <c r="H6" s="63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88"/>
      <c r="D7" s="62"/>
      <c r="E7" s="17"/>
      <c r="F7" s="18"/>
      <c r="G7" s="159"/>
      <c r="H7" s="63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88"/>
      <c r="D8" s="62"/>
      <c r="E8" s="17"/>
      <c r="F8" s="18"/>
      <c r="G8" s="159"/>
      <c r="H8" s="63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88"/>
      <c r="D9" s="62"/>
      <c r="E9" s="17"/>
      <c r="F9" s="18"/>
      <c r="G9" s="159"/>
      <c r="H9" s="63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88"/>
      <c r="D10" s="62"/>
      <c r="E10" s="17"/>
      <c r="F10" s="178"/>
      <c r="G10" s="159"/>
      <c r="H10" s="63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88"/>
      <c r="D11" s="62"/>
      <c r="E11" s="17"/>
      <c r="F11" s="178"/>
      <c r="G11" s="159"/>
      <c r="H11" s="63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88"/>
      <c r="D12" s="62"/>
      <c r="E12" s="17"/>
      <c r="F12" s="178"/>
      <c r="G12" s="159"/>
      <c r="H12" s="63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88"/>
      <c r="D13" s="62"/>
      <c r="E13" s="17"/>
      <c r="F13" s="178"/>
      <c r="G13" s="159"/>
      <c r="H13" s="63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3" t="s">
        <v>7</v>
      </c>
      <c r="D17" s="73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114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5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7"/>
      <c r="F19" s="1"/>
      <c r="G19" s="1"/>
      <c r="H19" s="1"/>
      <c r="I19" s="1"/>
      <c r="J19" s="1"/>
      <c r="K19" s="1"/>
      <c r="L19" s="1"/>
      <c r="M19" s="1"/>
      <c r="N19" s="84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128</v>
      </c>
      <c r="O20" s="43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7"/>
      <c r="F21" s="1"/>
      <c r="G21" s="1"/>
      <c r="H21" s="1"/>
      <c r="I21" s="1"/>
      <c r="J21" s="1"/>
      <c r="K21" s="1"/>
      <c r="L21" s="1"/>
      <c r="M21" s="1"/>
      <c r="N21" s="93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7"/>
      <c r="F23" s="1"/>
      <c r="G23" s="1"/>
      <c r="H23" s="1"/>
      <c r="I23" s="1"/>
      <c r="J23" s="1"/>
      <c r="K23" s="98" t="s">
        <v>134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137</v>
      </c>
      <c r="M24" s="99" t="s">
        <v>138</v>
      </c>
      <c r="N24" s="99" t="s">
        <v>139</v>
      </c>
      <c r="O24" s="99" t="s">
        <v>140</v>
      </c>
      <c r="P24" s="99" t="s">
        <v>141</v>
      </c>
      <c r="Q24" s="1"/>
      <c r="R24" s="1"/>
      <c r="AC24" s="100" t="s">
        <v>143</v>
      </c>
      <c r="AD24" s="100" t="s">
        <v>144</v>
      </c>
      <c r="AE24" s="100" t="s">
        <v>145</v>
      </c>
      <c r="AF24" s="100" t="s">
        <v>146</v>
      </c>
      <c r="AG24" s="100" t="s">
        <v>148</v>
      </c>
    </row>
    <row r="25" ht="15.75" customHeight="1">
      <c r="A25" s="1"/>
      <c r="B25" s="80">
        <v>8.0</v>
      </c>
      <c r="C25" s="94"/>
      <c r="D25" s="95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17"/>
      <c r="M26" s="117"/>
      <c r="N26" s="117"/>
      <c r="O26" s="117"/>
      <c r="P26" s="117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94"/>
      <c r="D27" s="95"/>
      <c r="E27" s="77"/>
      <c r="F27" s="1"/>
      <c r="G27" s="1"/>
      <c r="H27" s="1"/>
      <c r="I27" s="1"/>
      <c r="J27" s="1"/>
      <c r="K27" s="102" t="str">
        <f t="shared" si="2"/>
        <v/>
      </c>
      <c r="L27" s="117"/>
      <c r="M27" s="117"/>
      <c r="N27" s="117"/>
      <c r="O27" s="117"/>
      <c r="P27" s="117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2" t="str">
        <f t="shared" si="2"/>
        <v/>
      </c>
      <c r="L28" s="117"/>
      <c r="M28" s="117"/>
      <c r="N28" s="117"/>
      <c r="O28" s="117"/>
      <c r="P28" s="117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2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187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189</v>
      </c>
      <c r="M34" s="121" t="s">
        <v>190</v>
      </c>
      <c r="N34" s="183" t="s">
        <v>191</v>
      </c>
    </row>
    <row r="35" ht="15.75" customHeight="1">
      <c r="K35" s="123" t="str">
        <f t="shared" ref="K35:K36" si="8">IF(O18="","",O18)</f>
        <v/>
      </c>
      <c r="L35" s="127"/>
      <c r="M35" s="127"/>
      <c r="N35" s="184"/>
    </row>
    <row r="36" ht="15.75" customHeight="1">
      <c r="K36" s="123" t="str">
        <f t="shared" si="8"/>
        <v/>
      </c>
      <c r="L36" s="127"/>
      <c r="M36" s="127"/>
      <c r="N36" s="184"/>
    </row>
    <row r="37" ht="15.75" customHeight="1"/>
    <row r="38" ht="19.5" customHeight="1">
      <c r="K38" s="129" t="s">
        <v>194</v>
      </c>
    </row>
    <row r="39" ht="19.5" customHeight="1">
      <c r="K39" s="130" t="s">
        <v>196</v>
      </c>
      <c r="M39" s="127"/>
    </row>
    <row r="40" ht="19.5" customHeight="1">
      <c r="K40" s="131" t="s">
        <v>197</v>
      </c>
      <c r="M40" s="132">
        <f>COUNTIF($I$4:$I$16,"DP")</f>
        <v>0</v>
      </c>
    </row>
    <row r="41" ht="19.5" customHeight="1">
      <c r="K41" s="131" t="s">
        <v>199</v>
      </c>
      <c r="M41" s="132">
        <f>COUNTIFS($I$4:$I$16,"&lt;&gt;DP",$I$4:$I$16,"&lt;&gt;")</f>
        <v>0</v>
      </c>
    </row>
    <row r="42" ht="19.5" customHeight="1">
      <c r="K42" s="133" t="s">
        <v>201</v>
      </c>
      <c r="M42" s="132">
        <f>M40+M41</f>
        <v>0</v>
      </c>
    </row>
    <row r="43" ht="19.5" customHeight="1">
      <c r="K43" s="130" t="s">
        <v>202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8"/>
      <c r="D4" s="62"/>
      <c r="E4" s="17"/>
      <c r="F4" s="18"/>
      <c r="G4" s="159"/>
      <c r="H4" s="63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8"/>
      <c r="D5" s="62"/>
      <c r="E5" s="17"/>
      <c r="F5" s="18"/>
      <c r="G5" s="159"/>
      <c r="H5" s="63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88"/>
      <c r="D6" s="62"/>
      <c r="E6" s="17"/>
      <c r="F6" s="18"/>
      <c r="G6" s="159"/>
      <c r="H6" s="63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88"/>
      <c r="D7" s="62"/>
      <c r="E7" s="17"/>
      <c r="F7" s="178"/>
      <c r="G7" s="159"/>
      <c r="H7" s="63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88"/>
      <c r="D8" s="62"/>
      <c r="E8" s="17"/>
      <c r="F8" s="178"/>
      <c r="G8" s="159"/>
      <c r="H8" s="63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88"/>
      <c r="D9" s="62"/>
      <c r="E9" s="17"/>
      <c r="F9" s="178"/>
      <c r="G9" s="159"/>
      <c r="H9" s="63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88"/>
      <c r="D10" s="62"/>
      <c r="E10" s="17"/>
      <c r="F10" s="178"/>
      <c r="G10" s="159"/>
      <c r="H10" s="63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88"/>
      <c r="D11" s="62"/>
      <c r="E11" s="17"/>
      <c r="F11" s="178"/>
      <c r="G11" s="159"/>
      <c r="H11" s="63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88"/>
      <c r="D12" s="62"/>
      <c r="E12" s="17"/>
      <c r="F12" s="178"/>
      <c r="G12" s="159"/>
      <c r="H12" s="63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88"/>
      <c r="D13" s="62"/>
      <c r="E13" s="17"/>
      <c r="F13" s="178"/>
      <c r="G13" s="159"/>
      <c r="H13" s="63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3" t="s">
        <v>7</v>
      </c>
      <c r="D17" s="73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114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5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7"/>
      <c r="F19" s="1"/>
      <c r="G19" s="1"/>
      <c r="H19" s="1"/>
      <c r="I19" s="1"/>
      <c r="J19" s="1"/>
      <c r="K19" s="1"/>
      <c r="L19" s="1"/>
      <c r="M19" s="1"/>
      <c r="N19" s="84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128</v>
      </c>
      <c r="O20" s="43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7"/>
      <c r="F21" s="1"/>
      <c r="G21" s="1"/>
      <c r="H21" s="1"/>
      <c r="I21" s="1"/>
      <c r="J21" s="1"/>
      <c r="K21" s="1"/>
      <c r="L21" s="1"/>
      <c r="M21" s="1"/>
      <c r="N21" s="93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7"/>
      <c r="F23" s="1"/>
      <c r="G23" s="1"/>
      <c r="H23" s="1"/>
      <c r="I23" s="1"/>
      <c r="J23" s="1"/>
      <c r="K23" s="98" t="s">
        <v>134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137</v>
      </c>
      <c r="M24" s="99" t="s">
        <v>138</v>
      </c>
      <c r="N24" s="99" t="s">
        <v>139</v>
      </c>
      <c r="O24" s="99" t="s">
        <v>140</v>
      </c>
      <c r="P24" s="99" t="s">
        <v>141</v>
      </c>
      <c r="Q24" s="1"/>
      <c r="R24" s="1"/>
      <c r="AC24" s="100" t="s">
        <v>143</v>
      </c>
      <c r="AD24" s="100" t="s">
        <v>144</v>
      </c>
      <c r="AE24" s="100" t="s">
        <v>145</v>
      </c>
      <c r="AF24" s="100" t="s">
        <v>146</v>
      </c>
      <c r="AG24" s="100" t="s">
        <v>148</v>
      </c>
    </row>
    <row r="25" ht="15.75" customHeight="1">
      <c r="A25" s="1"/>
      <c r="B25" s="80">
        <v>8.0</v>
      </c>
      <c r="C25" s="94"/>
      <c r="D25" s="95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52"/>
      <c r="M26" s="152"/>
      <c r="N26" s="152"/>
      <c r="O26" s="152"/>
      <c r="P26" s="15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94"/>
      <c r="D27" s="95"/>
      <c r="E27" s="77"/>
      <c r="F27" s="1"/>
      <c r="G27" s="1"/>
      <c r="H27" s="1"/>
      <c r="I27" s="1"/>
      <c r="J27" s="1"/>
      <c r="K27" s="102" t="str">
        <f t="shared" si="2"/>
        <v/>
      </c>
      <c r="L27" s="152"/>
      <c r="M27" s="152"/>
      <c r="N27" s="152"/>
      <c r="O27" s="152"/>
      <c r="P27" s="15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2" t="str">
        <f t="shared" si="2"/>
        <v/>
      </c>
      <c r="L28" s="152"/>
      <c r="M28" s="152"/>
      <c r="N28" s="152"/>
      <c r="O28" s="152"/>
      <c r="P28" s="15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2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187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189</v>
      </c>
      <c r="M34" s="121" t="s">
        <v>190</v>
      </c>
    </row>
    <row r="35" ht="15.75" customHeight="1">
      <c r="K35" s="123" t="str">
        <f t="shared" ref="K35:K36" si="8">IF(O18="","",O18)</f>
        <v/>
      </c>
      <c r="L35" s="127"/>
      <c r="M35" s="127"/>
    </row>
    <row r="36" ht="15.75" customHeight="1">
      <c r="K36" s="123" t="str">
        <f t="shared" si="8"/>
        <v/>
      </c>
      <c r="L36" s="127"/>
      <c r="M36" s="127"/>
    </row>
    <row r="37" ht="15.75" customHeight="1"/>
    <row r="38" ht="19.5" customHeight="1">
      <c r="K38" s="129" t="s">
        <v>194</v>
      </c>
    </row>
    <row r="39" ht="19.5" customHeight="1">
      <c r="K39" s="130" t="s">
        <v>196</v>
      </c>
      <c r="M39" s="127"/>
    </row>
    <row r="40" ht="19.5" customHeight="1">
      <c r="K40" s="131" t="s">
        <v>197</v>
      </c>
      <c r="M40" s="132">
        <f>COUNTIF($I$4:$I$16,"DP")</f>
        <v>0</v>
      </c>
    </row>
    <row r="41" ht="19.5" customHeight="1">
      <c r="K41" s="131" t="s">
        <v>199</v>
      </c>
      <c r="M41" s="132">
        <f>COUNTIFS($I$4:$I$16,"&lt;&gt;DP",$I$4:$I$16,"&lt;&gt;")</f>
        <v>0</v>
      </c>
    </row>
    <row r="42" ht="19.5" customHeight="1">
      <c r="K42" s="133" t="s">
        <v>201</v>
      </c>
      <c r="M42" s="132">
        <f>M40+M41</f>
        <v>0</v>
      </c>
    </row>
    <row r="43" ht="19.5" customHeight="1">
      <c r="K43" s="130" t="s">
        <v>202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8"/>
      <c r="D4" s="62"/>
      <c r="E4" s="17"/>
      <c r="F4" s="18"/>
      <c r="G4" s="159"/>
      <c r="H4" s="63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89"/>
      <c r="D5" s="62"/>
      <c r="E5" s="17"/>
      <c r="F5" s="18"/>
      <c r="G5" s="159"/>
      <c r="H5" s="63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88"/>
      <c r="D6" s="62"/>
      <c r="E6" s="17"/>
      <c r="F6" s="18"/>
      <c r="G6" s="159"/>
      <c r="H6" s="63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88"/>
      <c r="D7" s="62"/>
      <c r="E7" s="17"/>
      <c r="F7" s="18"/>
      <c r="G7" s="159"/>
      <c r="H7" s="63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88"/>
      <c r="D8" s="62"/>
      <c r="E8" s="17"/>
      <c r="F8" s="18"/>
      <c r="G8" s="159"/>
      <c r="H8" s="63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88"/>
      <c r="D9" s="62"/>
      <c r="E9" s="17"/>
      <c r="F9" s="18"/>
      <c r="G9" s="159"/>
      <c r="H9" s="63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88"/>
      <c r="D10" s="62"/>
      <c r="E10" s="17"/>
      <c r="F10" s="18"/>
      <c r="G10" s="159"/>
      <c r="H10" s="63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88"/>
      <c r="D11" s="62"/>
      <c r="E11" s="17"/>
      <c r="F11" s="18"/>
      <c r="G11" s="159"/>
      <c r="H11" s="63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88"/>
      <c r="D12" s="62"/>
      <c r="E12" s="17"/>
      <c r="F12" s="18"/>
      <c r="G12" s="159"/>
      <c r="H12" s="63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88"/>
      <c r="D13" s="62"/>
      <c r="E13" s="17"/>
      <c r="F13" s="18"/>
      <c r="G13" s="159"/>
      <c r="H13" s="63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3" t="s">
        <v>7</v>
      </c>
      <c r="D17" s="73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114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5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7"/>
      <c r="F19" s="1"/>
      <c r="G19" s="1"/>
      <c r="H19" s="1"/>
      <c r="I19" s="1"/>
      <c r="J19" s="1"/>
      <c r="K19" s="1"/>
      <c r="L19" s="1"/>
      <c r="M19" s="1"/>
      <c r="N19" s="84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128</v>
      </c>
      <c r="O20" s="43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7"/>
      <c r="F21" s="1"/>
      <c r="G21" s="1"/>
      <c r="H21" s="1"/>
      <c r="I21" s="1"/>
      <c r="J21" s="1"/>
      <c r="K21" s="1"/>
      <c r="L21" s="1"/>
      <c r="M21" s="1"/>
      <c r="N21" s="93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7"/>
      <c r="F23" s="1"/>
      <c r="G23" s="1"/>
      <c r="H23" s="1"/>
      <c r="I23" s="1"/>
      <c r="J23" s="1"/>
      <c r="K23" s="98" t="s">
        <v>134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137</v>
      </c>
      <c r="M24" s="99" t="s">
        <v>138</v>
      </c>
      <c r="N24" s="99" t="s">
        <v>139</v>
      </c>
      <c r="O24" s="99" t="s">
        <v>140</v>
      </c>
      <c r="P24" s="99" t="s">
        <v>141</v>
      </c>
      <c r="Q24" s="1"/>
      <c r="R24" s="1"/>
      <c r="AC24" s="100" t="s">
        <v>143</v>
      </c>
      <c r="AD24" s="100" t="s">
        <v>144</v>
      </c>
      <c r="AE24" s="100" t="s">
        <v>145</v>
      </c>
      <c r="AF24" s="100" t="s">
        <v>146</v>
      </c>
      <c r="AG24" s="100" t="s">
        <v>148</v>
      </c>
    </row>
    <row r="25" ht="15.75" customHeight="1">
      <c r="A25" s="1"/>
      <c r="B25" s="80">
        <v>8.0</v>
      </c>
      <c r="C25" s="94"/>
      <c r="D25" s="95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52"/>
      <c r="M26" s="152"/>
      <c r="N26" s="152"/>
      <c r="O26" s="152"/>
      <c r="P26" s="15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94"/>
      <c r="D27" s="95"/>
      <c r="E27" s="77"/>
      <c r="F27" s="1"/>
      <c r="G27" s="1"/>
      <c r="H27" s="1"/>
      <c r="I27" s="1"/>
      <c r="J27" s="1"/>
      <c r="K27" s="102" t="str">
        <f t="shared" si="2"/>
        <v/>
      </c>
      <c r="L27" s="152"/>
      <c r="M27" s="152"/>
      <c r="N27" s="152"/>
      <c r="O27" s="152"/>
      <c r="P27" s="15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2" t="str">
        <f t="shared" si="2"/>
        <v/>
      </c>
      <c r="L28" s="152"/>
      <c r="M28" s="152"/>
      <c r="N28" s="152"/>
      <c r="O28" s="152"/>
      <c r="P28" s="15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2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187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189</v>
      </c>
      <c r="M34" s="121" t="s">
        <v>190</v>
      </c>
      <c r="N34" s="183" t="s">
        <v>191</v>
      </c>
    </row>
    <row r="35" ht="15.75" customHeight="1">
      <c r="K35" s="123" t="str">
        <f t="shared" ref="K35:K36" si="8">IF(O18="","",O18)</f>
        <v/>
      </c>
      <c r="L35" s="127"/>
      <c r="M35" s="127"/>
      <c r="N35" s="184"/>
    </row>
    <row r="36" ht="15.75" customHeight="1">
      <c r="K36" s="123" t="str">
        <f t="shared" si="8"/>
        <v/>
      </c>
      <c r="L36" s="127"/>
      <c r="M36" s="127"/>
      <c r="N36" s="184"/>
    </row>
    <row r="37" ht="15.75" customHeight="1"/>
    <row r="38" ht="19.5" customHeight="1">
      <c r="K38" s="129" t="s">
        <v>194</v>
      </c>
    </row>
    <row r="39" ht="19.5" customHeight="1">
      <c r="K39" s="130" t="s">
        <v>196</v>
      </c>
      <c r="M39" s="127"/>
    </row>
    <row r="40" ht="19.5" customHeight="1">
      <c r="K40" s="131" t="s">
        <v>197</v>
      </c>
      <c r="M40" s="132">
        <f>COUNTIF($I$4:$I$16,"DP")</f>
        <v>0</v>
      </c>
    </row>
    <row r="41" ht="19.5" customHeight="1">
      <c r="K41" s="131" t="s">
        <v>199</v>
      </c>
      <c r="M41" s="132">
        <f>COUNTIFS($I$4:$I$16,"&lt;&gt;DP",$I$4:$I$16,"&lt;&gt;")</f>
        <v>0</v>
      </c>
    </row>
    <row r="42" ht="19.5" customHeight="1">
      <c r="K42" s="133" t="s">
        <v>201</v>
      </c>
      <c r="M42" s="132">
        <f>M40+M41</f>
        <v>0</v>
      </c>
    </row>
    <row r="43" ht="19.5" customHeight="1">
      <c r="K43" s="130" t="s">
        <v>202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8"/>
      <c r="D4" s="62"/>
      <c r="E4" s="17"/>
      <c r="F4" s="178"/>
      <c r="G4" s="159"/>
      <c r="H4" s="63"/>
      <c r="I4" s="18"/>
      <c r="J4" s="18"/>
      <c r="K4" s="18"/>
      <c r="L4" s="18"/>
      <c r="M4" s="18"/>
      <c r="N4" s="35"/>
      <c r="O4" s="35"/>
      <c r="P4" s="35"/>
      <c r="Q4" s="1"/>
      <c r="R4" s="1"/>
    </row>
    <row r="5" ht="15.75" customHeight="1">
      <c r="A5" s="1"/>
      <c r="B5" s="18">
        <v>2.0</v>
      </c>
      <c r="C5" s="88"/>
      <c r="D5" s="62"/>
      <c r="E5" s="17"/>
      <c r="F5" s="178"/>
      <c r="G5" s="159"/>
      <c r="H5" s="63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88"/>
      <c r="D6" s="62"/>
      <c r="E6" s="17"/>
      <c r="F6" s="178"/>
      <c r="G6" s="159"/>
      <c r="H6" s="63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88"/>
      <c r="D7" s="62"/>
      <c r="E7" s="17"/>
      <c r="F7" s="178"/>
      <c r="G7" s="159"/>
      <c r="H7" s="63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88"/>
      <c r="D8" s="62"/>
      <c r="E8" s="17"/>
      <c r="F8" s="178"/>
      <c r="G8" s="159"/>
      <c r="H8" s="63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88"/>
      <c r="D9" s="62"/>
      <c r="E9" s="17"/>
      <c r="F9" s="178"/>
      <c r="G9" s="159"/>
      <c r="H9" s="63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88"/>
      <c r="D10" s="62"/>
      <c r="E10" s="17"/>
      <c r="F10" s="105"/>
      <c r="G10" s="159"/>
      <c r="H10" s="63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70"/>
      <c r="D11" s="62"/>
      <c r="E11" s="17"/>
      <c r="F11" s="178"/>
      <c r="G11" s="159"/>
      <c r="H11" s="63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88"/>
      <c r="D12" s="62"/>
      <c r="E12" s="17"/>
      <c r="F12" s="178"/>
      <c r="G12" s="159"/>
      <c r="H12" s="63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88"/>
      <c r="D13" s="62"/>
      <c r="E13" s="17"/>
      <c r="F13" s="105"/>
      <c r="G13" s="159"/>
      <c r="H13" s="63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3" t="s">
        <v>7</v>
      </c>
      <c r="D17" s="73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114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5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7"/>
      <c r="F19" s="1"/>
      <c r="G19" s="1"/>
      <c r="H19" s="1"/>
      <c r="I19" s="1"/>
      <c r="J19" s="1"/>
      <c r="K19" s="1"/>
      <c r="L19" s="1"/>
      <c r="M19" s="1"/>
      <c r="N19" s="84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128</v>
      </c>
      <c r="O20" s="43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7"/>
      <c r="F21" s="1"/>
      <c r="G21" s="1"/>
      <c r="H21" s="1"/>
      <c r="I21" s="1"/>
      <c r="J21" s="1"/>
      <c r="K21" s="1"/>
      <c r="L21" s="1"/>
      <c r="M21" s="1"/>
      <c r="N21" s="93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7"/>
      <c r="F23" s="1"/>
      <c r="G23" s="1"/>
      <c r="H23" s="1"/>
      <c r="I23" s="1"/>
      <c r="J23" s="1"/>
      <c r="K23" s="98" t="s">
        <v>134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137</v>
      </c>
      <c r="M24" s="99" t="s">
        <v>138</v>
      </c>
      <c r="N24" s="99" t="s">
        <v>139</v>
      </c>
      <c r="O24" s="99" t="s">
        <v>140</v>
      </c>
      <c r="P24" s="99" t="s">
        <v>141</v>
      </c>
      <c r="Q24" s="1"/>
      <c r="R24" s="1"/>
      <c r="AC24" s="100" t="s">
        <v>143</v>
      </c>
      <c r="AD24" s="100" t="s">
        <v>144</v>
      </c>
      <c r="AE24" s="100" t="s">
        <v>145</v>
      </c>
      <c r="AF24" s="100" t="s">
        <v>146</v>
      </c>
      <c r="AG24" s="100" t="s">
        <v>148</v>
      </c>
    </row>
    <row r="25" ht="15.75" customHeight="1">
      <c r="A25" s="1"/>
      <c r="B25" s="80">
        <v>8.0</v>
      </c>
      <c r="C25" s="94"/>
      <c r="D25" s="95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52"/>
      <c r="M26" s="152"/>
      <c r="N26" s="152"/>
      <c r="O26" s="152"/>
      <c r="P26" s="15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94"/>
      <c r="D27" s="95"/>
      <c r="E27" s="77"/>
      <c r="F27" s="1"/>
      <c r="G27" s="1"/>
      <c r="H27" s="1"/>
      <c r="I27" s="1"/>
      <c r="J27" s="1"/>
      <c r="K27" s="102" t="str">
        <f t="shared" si="2"/>
        <v/>
      </c>
      <c r="L27" s="152"/>
      <c r="M27" s="152"/>
      <c r="N27" s="152"/>
      <c r="O27" s="152"/>
      <c r="P27" s="15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2" t="str">
        <f t="shared" si="2"/>
        <v/>
      </c>
      <c r="L28" s="152"/>
      <c r="M28" s="152"/>
      <c r="N28" s="152"/>
      <c r="O28" s="152"/>
      <c r="P28" s="15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2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187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189</v>
      </c>
      <c r="M34" s="121" t="s">
        <v>190</v>
      </c>
      <c r="N34" s="183" t="s">
        <v>191</v>
      </c>
    </row>
    <row r="35" ht="15.75" customHeight="1">
      <c r="K35" s="123" t="str">
        <f t="shared" ref="K35:K36" si="8">IF(O18="","",O18)</f>
        <v/>
      </c>
      <c r="L35" s="127"/>
      <c r="M35" s="127"/>
      <c r="N35" s="184"/>
    </row>
    <row r="36" ht="15.75" customHeight="1">
      <c r="K36" s="123" t="str">
        <f t="shared" si="8"/>
        <v/>
      </c>
      <c r="L36" s="127"/>
      <c r="M36" s="127"/>
      <c r="N36" s="184"/>
    </row>
    <row r="37" ht="15.75" customHeight="1"/>
    <row r="38" ht="19.5" customHeight="1">
      <c r="K38" s="129" t="s">
        <v>194</v>
      </c>
    </row>
    <row r="39" ht="19.5" customHeight="1">
      <c r="K39" s="130" t="s">
        <v>196</v>
      </c>
      <c r="M39" s="127"/>
    </row>
    <row r="40" ht="19.5" customHeight="1">
      <c r="K40" s="131" t="s">
        <v>197</v>
      </c>
      <c r="M40" s="132">
        <f>COUNTIF($I$4:$I$16,"DP")</f>
        <v>0</v>
      </c>
    </row>
    <row r="41" ht="19.5" customHeight="1">
      <c r="K41" s="131" t="s">
        <v>199</v>
      </c>
      <c r="M41" s="132">
        <f>COUNTIFS($I$4:$I$16,"&lt;&gt;DP",$I$4:$I$16,"&lt;&gt;")</f>
        <v>0</v>
      </c>
    </row>
    <row r="42" ht="19.5" customHeight="1">
      <c r="K42" s="133" t="s">
        <v>201</v>
      </c>
      <c r="M42" s="132">
        <f>M40+M41</f>
        <v>0</v>
      </c>
    </row>
    <row r="43" ht="19.5" customHeight="1">
      <c r="K43" s="130" t="s">
        <v>202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8"/>
      <c r="D4" s="62"/>
      <c r="E4" s="17"/>
      <c r="F4" s="18"/>
      <c r="G4" s="159"/>
      <c r="H4" s="63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8"/>
      <c r="D5" s="62"/>
      <c r="E5" s="17"/>
      <c r="F5" s="18"/>
      <c r="G5" s="159"/>
      <c r="H5" s="63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88"/>
      <c r="D6" s="62"/>
      <c r="E6" s="17"/>
      <c r="F6" s="18"/>
      <c r="G6" s="159"/>
      <c r="H6" s="63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88"/>
      <c r="D7" s="62"/>
      <c r="E7" s="17"/>
      <c r="F7" s="18"/>
      <c r="G7" s="159"/>
      <c r="H7" s="63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88"/>
      <c r="D8" s="62"/>
      <c r="E8" s="17"/>
      <c r="F8" s="18"/>
      <c r="G8" s="159"/>
      <c r="H8" s="63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88"/>
      <c r="D9" s="62"/>
      <c r="E9" s="17"/>
      <c r="F9" s="18"/>
      <c r="G9" s="159"/>
      <c r="H9" s="63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88"/>
      <c r="D10" s="62"/>
      <c r="E10" s="17"/>
      <c r="F10" s="18"/>
      <c r="G10" s="159"/>
      <c r="H10" s="63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88"/>
      <c r="D11" s="62"/>
      <c r="E11" s="17"/>
      <c r="F11" s="18"/>
      <c r="G11" s="63"/>
      <c r="H11" s="63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88"/>
      <c r="D12" s="62"/>
      <c r="E12" s="17"/>
      <c r="F12" s="18"/>
      <c r="G12" s="159"/>
      <c r="H12" s="63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88"/>
      <c r="D13" s="62"/>
      <c r="E13" s="17"/>
      <c r="F13" s="18"/>
      <c r="G13" s="159"/>
      <c r="H13" s="63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3" t="s">
        <v>7</v>
      </c>
      <c r="D17" s="73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114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5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7"/>
      <c r="F19" s="1"/>
      <c r="G19" s="1"/>
      <c r="H19" s="1"/>
      <c r="I19" s="1"/>
      <c r="J19" s="1"/>
      <c r="K19" s="1"/>
      <c r="L19" s="1"/>
      <c r="M19" s="1"/>
      <c r="N19" s="84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128</v>
      </c>
      <c r="O20" s="43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7"/>
      <c r="F21" s="1"/>
      <c r="G21" s="1"/>
      <c r="H21" s="1"/>
      <c r="I21" s="1"/>
      <c r="J21" s="1"/>
      <c r="K21" s="1"/>
      <c r="L21" s="1"/>
      <c r="M21" s="1"/>
      <c r="N21" s="93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7"/>
      <c r="F23" s="1"/>
      <c r="G23" s="1"/>
      <c r="H23" s="1"/>
      <c r="I23" s="1"/>
      <c r="J23" s="1"/>
      <c r="K23" s="98" t="s">
        <v>134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137</v>
      </c>
      <c r="M24" s="99" t="s">
        <v>138</v>
      </c>
      <c r="N24" s="99" t="s">
        <v>139</v>
      </c>
      <c r="O24" s="99" t="s">
        <v>140</v>
      </c>
      <c r="P24" s="99" t="s">
        <v>141</v>
      </c>
      <c r="Q24" s="1"/>
      <c r="R24" s="1"/>
      <c r="AC24" s="100" t="s">
        <v>143</v>
      </c>
      <c r="AD24" s="100" t="s">
        <v>144</v>
      </c>
      <c r="AE24" s="100" t="s">
        <v>145</v>
      </c>
      <c r="AF24" s="100" t="s">
        <v>146</v>
      </c>
      <c r="AG24" s="100" t="s">
        <v>148</v>
      </c>
    </row>
    <row r="25" ht="15.75" customHeight="1">
      <c r="A25" s="1"/>
      <c r="B25" s="80">
        <v>8.0</v>
      </c>
      <c r="C25" s="94"/>
      <c r="D25" s="95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52"/>
      <c r="M26" s="152"/>
      <c r="N26" s="152"/>
      <c r="O26" s="152"/>
      <c r="P26" s="15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94"/>
      <c r="D27" s="95"/>
      <c r="E27" s="77"/>
      <c r="F27" s="1"/>
      <c r="G27" s="1"/>
      <c r="H27" s="1"/>
      <c r="I27" s="1"/>
      <c r="J27" s="1"/>
      <c r="K27" s="102" t="str">
        <f t="shared" si="2"/>
        <v/>
      </c>
      <c r="L27" s="152"/>
      <c r="M27" s="152"/>
      <c r="N27" s="152"/>
      <c r="O27" s="152"/>
      <c r="P27" s="15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2" t="str">
        <f t="shared" si="2"/>
        <v/>
      </c>
      <c r="L28" s="152"/>
      <c r="M28" s="152"/>
      <c r="N28" s="152"/>
      <c r="O28" s="152"/>
      <c r="P28" s="15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2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187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189</v>
      </c>
      <c r="M34" s="121" t="s">
        <v>190</v>
      </c>
    </row>
    <row r="35" ht="15.75" customHeight="1">
      <c r="K35" s="123" t="str">
        <f t="shared" ref="K35:K36" si="8">IF(O18="","",O18)</f>
        <v/>
      </c>
      <c r="L35" s="127"/>
      <c r="M35" s="127"/>
    </row>
    <row r="36" ht="15.75" customHeight="1">
      <c r="K36" s="123" t="str">
        <f t="shared" si="8"/>
        <v/>
      </c>
      <c r="L36" s="127"/>
      <c r="M36" s="127"/>
    </row>
    <row r="37" ht="15.75" customHeight="1"/>
    <row r="38" ht="19.5" customHeight="1">
      <c r="K38" s="129" t="s">
        <v>194</v>
      </c>
    </row>
    <row r="39" ht="19.5" customHeight="1">
      <c r="K39" s="130" t="s">
        <v>196</v>
      </c>
      <c r="M39" s="127"/>
    </row>
    <row r="40" ht="19.5" customHeight="1">
      <c r="K40" s="131" t="s">
        <v>197</v>
      </c>
      <c r="M40" s="132">
        <f>COUNTIF($I$4:$I$16,"DP")</f>
        <v>0</v>
      </c>
    </row>
    <row r="41" ht="19.5" customHeight="1">
      <c r="K41" s="131" t="s">
        <v>199</v>
      </c>
      <c r="M41" s="132">
        <f>COUNTIFS($I$4:$I$16,"&lt;&gt;DP",$I$4:$I$16,"&lt;&gt;")</f>
        <v>0</v>
      </c>
    </row>
    <row r="42" ht="19.5" customHeight="1">
      <c r="K42" s="133" t="s">
        <v>201</v>
      </c>
      <c r="M42" s="132">
        <f>M40+M41</f>
        <v>0</v>
      </c>
    </row>
    <row r="43" ht="19.5" customHeight="1">
      <c r="K43" s="130" t="s">
        <v>202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8"/>
      <c r="D4" s="62"/>
      <c r="E4" s="17"/>
      <c r="F4" s="108"/>
      <c r="G4" s="159"/>
      <c r="H4" s="63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8"/>
      <c r="D5" s="62"/>
      <c r="E5" s="17"/>
      <c r="F5" s="108"/>
      <c r="G5" s="159"/>
      <c r="H5" s="63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88"/>
      <c r="D6" s="62"/>
      <c r="E6" s="17"/>
      <c r="F6" s="105"/>
      <c r="G6" s="159"/>
      <c r="H6" s="63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88"/>
      <c r="D7" s="62"/>
      <c r="E7" s="17"/>
      <c r="F7" s="105"/>
      <c r="G7" s="159"/>
      <c r="H7" s="63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88"/>
      <c r="D8" s="62"/>
      <c r="E8" s="17"/>
      <c r="F8" s="105"/>
      <c r="G8" s="159"/>
      <c r="H8" s="63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88"/>
      <c r="D9" s="62"/>
      <c r="E9" s="17"/>
      <c r="F9" s="18"/>
      <c r="G9" s="159"/>
      <c r="H9" s="63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88"/>
      <c r="D10" s="62"/>
      <c r="E10" s="17"/>
      <c r="F10" s="18"/>
      <c r="G10" s="159"/>
      <c r="H10" s="63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88"/>
      <c r="D11" s="62"/>
      <c r="E11" s="17"/>
      <c r="F11" s="18"/>
      <c r="G11" s="159"/>
      <c r="H11" s="63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88"/>
      <c r="D12" s="62"/>
      <c r="E12" s="17"/>
      <c r="F12" s="105"/>
      <c r="G12" s="159"/>
      <c r="H12" s="63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88"/>
      <c r="D13" s="62"/>
      <c r="E13" s="17"/>
      <c r="F13" s="178"/>
      <c r="G13" s="159"/>
      <c r="H13" s="63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3" t="s">
        <v>7</v>
      </c>
      <c r="D17" s="73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114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5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7"/>
      <c r="F19" s="1"/>
      <c r="G19" s="1"/>
      <c r="H19" s="1"/>
      <c r="I19" s="1"/>
      <c r="J19" s="1"/>
      <c r="K19" s="1"/>
      <c r="L19" s="1"/>
      <c r="M19" s="1"/>
      <c r="N19" s="84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128</v>
      </c>
      <c r="O20" s="43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7"/>
      <c r="F21" s="1"/>
      <c r="G21" s="1"/>
      <c r="H21" s="1"/>
      <c r="I21" s="1"/>
      <c r="J21" s="1"/>
      <c r="K21" s="1"/>
      <c r="L21" s="1"/>
      <c r="M21" s="1"/>
      <c r="N21" s="93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7"/>
      <c r="F23" s="96"/>
      <c r="G23" s="1"/>
      <c r="H23" s="1"/>
      <c r="I23" s="1"/>
      <c r="J23" s="1"/>
      <c r="K23" s="98" t="s">
        <v>134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137</v>
      </c>
      <c r="M24" s="99" t="s">
        <v>138</v>
      </c>
      <c r="N24" s="99" t="s">
        <v>139</v>
      </c>
      <c r="O24" s="99" t="s">
        <v>140</v>
      </c>
      <c r="P24" s="99" t="s">
        <v>141</v>
      </c>
      <c r="Q24" s="1"/>
      <c r="R24" s="1"/>
      <c r="AC24" s="100" t="s">
        <v>143</v>
      </c>
      <c r="AD24" s="100" t="s">
        <v>144</v>
      </c>
      <c r="AE24" s="100" t="s">
        <v>145</v>
      </c>
      <c r="AF24" s="100" t="s">
        <v>146</v>
      </c>
      <c r="AG24" s="100" t="s">
        <v>148</v>
      </c>
    </row>
    <row r="25" ht="15.75" customHeight="1">
      <c r="A25" s="1"/>
      <c r="B25" s="80">
        <v>8.0</v>
      </c>
      <c r="C25" s="94"/>
      <c r="D25" s="95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52"/>
      <c r="M26" s="152"/>
      <c r="N26" s="152"/>
      <c r="O26" s="152"/>
      <c r="P26" s="15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94"/>
      <c r="D27" s="95"/>
      <c r="E27" s="77"/>
      <c r="F27" s="1"/>
      <c r="G27" s="1"/>
      <c r="H27" s="1"/>
      <c r="I27" s="1"/>
      <c r="J27" s="1"/>
      <c r="K27" s="102" t="str">
        <f t="shared" si="2"/>
        <v/>
      </c>
      <c r="L27" s="152"/>
      <c r="M27" s="152"/>
      <c r="N27" s="152"/>
      <c r="O27" s="152"/>
      <c r="P27" s="15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2" t="str">
        <f t="shared" si="2"/>
        <v/>
      </c>
      <c r="L28" s="152"/>
      <c r="M28" s="152"/>
      <c r="N28" s="152"/>
      <c r="O28" s="152"/>
      <c r="P28" s="15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2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187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189</v>
      </c>
      <c r="M34" s="121" t="s">
        <v>190</v>
      </c>
    </row>
    <row r="35" ht="15.75" customHeight="1">
      <c r="K35" s="123" t="str">
        <f t="shared" ref="K35:K36" si="8">IF(O18="","",O18)</f>
        <v/>
      </c>
      <c r="L35" s="127"/>
      <c r="M35" s="127"/>
    </row>
    <row r="36" ht="15.75" customHeight="1">
      <c r="K36" s="123" t="str">
        <f t="shared" si="8"/>
        <v/>
      </c>
      <c r="L36" s="127"/>
      <c r="M36" s="127"/>
    </row>
    <row r="37" ht="15.75" customHeight="1"/>
    <row r="38" ht="19.5" customHeight="1">
      <c r="K38" s="129" t="s">
        <v>194</v>
      </c>
    </row>
    <row r="39" ht="19.5" customHeight="1">
      <c r="K39" s="130" t="s">
        <v>196</v>
      </c>
      <c r="M39" s="127"/>
    </row>
    <row r="40" ht="19.5" customHeight="1">
      <c r="K40" s="131" t="s">
        <v>197</v>
      </c>
      <c r="M40" s="132">
        <f>COUNTIF($I$4:$I$16,"DP")</f>
        <v>0</v>
      </c>
    </row>
    <row r="41" ht="19.5" customHeight="1">
      <c r="K41" s="131" t="s">
        <v>199</v>
      </c>
      <c r="M41" s="132">
        <f>COUNTIFS($I$4:$I$16,"&lt;&gt;DP",$I$4:$I$16,"&lt;&gt;")</f>
        <v>0</v>
      </c>
    </row>
    <row r="42" ht="19.5" customHeight="1">
      <c r="K42" s="133" t="s">
        <v>201</v>
      </c>
      <c r="M42" s="132">
        <f>M40+M41</f>
        <v>0</v>
      </c>
    </row>
    <row r="43" ht="19.5" customHeight="1">
      <c r="K43" s="130" t="s">
        <v>202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8"/>
      <c r="D4" s="62"/>
      <c r="E4" s="17"/>
      <c r="F4" s="18"/>
      <c r="G4" s="159"/>
      <c r="H4" s="63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8"/>
      <c r="D5" s="62"/>
      <c r="E5" s="17"/>
      <c r="F5" s="18"/>
      <c r="G5" s="159"/>
      <c r="H5" s="63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88"/>
      <c r="D6" s="62"/>
      <c r="E6" s="17"/>
      <c r="F6" s="18"/>
      <c r="G6" s="159"/>
      <c r="H6" s="63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88"/>
      <c r="D7" s="62"/>
      <c r="E7" s="17"/>
      <c r="F7" s="178"/>
      <c r="G7" s="159"/>
      <c r="H7" s="63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88"/>
      <c r="D8" s="62"/>
      <c r="E8" s="17"/>
      <c r="F8" s="178"/>
      <c r="G8" s="159"/>
      <c r="H8" s="63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88"/>
      <c r="D9" s="62"/>
      <c r="E9" s="17"/>
      <c r="F9" s="178"/>
      <c r="G9" s="159"/>
      <c r="H9" s="63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88"/>
      <c r="D10" s="62"/>
      <c r="E10" s="17"/>
      <c r="F10" s="178"/>
      <c r="G10" s="159"/>
      <c r="H10" s="63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88"/>
      <c r="D11" s="62"/>
      <c r="E11" s="17"/>
      <c r="F11" s="178"/>
      <c r="G11" s="159"/>
      <c r="H11" s="63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88"/>
      <c r="D12" s="62"/>
      <c r="E12" s="17"/>
      <c r="F12" s="178"/>
      <c r="G12" s="159"/>
      <c r="H12" s="63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33">
        <v>10.0</v>
      </c>
      <c r="C13" s="88"/>
      <c r="D13" s="62"/>
      <c r="E13" s="17"/>
      <c r="F13" s="178"/>
      <c r="G13" s="159"/>
      <c r="H13" s="63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3" t="s">
        <v>7</v>
      </c>
      <c r="D17" s="73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114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5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7"/>
      <c r="F19" s="1"/>
      <c r="G19" s="1"/>
      <c r="H19" s="1"/>
      <c r="I19" s="1"/>
      <c r="J19" s="1"/>
      <c r="K19" s="1"/>
      <c r="L19" s="1"/>
      <c r="M19" s="1"/>
      <c r="N19" s="84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128</v>
      </c>
      <c r="O20" s="43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7"/>
      <c r="F21" s="1"/>
      <c r="G21" s="1"/>
      <c r="H21" s="1"/>
      <c r="I21" s="1"/>
      <c r="J21" s="1"/>
      <c r="K21" s="1"/>
      <c r="L21" s="1"/>
      <c r="M21" s="1"/>
      <c r="N21" s="93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7"/>
      <c r="F23" s="1"/>
      <c r="G23" s="1"/>
      <c r="H23" s="1"/>
      <c r="I23" s="1"/>
      <c r="J23" s="1"/>
      <c r="K23" s="98" t="s">
        <v>134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137</v>
      </c>
      <c r="M24" s="99" t="s">
        <v>138</v>
      </c>
      <c r="N24" s="99" t="s">
        <v>139</v>
      </c>
      <c r="O24" s="99" t="s">
        <v>140</v>
      </c>
      <c r="P24" s="99" t="s">
        <v>141</v>
      </c>
      <c r="Q24" s="1"/>
      <c r="R24" s="1"/>
      <c r="AC24" s="100" t="s">
        <v>143</v>
      </c>
      <c r="AD24" s="100" t="s">
        <v>144</v>
      </c>
      <c r="AE24" s="100" t="s">
        <v>145</v>
      </c>
      <c r="AF24" s="100" t="s">
        <v>146</v>
      </c>
      <c r="AG24" s="100" t="s">
        <v>148</v>
      </c>
    </row>
    <row r="25" ht="15.75" customHeight="1">
      <c r="A25" s="1"/>
      <c r="B25" s="80">
        <v>8.0</v>
      </c>
      <c r="C25" s="94"/>
      <c r="D25" s="95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52"/>
      <c r="M26" s="152"/>
      <c r="N26" s="152"/>
      <c r="O26" s="152"/>
      <c r="P26" s="15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94"/>
      <c r="D27" s="95"/>
      <c r="E27" s="77"/>
      <c r="F27" s="1"/>
      <c r="G27" s="1"/>
      <c r="H27" s="1"/>
      <c r="I27" s="1"/>
      <c r="J27" s="1"/>
      <c r="K27" s="102" t="str">
        <f t="shared" si="2"/>
        <v/>
      </c>
      <c r="L27" s="152"/>
      <c r="M27" s="152"/>
      <c r="N27" s="152"/>
      <c r="O27" s="152"/>
      <c r="P27" s="15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2" t="str">
        <f t="shared" si="2"/>
        <v/>
      </c>
      <c r="L28" s="152"/>
      <c r="M28" s="152"/>
      <c r="N28" s="152"/>
      <c r="O28" s="152"/>
      <c r="P28" s="15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2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187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189</v>
      </c>
      <c r="M34" s="121" t="s">
        <v>190</v>
      </c>
    </row>
    <row r="35" ht="15.75" customHeight="1">
      <c r="K35" s="123" t="str">
        <f t="shared" ref="K35:K36" si="8">IF(O18="","",O18)</f>
        <v/>
      </c>
      <c r="L35" s="127"/>
      <c r="M35" s="127"/>
    </row>
    <row r="36" ht="15.75" customHeight="1">
      <c r="K36" s="123" t="str">
        <f t="shared" si="8"/>
        <v/>
      </c>
      <c r="L36" s="127"/>
      <c r="M36" s="127"/>
    </row>
    <row r="37" ht="15.75" customHeight="1"/>
    <row r="38" ht="19.5" customHeight="1">
      <c r="K38" s="129" t="s">
        <v>194</v>
      </c>
    </row>
    <row r="39" ht="19.5" customHeight="1">
      <c r="K39" s="130" t="s">
        <v>196</v>
      </c>
      <c r="M39" s="127"/>
    </row>
    <row r="40" ht="19.5" customHeight="1">
      <c r="K40" s="131" t="s">
        <v>197</v>
      </c>
      <c r="M40" s="132">
        <f>COUNTIF($I$4:$I$16,"DP")</f>
        <v>0</v>
      </c>
    </row>
    <row r="41" ht="19.5" customHeight="1">
      <c r="K41" s="131" t="s">
        <v>199</v>
      </c>
      <c r="M41" s="132">
        <f>COUNTIFS($I$4:$I$16,"&lt;&gt;DP",$I$4:$I$16,"&lt;&gt;")</f>
        <v>0</v>
      </c>
    </row>
    <row r="42" ht="19.5" customHeight="1">
      <c r="K42" s="133" t="s">
        <v>201</v>
      </c>
      <c r="M42" s="132">
        <f>M40+M41</f>
        <v>0</v>
      </c>
    </row>
    <row r="43" ht="19.5" customHeight="1">
      <c r="K43" s="130" t="s">
        <v>202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62"/>
      <c r="D4" s="64"/>
      <c r="E4" s="24"/>
      <c r="F4" s="65"/>
      <c r="G4" s="30"/>
      <c r="H4" s="40"/>
      <c r="I4" s="17"/>
      <c r="J4" s="176"/>
      <c r="K4" s="176"/>
      <c r="L4" s="17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8"/>
      <c r="D5" s="62"/>
      <c r="E5" s="17"/>
      <c r="F5" s="108"/>
      <c r="G5" s="159"/>
      <c r="H5" s="63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88"/>
      <c r="D6" s="62"/>
      <c r="E6" s="17"/>
      <c r="F6" s="178"/>
      <c r="G6" s="159"/>
      <c r="H6" s="63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88"/>
      <c r="D7" s="62"/>
      <c r="E7" s="17"/>
      <c r="F7" s="178"/>
      <c r="G7" s="159"/>
      <c r="H7" s="63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88"/>
      <c r="D8" s="62"/>
      <c r="E8" s="17"/>
      <c r="F8" s="178"/>
      <c r="G8" s="159"/>
      <c r="H8" s="63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89"/>
      <c r="D9" s="62"/>
      <c r="E9" s="17"/>
      <c r="F9" s="178"/>
      <c r="G9" s="159"/>
      <c r="H9" s="63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88"/>
      <c r="D10" s="62"/>
      <c r="E10" s="17"/>
      <c r="F10" s="178"/>
      <c r="G10" s="159"/>
      <c r="H10" s="63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88"/>
      <c r="D11" s="62"/>
      <c r="E11" s="17"/>
      <c r="F11" s="178"/>
      <c r="G11" s="159"/>
      <c r="H11" s="63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88"/>
      <c r="D12" s="62"/>
      <c r="E12" s="17"/>
      <c r="F12" s="178"/>
      <c r="G12" s="159"/>
      <c r="H12" s="63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88"/>
      <c r="D13" s="62"/>
      <c r="E13" s="17"/>
      <c r="F13" s="178"/>
      <c r="G13" s="159"/>
      <c r="H13" s="63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3" t="s">
        <v>7</v>
      </c>
      <c r="D17" s="73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114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5"/>
      <c r="P18" s="1"/>
      <c r="Q18" s="1"/>
      <c r="R18" s="1"/>
    </row>
    <row r="19" ht="15.75" customHeight="1">
      <c r="A19" s="1"/>
      <c r="B19" s="80">
        <v>2.0</v>
      </c>
      <c r="C19" s="94"/>
      <c r="D19" s="95"/>
      <c r="E19" s="77"/>
      <c r="F19" s="1"/>
      <c r="G19" s="1"/>
      <c r="H19" s="1"/>
      <c r="I19" s="1"/>
      <c r="J19" s="1"/>
      <c r="K19" s="1"/>
      <c r="L19" s="1"/>
      <c r="M19" s="1"/>
      <c r="N19" s="84" t="s">
        <v>125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128</v>
      </c>
      <c r="O20" s="43"/>
      <c r="P20" s="1"/>
      <c r="Q20" s="1"/>
      <c r="R20" s="1"/>
    </row>
    <row r="21" ht="15.75" customHeight="1">
      <c r="A21" s="1"/>
      <c r="B21" s="80">
        <v>4.0</v>
      </c>
      <c r="C21" s="94"/>
      <c r="D21" s="95"/>
      <c r="E21" s="77"/>
      <c r="F21" s="1"/>
      <c r="G21" s="1"/>
      <c r="H21" s="1"/>
      <c r="I21" s="1"/>
      <c r="J21" s="1"/>
      <c r="K21" s="1"/>
      <c r="L21" s="1"/>
      <c r="M21" s="1"/>
      <c r="N21" s="93" t="s">
        <v>131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0">
        <v>6.0</v>
      </c>
      <c r="C23" s="94"/>
      <c r="D23" s="95"/>
      <c r="E23" s="77"/>
      <c r="F23" s="1"/>
      <c r="G23" s="1"/>
      <c r="H23" s="1"/>
      <c r="I23" s="1"/>
      <c r="J23" s="1"/>
      <c r="K23" s="98" t="s">
        <v>134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137</v>
      </c>
      <c r="M24" s="99" t="s">
        <v>138</v>
      </c>
      <c r="N24" s="99" t="s">
        <v>139</v>
      </c>
      <c r="O24" s="99" t="s">
        <v>140</v>
      </c>
      <c r="P24" s="99" t="s">
        <v>141</v>
      </c>
      <c r="Q24" s="1"/>
      <c r="R24" s="1"/>
      <c r="AC24" s="100" t="s">
        <v>143</v>
      </c>
      <c r="AD24" s="100" t="s">
        <v>144</v>
      </c>
      <c r="AE24" s="100" t="s">
        <v>145</v>
      </c>
      <c r="AF24" s="100" t="s">
        <v>146</v>
      </c>
      <c r="AG24" s="100" t="s">
        <v>148</v>
      </c>
    </row>
    <row r="25" ht="15.75" customHeight="1">
      <c r="A25" s="1"/>
      <c r="B25" s="80">
        <v>8.0</v>
      </c>
      <c r="C25" s="94"/>
      <c r="D25" s="95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52"/>
      <c r="M26" s="152"/>
      <c r="N26" s="152"/>
      <c r="O26" s="152"/>
      <c r="P26" s="152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94"/>
      <c r="D27" s="95"/>
      <c r="E27" s="77"/>
      <c r="F27" s="1"/>
      <c r="G27" s="1"/>
      <c r="H27" s="1"/>
      <c r="I27" s="1"/>
      <c r="J27" s="1"/>
      <c r="K27" s="102" t="str">
        <f t="shared" si="2"/>
        <v/>
      </c>
      <c r="L27" s="152"/>
      <c r="M27" s="152"/>
      <c r="N27" s="152"/>
      <c r="O27" s="152"/>
      <c r="P27" s="152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2" t="str">
        <f t="shared" si="2"/>
        <v/>
      </c>
      <c r="L28" s="152"/>
      <c r="M28" s="152"/>
      <c r="N28" s="152"/>
      <c r="O28" s="152"/>
      <c r="P28" s="152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2"/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187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189</v>
      </c>
      <c r="M34" s="121" t="s">
        <v>190</v>
      </c>
      <c r="N34" s="183" t="s">
        <v>191</v>
      </c>
    </row>
    <row r="35" ht="15.75" customHeight="1">
      <c r="K35" s="123" t="str">
        <f t="shared" ref="K35:K36" si="8">IF(O18="","",O18)</f>
        <v/>
      </c>
      <c r="L35" s="127"/>
      <c r="M35" s="127"/>
      <c r="N35" s="184"/>
    </row>
    <row r="36" ht="15.75" customHeight="1">
      <c r="K36" s="123" t="str">
        <f t="shared" si="8"/>
        <v/>
      </c>
      <c r="L36" s="127"/>
      <c r="M36" s="127"/>
      <c r="N36" s="184"/>
    </row>
    <row r="37" ht="15.75" customHeight="1"/>
    <row r="38" ht="19.5" customHeight="1">
      <c r="K38" s="129" t="s">
        <v>194</v>
      </c>
    </row>
    <row r="39" ht="19.5" customHeight="1">
      <c r="K39" s="130" t="s">
        <v>196</v>
      </c>
      <c r="M39" s="127"/>
    </row>
    <row r="40" ht="19.5" customHeight="1">
      <c r="K40" s="131" t="s">
        <v>197</v>
      </c>
      <c r="M40" s="132">
        <f>COUNTIF($I$4:$I$16,"DP")</f>
        <v>0</v>
      </c>
    </row>
    <row r="41" ht="19.5" customHeight="1">
      <c r="K41" s="131" t="s">
        <v>199</v>
      </c>
      <c r="M41" s="132">
        <f>COUNTIFS($I$4:$I$16,"&lt;&gt;DP",$I$4:$I$16,"&lt;&gt;")</f>
        <v>0</v>
      </c>
    </row>
    <row r="42" ht="19.5" customHeight="1">
      <c r="K42" s="133" t="s">
        <v>201</v>
      </c>
      <c r="M42" s="132">
        <f>M40+M41</f>
        <v>0</v>
      </c>
    </row>
    <row r="43" ht="19.5" customHeight="1">
      <c r="K43" s="130" t="s">
        <v>202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8"/>
      <c r="D4" s="62"/>
      <c r="E4" s="17"/>
      <c r="F4" s="178"/>
      <c r="G4" s="159"/>
      <c r="H4" s="63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8"/>
      <c r="D5" s="62"/>
      <c r="E5" s="17"/>
      <c r="F5" s="105"/>
      <c r="G5" s="159"/>
      <c r="H5" s="63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88"/>
      <c r="D6" s="62"/>
      <c r="E6" s="17"/>
      <c r="F6" s="178"/>
      <c r="G6" s="159"/>
      <c r="H6" s="63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88"/>
      <c r="D7" s="62"/>
      <c r="E7" s="17"/>
      <c r="F7" s="18"/>
      <c r="G7" s="159"/>
      <c r="H7" s="63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88"/>
      <c r="D8" s="62"/>
      <c r="E8" s="17"/>
      <c r="F8" s="105"/>
      <c r="G8" s="159"/>
      <c r="H8" s="63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88"/>
      <c r="D9" s="62"/>
      <c r="E9" s="17"/>
      <c r="F9" s="105"/>
      <c r="G9" s="159"/>
      <c r="H9" s="63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88"/>
      <c r="D10" s="62"/>
      <c r="E10" s="17"/>
      <c r="F10" s="105"/>
      <c r="G10" s="159"/>
      <c r="H10" s="63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88"/>
      <c r="D11" s="62"/>
      <c r="E11" s="17"/>
      <c r="F11" s="105"/>
      <c r="G11" s="159"/>
      <c r="H11" s="63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88"/>
      <c r="D12" s="62"/>
      <c r="E12" s="17"/>
      <c r="F12" s="105"/>
      <c r="G12" s="159"/>
      <c r="H12" s="63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88"/>
      <c r="D13" s="62"/>
      <c r="E13" s="17"/>
      <c r="F13" s="105"/>
      <c r="G13" s="159"/>
      <c r="H13" s="63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0" t="s">
        <v>1</v>
      </c>
      <c r="C18" s="73" t="s">
        <v>7</v>
      </c>
      <c r="D18" s="73" t="s">
        <v>112</v>
      </c>
      <c r="E18" s="1"/>
      <c r="F18" s="1"/>
      <c r="G18" s="1"/>
      <c r="H18" s="1"/>
      <c r="I18" s="1"/>
      <c r="J18" s="1"/>
      <c r="K18" s="1"/>
      <c r="L18" s="1"/>
      <c r="M18" s="1"/>
      <c r="N18" s="73" t="s">
        <v>114</v>
      </c>
      <c r="O18" s="73" t="s">
        <v>2</v>
      </c>
      <c r="P18" s="1"/>
      <c r="Q18" s="1"/>
      <c r="R18" s="1"/>
    </row>
    <row r="19" ht="15.75" customHeight="1">
      <c r="A19" s="1"/>
      <c r="B19" s="74">
        <v>1.0</v>
      </c>
      <c r="C19" s="75" t="s">
        <v>115</v>
      </c>
      <c r="D19" s="76">
        <f>SUM(G14)</f>
        <v>0</v>
      </c>
      <c r="E19" s="77"/>
      <c r="F19" s="1"/>
      <c r="G19" s="1"/>
      <c r="H19" s="1"/>
      <c r="I19" s="1"/>
      <c r="J19" s="1"/>
      <c r="K19" s="1"/>
      <c r="L19" s="1"/>
      <c r="M19" s="1"/>
      <c r="N19" s="78" t="s">
        <v>119</v>
      </c>
      <c r="O19" s="35"/>
      <c r="P19" s="1"/>
      <c r="Q19" s="1"/>
      <c r="R19" s="1"/>
    </row>
    <row r="20" ht="15.75" customHeight="1">
      <c r="A20" s="1"/>
      <c r="B20" s="80">
        <v>2.0</v>
      </c>
      <c r="C20" s="94"/>
      <c r="D20" s="95"/>
      <c r="E20" s="77"/>
      <c r="F20" s="1"/>
      <c r="G20" s="96"/>
      <c r="H20" s="1"/>
      <c r="I20" s="1"/>
      <c r="J20" s="1"/>
      <c r="K20" s="1"/>
      <c r="L20" s="1"/>
      <c r="M20" s="1"/>
      <c r="N20" s="84" t="s">
        <v>125</v>
      </c>
      <c r="O20" s="166"/>
      <c r="P20" s="1"/>
      <c r="Q20" s="1"/>
      <c r="R20" s="1"/>
    </row>
    <row r="21" ht="15.75" customHeight="1">
      <c r="A21" s="1"/>
      <c r="B21" s="74">
        <v>3.0</v>
      </c>
      <c r="C21" s="75"/>
      <c r="D21" s="76"/>
      <c r="E21" s="77"/>
      <c r="F21" s="1"/>
      <c r="G21" s="96"/>
      <c r="H21" s="1"/>
      <c r="I21" s="1"/>
      <c r="J21" s="1"/>
      <c r="K21" s="1"/>
      <c r="L21" s="1"/>
      <c r="M21" s="1"/>
      <c r="N21" s="91" t="s">
        <v>128</v>
      </c>
      <c r="O21" s="43"/>
      <c r="P21" s="1"/>
      <c r="Q21" s="1"/>
      <c r="R21" s="1"/>
    </row>
    <row r="22" ht="15.75" customHeight="1">
      <c r="A22" s="1"/>
      <c r="B22" s="80">
        <v>4.0</v>
      </c>
      <c r="C22" s="94"/>
      <c r="D22" s="95"/>
      <c r="E22" s="77"/>
      <c r="F22" s="1"/>
      <c r="G22" s="1"/>
      <c r="H22" s="1"/>
      <c r="I22" s="1"/>
      <c r="J22" s="1"/>
      <c r="K22" s="1"/>
      <c r="L22" s="1"/>
      <c r="M22" s="1"/>
      <c r="N22" s="93" t="s">
        <v>131</v>
      </c>
      <c r="O22" s="166"/>
      <c r="P22" s="1"/>
      <c r="Q22" s="1"/>
      <c r="R22" s="1"/>
    </row>
    <row r="23" ht="15.75" customHeight="1">
      <c r="A23" s="1"/>
      <c r="B23" s="74">
        <v>5.0</v>
      </c>
      <c r="C23" s="75"/>
      <c r="D23" s="76"/>
      <c r="E23" s="77"/>
      <c r="F23" s="1"/>
      <c r="G23" s="1"/>
      <c r="H23" s="1"/>
      <c r="I23" s="1"/>
      <c r="J23" s="1"/>
      <c r="K23" s="1"/>
      <c r="L23" s="1"/>
      <c r="M23" s="1"/>
      <c r="N23" s="97"/>
      <c r="O23" s="1"/>
      <c r="P23" s="1"/>
      <c r="Q23" s="1"/>
      <c r="R23" s="1"/>
    </row>
    <row r="24" ht="15.75" customHeight="1">
      <c r="A24" s="1"/>
      <c r="B24" s="80">
        <v>6.0</v>
      </c>
      <c r="C24" s="94"/>
      <c r="D24" s="95"/>
      <c r="E24" s="77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4">
        <v>7.0</v>
      </c>
      <c r="C25" s="75"/>
      <c r="D25" s="76"/>
      <c r="E25" s="77"/>
      <c r="F25" s="96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0">
        <v>8.0</v>
      </c>
      <c r="C26" s="94"/>
      <c r="D26" s="95"/>
      <c r="E26" s="77"/>
      <c r="F26" s="1"/>
      <c r="G26" s="1"/>
      <c r="H26" s="1"/>
      <c r="I26" s="1"/>
      <c r="J26" s="1"/>
      <c r="K26" s="98" t="s">
        <v>134</v>
      </c>
      <c r="Q26" s="1"/>
      <c r="R26" s="1"/>
    </row>
    <row r="27" ht="15.75" customHeight="1">
      <c r="A27" s="1"/>
      <c r="B27" s="74">
        <v>9.0</v>
      </c>
      <c r="C27" s="75"/>
      <c r="D27" s="76"/>
      <c r="E27" s="77"/>
      <c r="F27" s="1"/>
      <c r="G27" s="1"/>
      <c r="H27" s="1"/>
      <c r="I27" s="1"/>
      <c r="J27" s="1"/>
      <c r="K27" s="99" t="s">
        <v>2</v>
      </c>
      <c r="L27" s="99" t="s">
        <v>137</v>
      </c>
      <c r="M27" s="99" t="s">
        <v>138</v>
      </c>
      <c r="N27" s="99" t="s">
        <v>139</v>
      </c>
      <c r="O27" s="99" t="s">
        <v>140</v>
      </c>
      <c r="P27" s="99" t="s">
        <v>141</v>
      </c>
      <c r="Q27" s="1"/>
      <c r="R27" s="1"/>
      <c r="AC27" s="100" t="s">
        <v>143</v>
      </c>
      <c r="AD27" s="100" t="s">
        <v>144</v>
      </c>
      <c r="AE27" s="100" t="s">
        <v>145</v>
      </c>
      <c r="AF27" s="100" t="s">
        <v>146</v>
      </c>
      <c r="AG27" s="100" t="s">
        <v>148</v>
      </c>
    </row>
    <row r="28" ht="15.75" customHeight="1">
      <c r="A28" s="1"/>
      <c r="B28" s="80">
        <v>10.0</v>
      </c>
      <c r="C28" s="94"/>
      <c r="D28" s="95"/>
      <c r="E28" s="77"/>
      <c r="F28" s="1"/>
      <c r="G28" s="1"/>
      <c r="H28" s="1"/>
      <c r="I28" s="1"/>
      <c r="J28" s="1"/>
      <c r="K28" s="102" t="str">
        <f t="shared" ref="K28:K31" si="2">IF(O19="","",O19)</f>
        <v/>
      </c>
      <c r="L28" s="117"/>
      <c r="M28" s="117"/>
      <c r="N28" s="117"/>
      <c r="O28" s="117"/>
      <c r="P28" s="117"/>
      <c r="Q28" s="1"/>
      <c r="R28" s="1"/>
      <c r="AC28" s="100" t="str">
        <f t="shared" ref="AC28:AC33" si="3">IF(AG28="","",IF(COUNT(L28:P28)&lt;5,"",L28/5*20+M28/5*25+N28/5*25+O28/5*15+P28/5*15))</f>
        <v/>
      </c>
      <c r="AD28" s="100" t="str">
        <f t="shared" ref="AD28:AD33" si="4">IF(AC28="","",IF(AC28&gt;=90,"Sangat Baik",IF(AC28&gt;=80,"Baik",IF(AC28&gt;=70,"Coaching","Underperform"))))</f>
        <v/>
      </c>
      <c r="AE28" s="100" t="str">
        <f t="shared" ref="AE28:AE33" si="5">IF(AG28="","",IF(OR(AG28="INDAH",AG28="ADDEL",AG28="AMEL",AG28="PENTIL",AG28="JIJANG"),"Admin/CS","Fotografer"))</f>
        <v/>
      </c>
      <c r="AF28" s="100" t="str">
        <f t="shared" ref="AF28:AF33" si="6">IF(OR(AG28="",COUNT(L28:P28)&lt;5),"",1)</f>
        <v/>
      </c>
      <c r="AG28" s="100" t="str">
        <f t="shared" ref="AG28:AG33" si="7">IFERROR(K28,"")</f>
        <v/>
      </c>
    </row>
    <row r="29" ht="15.75" customHeight="1">
      <c r="A29" s="1"/>
      <c r="B29" s="110">
        <v>11.0</v>
      </c>
      <c r="C29" s="111"/>
      <c r="D29" s="112"/>
      <c r="E29" s="77"/>
      <c r="F29" s="1"/>
      <c r="G29" s="1"/>
      <c r="H29" s="1"/>
      <c r="I29" s="1"/>
      <c r="J29" s="1"/>
      <c r="K29" s="102" t="str">
        <f t="shared" si="2"/>
        <v/>
      </c>
      <c r="L29" s="117"/>
      <c r="M29" s="117"/>
      <c r="N29" s="117"/>
      <c r="O29" s="117"/>
      <c r="P29" s="117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115">
        <f>SUM(D19:D29)</f>
        <v>0</v>
      </c>
      <c r="E30" s="1"/>
      <c r="F30" s="1"/>
      <c r="G30" s="1"/>
      <c r="H30" s="1"/>
      <c r="I30" s="1"/>
      <c r="J30" s="1"/>
      <c r="K30" s="102" t="str">
        <f t="shared" si="2"/>
        <v/>
      </c>
      <c r="L30" s="117"/>
      <c r="M30" s="117"/>
      <c r="N30" s="117"/>
      <c r="O30" s="117"/>
      <c r="P30" s="117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2" t="str">
        <f t="shared" si="2"/>
        <v/>
      </c>
      <c r="L31" s="117"/>
      <c r="M31" s="117"/>
      <c r="N31" s="117"/>
      <c r="O31" s="117"/>
      <c r="P31" s="117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2"/>
      <c r="L32" s="117"/>
      <c r="M32" s="117"/>
      <c r="N32" s="117"/>
      <c r="O32" s="117"/>
      <c r="P32" s="117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2"/>
      <c r="L33" s="117"/>
      <c r="M33" s="117"/>
      <c r="N33" s="117"/>
      <c r="O33" s="117"/>
      <c r="P33" s="117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186</v>
      </c>
      <c r="Q34" s="1"/>
      <c r="R34" s="1"/>
    </row>
    <row r="35" ht="15.75" customHeight="1"/>
    <row r="36" ht="15.75" customHeight="1">
      <c r="K36" s="190" t="s">
        <v>187</v>
      </c>
    </row>
    <row r="37" ht="15.75" customHeight="1">
      <c r="K37" s="121" t="s">
        <v>8</v>
      </c>
      <c r="L37" s="121" t="s">
        <v>189</v>
      </c>
      <c r="M37" s="121" t="s">
        <v>190</v>
      </c>
    </row>
    <row r="38" ht="15.75" customHeight="1">
      <c r="K38" s="123" t="str">
        <f t="shared" ref="K38:K39" si="8">IF(O19="","",O19)</f>
        <v/>
      </c>
      <c r="L38" s="127"/>
      <c r="M38" s="127"/>
    </row>
    <row r="39" ht="15.75" customHeight="1">
      <c r="K39" s="123" t="str">
        <f t="shared" si="8"/>
        <v/>
      </c>
      <c r="L39" s="127"/>
      <c r="M39" s="127"/>
    </row>
    <row r="40" ht="15.75" customHeight="1"/>
    <row r="41" ht="19.5" customHeight="1">
      <c r="K41" s="129" t="s">
        <v>194</v>
      </c>
    </row>
    <row r="42" ht="19.5" customHeight="1">
      <c r="K42" s="130" t="s">
        <v>196</v>
      </c>
      <c r="M42" s="127"/>
    </row>
    <row r="43" ht="19.5" customHeight="1">
      <c r="K43" s="131" t="s">
        <v>197</v>
      </c>
      <c r="M43" s="132">
        <f>COUNTIF($I$4:$I$17,"DP")</f>
        <v>0</v>
      </c>
    </row>
    <row r="44" ht="19.5" customHeight="1">
      <c r="K44" s="131" t="s">
        <v>199</v>
      </c>
      <c r="M44" s="132">
        <f>COUNTIFS($I$4:$I$17,"&lt;&gt;DP",$I$4:$I$17,"&lt;&gt;")</f>
        <v>0</v>
      </c>
    </row>
    <row r="45" ht="19.5" customHeight="1">
      <c r="K45" s="133" t="s">
        <v>201</v>
      </c>
      <c r="M45" s="132">
        <f>M43+M44</f>
        <v>0</v>
      </c>
    </row>
    <row r="46" ht="19.5" customHeight="1">
      <c r="K46" s="130" t="s">
        <v>202</v>
      </c>
      <c r="M46" s="134" t="str">
        <f>IF(OR(M42="",M42=0),"",M43/M42)</f>
        <v/>
      </c>
    </row>
    <row r="47" ht="15.75" customHeight="1">
      <c r="A47" s="191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2" t="s">
        <v>381</v>
      </c>
      <c r="E49" s="192" t="s">
        <v>382</v>
      </c>
      <c r="I49" s="192" t="s">
        <v>383</v>
      </c>
      <c r="M49" s="192" t="s">
        <v>384</v>
      </c>
    </row>
    <row r="50" ht="15.75" customHeight="1">
      <c r="A50" s="193">
        <f>IFERROR(SUMIFS($D$56:$D$68,$C$56:$C$68,"&gt;0")/COUNTIFS($C$56:$C$68,"&gt;0"),0)</f>
        <v>98.35714286</v>
      </c>
      <c r="E50" s="193">
        <f>IFERROR(SUMIFS($D$56:$D$68,$B$56:$B$68,"Admin/CS",$C$56:$C$68,"&gt;0")/COUNTIFS($B$56:$B$68,"Admin/CS",$C$56:$C$68,"&gt;0"),0)</f>
        <v>96.96428571</v>
      </c>
      <c r="I50" s="193">
        <f>IFERROR(SUMIFS($D$56:$D$68,$B$56:$B$68,"Fotografer",$C$56:$C$68,"&gt;0")/COUNTIFS($B$56:$B$68,"Fotografer",$C$56:$C$68,"&gt;0"),0)</f>
        <v>99.75</v>
      </c>
      <c r="M50" s="193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4" t="s">
        <v>2</v>
      </c>
      <c r="B55" s="194" t="s">
        <v>385</v>
      </c>
      <c r="C55" s="194" t="s">
        <v>386</v>
      </c>
      <c r="D55" s="194" t="s">
        <v>387</v>
      </c>
      <c r="E55" s="194" t="s">
        <v>388</v>
      </c>
      <c r="F55" s="194" t="s">
        <v>389</v>
      </c>
      <c r="G55" s="194" t="s">
        <v>390</v>
      </c>
    </row>
    <row r="56" ht="15.75" customHeight="1">
      <c r="A56" s="195" t="str">
        <f>IF($A$78="","",$A$78)</f>
        <v>INDAH</v>
      </c>
      <c r="B56" s="195" t="str">
        <f>IF(A56="","",$B$78)</f>
        <v>Admin/CS</v>
      </c>
      <c r="C56" s="196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16</v>
      </c>
      <c r="D56" s="200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6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5" t="str">
        <f t="shared" ref="F56:F68" si="9">IF(D56="","",IF(D56&gt;=90,"Sangat Baik",IF(D56&gt;=80,"Baik",IF(D56&gt;=70,"Coaching","Underperform"))))</f>
        <v>Sangat Baik</v>
      </c>
      <c r="G56" s="202"/>
    </row>
    <row r="57" ht="15.75" customHeight="1">
      <c r="A57" s="195" t="str">
        <f>IF($A$79="","",$A$79)</f>
        <v>ADDEL</v>
      </c>
      <c r="B57" s="195" t="str">
        <f>IF(A57="","",$B$79)</f>
        <v>Admin/CS</v>
      </c>
      <c r="C57" s="196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0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6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5" t="str">
        <f t="shared" si="9"/>
        <v/>
      </c>
      <c r="G57" s="202"/>
    </row>
    <row r="58" ht="15.75" customHeight="1">
      <c r="A58" s="195" t="str">
        <f>IF($A$80="","",$A$80)</f>
        <v>AMEL</v>
      </c>
      <c r="B58" s="195" t="str">
        <f>IF(A58="","",$B$80)</f>
        <v>Admin/CS</v>
      </c>
      <c r="C58" s="196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14</v>
      </c>
      <c r="D58" s="200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93.92857143</v>
      </c>
      <c r="E58" s="196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5" t="str">
        <f t="shared" si="9"/>
        <v>Sangat Baik</v>
      </c>
      <c r="G58" s="202"/>
    </row>
    <row r="59" ht="15.75" customHeight="1">
      <c r="A59" s="195" t="str">
        <f>IF($A$81="","",$A$81)</f>
        <v>PENTIL</v>
      </c>
      <c r="B59" s="195" t="str">
        <f>IF(A59="","",$B$81)</f>
        <v>Admin/CS</v>
      </c>
      <c r="C59" s="196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0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6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5" t="str">
        <f t="shared" si="9"/>
        <v/>
      </c>
      <c r="G59" s="202"/>
    </row>
    <row r="60" ht="15.75" customHeight="1">
      <c r="A60" s="195" t="str">
        <f>IF($A$82="","",$A$82)</f>
        <v>JIJANG</v>
      </c>
      <c r="B60" s="195" t="str">
        <f>IF(A60="","",$B$82)</f>
        <v>Admin/CS</v>
      </c>
      <c r="C60" s="196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0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6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5" t="str">
        <f t="shared" si="9"/>
        <v/>
      </c>
      <c r="G60" s="202"/>
    </row>
    <row r="61" ht="15.75" customHeight="1">
      <c r="A61" s="195" t="str">
        <f>IF($A$83="","",$A$83)</f>
        <v>HANIF</v>
      </c>
      <c r="B61" s="195" t="str">
        <f>IF(A61="","",$B$83)</f>
        <v>Fotografer</v>
      </c>
      <c r="C61" s="196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0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6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5" t="str">
        <f t="shared" si="9"/>
        <v/>
      </c>
      <c r="G61" s="202"/>
    </row>
    <row r="62" ht="15.75" customHeight="1">
      <c r="A62" s="195" t="str">
        <f>IF($A$84="","",$A$84)</f>
        <v>FAHME</v>
      </c>
      <c r="B62" s="195" t="str">
        <f>IF(A62="","",$B$84)</f>
        <v>Fotografer</v>
      </c>
      <c r="C62" s="196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0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6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5" t="str">
        <f t="shared" si="9"/>
        <v/>
      </c>
      <c r="G62" s="202"/>
    </row>
    <row r="63" ht="15.75" customHeight="1">
      <c r="A63" s="195" t="str">
        <f>IF($A$85="","",$A$85)</f>
        <v>ADIF</v>
      </c>
      <c r="B63" s="195" t="str">
        <f>IF(A63="","",$B$85)</f>
        <v>Fotografer</v>
      </c>
      <c r="C63" s="196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16</v>
      </c>
      <c r="D63" s="200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</v>
      </c>
      <c r="E63" s="196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5" t="str">
        <f t="shared" si="9"/>
        <v>Sangat Baik</v>
      </c>
      <c r="G63" s="202"/>
    </row>
    <row r="64" ht="15.75" customHeight="1">
      <c r="A64" s="195" t="str">
        <f>IF($A$86="","",$A$86)</f>
        <v>ABROR</v>
      </c>
      <c r="B64" s="195" t="str">
        <f>IF(A64="","",$B$86)</f>
        <v>Fotografer</v>
      </c>
      <c r="C64" s="196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0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6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5" t="str">
        <f t="shared" si="9"/>
        <v/>
      </c>
      <c r="G64" s="202"/>
    </row>
    <row r="65" ht="15.75" customHeight="1">
      <c r="A65" s="195" t="str">
        <f>IF($A$87="","",$A$87)</f>
        <v>FADEL</v>
      </c>
      <c r="B65" s="195" t="str">
        <f>IF(A65="","",$B$87)</f>
        <v>Fotografer</v>
      </c>
      <c r="C65" s="196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0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6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5" t="str">
        <f t="shared" si="9"/>
        <v/>
      </c>
      <c r="G65" s="202"/>
    </row>
    <row r="66" ht="15.75" customHeight="1">
      <c r="A66" s="195" t="str">
        <f>IF($A$88="","",$A$88)</f>
        <v>SAKA</v>
      </c>
      <c r="B66" s="195" t="str">
        <f>IF(A66="","",$B$88)</f>
        <v>Fotografer</v>
      </c>
      <c r="C66" s="196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14</v>
      </c>
      <c r="D66" s="200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6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5" t="str">
        <f t="shared" si="9"/>
        <v>Sangat Baik</v>
      </c>
      <c r="G66" s="202"/>
    </row>
    <row r="67" ht="15.75" customHeight="1">
      <c r="A67" s="195" t="str">
        <f>IF($A$89="","",$A$89)</f>
        <v/>
      </c>
      <c r="B67" s="195" t="str">
        <f>IF(A67="","",$B$89)</f>
        <v/>
      </c>
      <c r="C67" s="196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0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6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5" t="str">
        <f t="shared" si="9"/>
        <v/>
      </c>
      <c r="G67" s="202"/>
    </row>
    <row r="68" ht="15.75" customHeight="1">
      <c r="A68" s="195" t="str">
        <f>IF($A$90="","",$A$90)</f>
        <v/>
      </c>
      <c r="B68" s="195" t="str">
        <f>IF(A68="","",$B$90)</f>
        <v/>
      </c>
      <c r="C68" s="196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0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6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5" t="str">
        <f t="shared" si="9"/>
        <v/>
      </c>
      <c r="G68" s="202"/>
    </row>
    <row r="69" ht="15.75" customHeight="1"/>
    <row r="70" ht="15.75" customHeight="1">
      <c r="A70" s="205" t="s">
        <v>406</v>
      </c>
    </row>
    <row r="71" ht="15.75" customHeight="1">
      <c r="A71" s="206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7" t="s">
        <v>407</v>
      </c>
      <c r="B77" s="207" t="s">
        <v>408</v>
      </c>
      <c r="D77" s="190" t="s">
        <v>409</v>
      </c>
    </row>
    <row r="78" ht="15.75" customHeight="1">
      <c r="A78" s="203" t="s">
        <v>32</v>
      </c>
      <c r="B78" s="203" t="s">
        <v>401</v>
      </c>
      <c r="D78" s="208" t="s">
        <v>189</v>
      </c>
      <c r="E78" s="132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87</v>
      </c>
    </row>
    <row r="79" ht="15.75" customHeight="1">
      <c r="A79" s="203" t="s">
        <v>404</v>
      </c>
      <c r="B79" s="203" t="s">
        <v>401</v>
      </c>
      <c r="D79" s="208" t="s">
        <v>190</v>
      </c>
      <c r="E79" s="132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3" t="s">
        <v>29</v>
      </c>
      <c r="B80" s="203" t="s">
        <v>401</v>
      </c>
      <c r="D80" s="208" t="s">
        <v>196</v>
      </c>
      <c r="E80" s="132">
        <f>SUM('1'!$M$43)+SUM('2'!$M$41)+SUM('3'!$M$88)+SUM('4'!$M$100)+SUM('5'!$M$41)+SUM('6'!$M$45)+SUM('7'!$M$44)+SUM('8'!$M$45)+SUM('9'!$M$47)+SUM('10'!$M$47)+SUM('11'!$M$43)+SUM('12'!$M$40)+SUM('13'!$M$39)+SUM('14'!$M$39)+SUM('15'!$M$43)+SUM('16'!$M$42)+SUM('17'!$M$39)+SUM('18'!$M$39)+SUM('19'!$M$39)+SUM('20'!$M$39)+SUM('21'!$M$39)+SUM('22'!$M$39)+SUM('23'!$M$39)+SUM('24'!$M$39)+SUM('25'!$M$39)+SUM('26'!$M$39)+SUM('27'!$M$39)+SUM('28'!$M$39)+SUM('29'!$M$39)+SUM('30'!$M$39)+SUM('31'!$M$42)</f>
        <v>412</v>
      </c>
    </row>
    <row r="81" ht="15.75" customHeight="1">
      <c r="A81" s="203" t="s">
        <v>410</v>
      </c>
      <c r="B81" s="203" t="s">
        <v>401</v>
      </c>
      <c r="D81" s="208" t="s">
        <v>197</v>
      </c>
      <c r="E81" s="132">
        <f>SUM('1'!$M$44)+SUM('2'!$M$42)+SUM('3'!$M$89)+SUM('4'!$M$101)+SUM('5'!$M$42)+SUM('6'!$M$46)+SUM('7'!$M$45)+SUM('8'!$M$46)+SUM('9'!$M$48)+SUM('10'!$M$48)+SUM('11'!$M$44)+SUM('12'!$M$41)+SUM('13'!$M$40)+SUM('14'!$M$40)+SUM('15'!$M$44)+SUM('16'!$M$43)+SUM('17'!$M$40)+SUM('18'!$M$40)+SUM('19'!$M$40)+SUM('20'!$M$40)+SUM('21'!$M$40)+SUM('22'!$M$40)+SUM('23'!$M$40)+SUM('24'!$M$40)+SUM('25'!$M$40)+SUM('26'!$M$40)+SUM('27'!$M$40)+SUM('28'!$M$40)+SUM('29'!$M$40)+SUM('30'!$M$40)+SUM('31'!$M$43)</f>
        <v>74</v>
      </c>
    </row>
    <row r="82" ht="15.75" customHeight="1">
      <c r="A82" s="203" t="s">
        <v>411</v>
      </c>
      <c r="B82" s="203" t="s">
        <v>401</v>
      </c>
      <c r="D82" s="208" t="s">
        <v>199</v>
      </c>
      <c r="E82" s="132">
        <f>SUM('1'!$M$45)+SUM('2'!$M$43)+SUM('3'!$M$90)+SUM('4'!$M$102)+SUM('5'!$M$43)+SUM('6'!$M$47)+SUM('7'!$M$46)+SUM('8'!$M$47)+SUM('9'!$M$49)+SUM('10'!$M$49)+SUM('11'!$M$45)+SUM('12'!$M$42)+SUM('13'!$M$41)+SUM('14'!$M$41)+SUM('15'!$M$45)+SUM('16'!$M$44)+SUM('17'!$M$41)+SUM('18'!$M$41)+SUM('19'!$M$41)+SUM('20'!$M$41)+SUM('21'!$M$41)+SUM('22'!$M$41)+SUM('23'!$M$41)+SUM('24'!$M$41)+SUM('25'!$M$41)+SUM('26'!$M$41)+SUM('27'!$M$41)+SUM('28'!$M$41)+SUM('29'!$M$41)+SUM('30'!$M$41)+SUM('31'!$M$44)</f>
        <v>172</v>
      </c>
    </row>
    <row r="83" ht="15.75" customHeight="1">
      <c r="A83" s="203" t="s">
        <v>402</v>
      </c>
      <c r="B83" s="203" t="s">
        <v>412</v>
      </c>
      <c r="D83" s="208" t="s">
        <v>201</v>
      </c>
      <c r="E83" s="132">
        <f>SUM('1'!$M$46)+SUM('2'!$M$44)+SUM('3'!$M$91)+SUM('4'!$M$103)+SUM('5'!$M$44)+SUM('6'!$M$48)+SUM('7'!$M$47)+SUM('8'!$M$48)+SUM('9'!$M$50)+SUM('10'!$M$50)+SUM('11'!$M$46)+SUM('12'!$M$43)+SUM('13'!$M$42)+SUM('14'!$M$42)+SUM('15'!$M$46)+SUM('16'!$M$45)+SUM('17'!$M$42)+SUM('18'!$M$42)+SUM('19'!$M$42)+SUM('20'!$M$42)+SUM('21'!$M$42)+SUM('22'!$M$42)+SUM('23'!$M$42)+SUM('24'!$M$42)+SUM('25'!$M$42)+SUM('26'!$M$42)+SUM('27'!$M$42)+SUM('28'!$M$42)+SUM('29'!$M$42)+SUM('30'!$M$42)+SUM('31'!$M$45)</f>
        <v>246</v>
      </c>
    </row>
    <row r="84" ht="15.75" customHeight="1">
      <c r="A84" s="203" t="s">
        <v>87</v>
      </c>
      <c r="B84" s="203" t="s">
        <v>412</v>
      </c>
      <c r="D84" s="208" t="s">
        <v>202</v>
      </c>
      <c r="E84" s="134">
        <f>IFERROR(E81/E80,0)</f>
        <v>0.1796116505</v>
      </c>
    </row>
    <row r="85" ht="15.75" customHeight="1">
      <c r="A85" s="203" t="s">
        <v>46</v>
      </c>
      <c r="B85" s="203" t="s">
        <v>412</v>
      </c>
    </row>
    <row r="86" ht="15.75" customHeight="1">
      <c r="A86" s="203" t="s">
        <v>99</v>
      </c>
      <c r="B86" s="203" t="s">
        <v>412</v>
      </c>
    </row>
    <row r="87" ht="15.75" customHeight="1">
      <c r="A87" s="203" t="s">
        <v>413</v>
      </c>
      <c r="B87" s="203" t="s">
        <v>412</v>
      </c>
    </row>
    <row r="88" ht="15.75" customHeight="1">
      <c r="A88" s="203" t="s">
        <v>65</v>
      </c>
      <c r="B88" s="203" t="s">
        <v>412</v>
      </c>
    </row>
    <row r="89" ht="15.75" customHeight="1">
      <c r="A89" s="203"/>
      <c r="B89" s="203"/>
    </row>
    <row r="90" ht="15.75" customHeight="1">
      <c r="A90" s="203"/>
      <c r="B90" s="203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88"/>
      <c r="D4" s="62"/>
      <c r="E4" s="17"/>
      <c r="F4" s="108"/>
      <c r="G4" s="159"/>
      <c r="H4" s="63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88"/>
      <c r="D5" s="62"/>
      <c r="E5" s="17"/>
      <c r="F5" s="108"/>
      <c r="G5" s="159"/>
      <c r="H5" s="63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88"/>
      <c r="D6" s="62"/>
      <c r="E6" s="17"/>
      <c r="F6" s="18"/>
      <c r="G6" s="159"/>
      <c r="H6" s="63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88"/>
      <c r="D7" s="62"/>
      <c r="E7" s="17"/>
      <c r="F7" s="18"/>
      <c r="G7" s="159"/>
      <c r="H7" s="63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88"/>
      <c r="D8" s="62"/>
      <c r="E8" s="17"/>
      <c r="F8" s="18"/>
      <c r="G8" s="159"/>
      <c r="H8" s="63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88"/>
      <c r="D9" s="62"/>
      <c r="E9" s="17"/>
      <c r="F9" s="18"/>
      <c r="G9" s="159"/>
      <c r="H9" s="63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88"/>
      <c r="D10" s="62"/>
      <c r="E10" s="17"/>
      <c r="F10" s="18"/>
      <c r="G10" s="159"/>
      <c r="H10" s="63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88"/>
      <c r="D11" s="62"/>
      <c r="E11" s="17"/>
      <c r="F11" s="18"/>
      <c r="G11" s="159"/>
      <c r="H11" s="63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88"/>
      <c r="D12" s="62"/>
      <c r="E12" s="17"/>
      <c r="F12" s="18"/>
      <c r="G12" s="159"/>
      <c r="H12" s="63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88"/>
      <c r="D13" s="62"/>
      <c r="E13" s="17"/>
      <c r="F13" s="18"/>
      <c r="G13" s="159"/>
      <c r="H13" s="63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5.75" customHeight="1">
      <c r="A14" s="1"/>
      <c r="B14" s="18"/>
      <c r="C14" s="88"/>
      <c r="D14" s="62"/>
      <c r="E14" s="17"/>
      <c r="F14" s="18"/>
      <c r="G14" s="159"/>
      <c r="H14" s="63"/>
      <c r="I14" s="18"/>
      <c r="J14" s="18"/>
      <c r="K14" s="18"/>
      <c r="L14" s="18"/>
      <c r="M14" s="18"/>
      <c r="N14" s="43"/>
      <c r="O14" s="43"/>
      <c r="P14" s="43"/>
      <c r="Q14" s="1"/>
      <c r="R14" s="1"/>
    </row>
    <row r="15" ht="15.75" customHeight="1">
      <c r="A15" s="1"/>
      <c r="B15" s="18"/>
      <c r="C15" s="88"/>
      <c r="D15" s="62"/>
      <c r="E15" s="17"/>
      <c r="F15" s="18"/>
      <c r="G15" s="159"/>
      <c r="H15" s="63"/>
      <c r="I15" s="18"/>
      <c r="J15" s="18"/>
      <c r="K15" s="18"/>
      <c r="L15" s="18"/>
      <c r="M15" s="18"/>
      <c r="N15" s="43"/>
      <c r="O15" s="43"/>
      <c r="P15" s="43"/>
      <c r="Q15" s="1"/>
      <c r="R15" s="1"/>
    </row>
    <row r="16" ht="15.75" customHeight="1">
      <c r="A16" s="1"/>
      <c r="B16" s="18"/>
      <c r="C16" s="88"/>
      <c r="D16" s="62"/>
      <c r="E16" s="17"/>
      <c r="F16" s="18"/>
      <c r="G16" s="159"/>
      <c r="H16" s="63"/>
      <c r="I16" s="18"/>
      <c r="J16" s="18"/>
      <c r="K16" s="18"/>
      <c r="L16" s="18"/>
      <c r="M16" s="18"/>
      <c r="N16" s="43"/>
      <c r="O16" s="43"/>
      <c r="P16" s="43"/>
      <c r="Q16" s="1"/>
      <c r="R16" s="1"/>
    </row>
    <row r="17" ht="15.75" customHeight="1">
      <c r="A17" s="1"/>
      <c r="B17" s="18"/>
      <c r="C17" s="88"/>
      <c r="D17" s="62"/>
      <c r="E17" s="17"/>
      <c r="F17" s="18"/>
      <c r="G17" s="159"/>
      <c r="H17" s="63"/>
      <c r="I17" s="18"/>
      <c r="J17" s="18"/>
      <c r="K17" s="18"/>
      <c r="L17" s="18"/>
      <c r="M17" s="18"/>
      <c r="N17" s="43"/>
      <c r="O17" s="43"/>
      <c r="P17" s="43"/>
      <c r="Q17" s="1"/>
      <c r="R17" s="1"/>
    </row>
    <row r="18" ht="15.75" customHeight="1">
      <c r="A18" s="1"/>
      <c r="B18" s="18"/>
      <c r="C18" s="88"/>
      <c r="D18" s="62"/>
      <c r="E18" s="17"/>
      <c r="F18" s="18"/>
      <c r="G18" s="159"/>
      <c r="H18" s="63"/>
      <c r="I18" s="18"/>
      <c r="J18" s="18"/>
      <c r="K18" s="18"/>
      <c r="L18" s="18"/>
      <c r="M18" s="18"/>
      <c r="N18" s="43"/>
      <c r="O18" s="43"/>
      <c r="P18" s="43"/>
      <c r="Q18" s="1"/>
      <c r="R18" s="1"/>
    </row>
    <row r="19" ht="15.75" customHeight="1">
      <c r="A19" s="1"/>
      <c r="B19" s="18"/>
      <c r="C19" s="88"/>
      <c r="D19" s="62"/>
      <c r="E19" s="17"/>
      <c r="F19" s="18"/>
      <c r="G19" s="159"/>
      <c r="H19" s="63"/>
      <c r="I19" s="18"/>
      <c r="J19" s="18"/>
      <c r="K19" s="18"/>
      <c r="L19" s="18"/>
      <c r="M19" s="18"/>
      <c r="N19" s="43"/>
      <c r="O19" s="43"/>
      <c r="P19" s="43"/>
      <c r="Q19" s="1"/>
      <c r="R19" s="1"/>
    </row>
    <row r="20" ht="15.75" customHeight="1">
      <c r="A20" s="1"/>
      <c r="B20" s="18"/>
      <c r="C20" s="88"/>
      <c r="D20" s="62"/>
      <c r="E20" s="17"/>
      <c r="F20" s="18"/>
      <c r="G20" s="159"/>
      <c r="H20" s="63"/>
      <c r="I20" s="18"/>
      <c r="J20" s="18"/>
      <c r="K20" s="18"/>
      <c r="L20" s="18"/>
      <c r="M20" s="18"/>
      <c r="N20" s="43"/>
      <c r="O20" s="43"/>
      <c r="P20" s="43"/>
      <c r="Q20" s="1"/>
      <c r="R20" s="1"/>
    </row>
    <row r="21" ht="15.75" customHeight="1">
      <c r="A21" s="1"/>
      <c r="B21" s="18"/>
      <c r="C21" s="88"/>
      <c r="D21" s="62"/>
      <c r="E21" s="17"/>
      <c r="F21" s="18"/>
      <c r="G21" s="159"/>
      <c r="H21" s="63"/>
      <c r="I21" s="18"/>
      <c r="J21" s="18"/>
      <c r="K21" s="18"/>
      <c r="L21" s="18"/>
      <c r="M21" s="18"/>
      <c r="N21" s="43"/>
      <c r="O21" s="43"/>
      <c r="P21" s="43"/>
      <c r="Q21" s="1"/>
      <c r="R21" s="1"/>
    </row>
    <row r="22" ht="15.75" customHeight="1">
      <c r="A22" s="1"/>
      <c r="B22" s="18"/>
      <c r="C22" s="88"/>
      <c r="D22" s="62"/>
      <c r="E22" s="17"/>
      <c r="F22" s="18"/>
      <c r="G22" s="159"/>
      <c r="H22" s="63"/>
      <c r="I22" s="18"/>
      <c r="J22" s="18"/>
      <c r="K22" s="18"/>
      <c r="L22" s="18"/>
      <c r="M22" s="18"/>
      <c r="N22" s="43"/>
      <c r="O22" s="43"/>
      <c r="P22" s="43"/>
      <c r="Q22" s="1"/>
      <c r="R22" s="1"/>
    </row>
    <row r="23" ht="15.75" customHeight="1">
      <c r="A23" s="1"/>
      <c r="B23" s="18"/>
      <c r="C23" s="88"/>
      <c r="D23" s="62"/>
      <c r="E23" s="17"/>
      <c r="F23" s="18"/>
      <c r="G23" s="159"/>
      <c r="H23" s="63"/>
      <c r="I23" s="18"/>
      <c r="J23" s="18"/>
      <c r="K23" s="18"/>
      <c r="L23" s="18"/>
      <c r="M23" s="18"/>
      <c r="N23" s="43"/>
      <c r="O23" s="43"/>
      <c r="P23" s="43"/>
      <c r="Q23" s="1"/>
      <c r="R23" s="1"/>
    </row>
    <row r="24" ht="15.75" customHeight="1">
      <c r="A24" s="1"/>
      <c r="B24" s="18"/>
      <c r="C24" s="88"/>
      <c r="D24" s="62"/>
      <c r="E24" s="17"/>
      <c r="F24" s="18"/>
      <c r="G24" s="159"/>
      <c r="H24" s="63"/>
      <c r="I24" s="18"/>
      <c r="J24" s="18"/>
      <c r="K24" s="18"/>
      <c r="L24" s="18"/>
      <c r="M24" s="18"/>
      <c r="N24" s="43"/>
      <c r="O24" s="43"/>
      <c r="P24" s="43"/>
      <c r="Q24" s="1"/>
      <c r="R24" s="1"/>
    </row>
    <row r="25" ht="15.75" customHeight="1">
      <c r="A25" s="1"/>
      <c r="B25" s="18"/>
      <c r="C25" s="88"/>
      <c r="D25" s="62"/>
      <c r="E25" s="17"/>
      <c r="F25" s="18"/>
      <c r="G25" s="159"/>
      <c r="H25" s="63"/>
      <c r="I25" s="18"/>
      <c r="J25" s="18"/>
      <c r="K25" s="18"/>
      <c r="L25" s="18"/>
      <c r="M25" s="18"/>
      <c r="N25" s="43"/>
      <c r="O25" s="43"/>
      <c r="P25" s="43"/>
      <c r="Q25" s="1"/>
      <c r="R25" s="1"/>
    </row>
    <row r="26" ht="15.75" customHeight="1">
      <c r="A26" s="1"/>
      <c r="B26" s="18"/>
      <c r="C26" s="88"/>
      <c r="D26" s="62"/>
      <c r="E26" s="17"/>
      <c r="F26" s="18"/>
      <c r="G26" s="159"/>
      <c r="H26" s="63"/>
      <c r="I26" s="18"/>
      <c r="J26" s="18"/>
      <c r="K26" s="18"/>
      <c r="L26" s="18"/>
      <c r="M26" s="18"/>
      <c r="N26" s="43"/>
      <c r="O26" s="43"/>
      <c r="P26" s="43"/>
      <c r="Q26" s="1"/>
      <c r="R26" s="1"/>
    </row>
    <row r="27" ht="15.75" customHeight="1">
      <c r="A27" s="1"/>
      <c r="B27" s="18"/>
      <c r="C27" s="88"/>
      <c r="D27" s="62"/>
      <c r="E27" s="17"/>
      <c r="F27" s="18"/>
      <c r="G27" s="159"/>
      <c r="H27" s="63"/>
      <c r="I27" s="18"/>
      <c r="J27" s="18"/>
      <c r="K27" s="18"/>
      <c r="L27" s="18"/>
      <c r="M27" s="18"/>
      <c r="N27" s="43"/>
      <c r="O27" s="43"/>
      <c r="P27" s="43"/>
      <c r="Q27" s="1"/>
      <c r="R27" s="1"/>
    </row>
    <row r="28" ht="15.75" customHeight="1">
      <c r="A28" s="1"/>
      <c r="B28" s="18"/>
      <c r="C28" s="88"/>
      <c r="D28" s="62"/>
      <c r="E28" s="17"/>
      <c r="F28" s="18"/>
      <c r="G28" s="159"/>
      <c r="H28" s="63"/>
      <c r="I28" s="18"/>
      <c r="J28" s="18"/>
      <c r="K28" s="18"/>
      <c r="L28" s="18"/>
      <c r="M28" s="18"/>
      <c r="N28" s="43"/>
      <c r="O28" s="43"/>
      <c r="P28" s="43"/>
      <c r="Q28" s="1"/>
      <c r="R28" s="1"/>
    </row>
    <row r="29" ht="15.75" customHeight="1">
      <c r="A29" s="1"/>
      <c r="B29" s="18"/>
      <c r="C29" s="88"/>
      <c r="D29" s="62"/>
      <c r="E29" s="17"/>
      <c r="F29" s="18"/>
      <c r="G29" s="159"/>
      <c r="H29" s="63"/>
      <c r="I29" s="18"/>
      <c r="J29" s="18"/>
      <c r="K29" s="18"/>
      <c r="L29" s="18"/>
      <c r="M29" s="18"/>
      <c r="N29" s="43"/>
      <c r="O29" s="43"/>
      <c r="P29" s="43"/>
      <c r="Q29" s="1"/>
      <c r="R29" s="1"/>
    </row>
    <row r="30" ht="15.75" customHeight="1">
      <c r="A30" s="1"/>
      <c r="B30" s="18"/>
      <c r="C30" s="88"/>
      <c r="D30" s="62"/>
      <c r="E30" s="17"/>
      <c r="F30" s="18"/>
      <c r="G30" s="159"/>
      <c r="H30" s="63"/>
      <c r="I30" s="18"/>
      <c r="J30" s="18"/>
      <c r="K30" s="18"/>
      <c r="L30" s="18"/>
      <c r="M30" s="18"/>
      <c r="N30" s="43"/>
      <c r="O30" s="43"/>
      <c r="P30" s="43"/>
      <c r="Q30" s="1"/>
      <c r="R30" s="1"/>
    </row>
    <row r="31" ht="15.75" customHeight="1">
      <c r="A31" s="1"/>
      <c r="B31" s="18"/>
      <c r="C31" s="88"/>
      <c r="D31" s="62"/>
      <c r="E31" s="17"/>
      <c r="F31" s="18"/>
      <c r="G31" s="159"/>
      <c r="H31" s="63"/>
      <c r="I31" s="18"/>
      <c r="J31" s="18"/>
      <c r="K31" s="18"/>
      <c r="L31" s="18"/>
      <c r="M31" s="18"/>
      <c r="N31" s="43"/>
      <c r="O31" s="43"/>
      <c r="P31" s="43"/>
      <c r="Q31" s="1"/>
      <c r="R31" s="1"/>
    </row>
    <row r="32" ht="15.75" customHeight="1">
      <c r="A32" s="1"/>
      <c r="B32" s="18"/>
      <c r="C32" s="88"/>
      <c r="D32" s="62"/>
      <c r="E32" s="17"/>
      <c r="F32" s="18"/>
      <c r="G32" s="159"/>
      <c r="H32" s="63"/>
      <c r="I32" s="18"/>
      <c r="J32" s="18"/>
      <c r="K32" s="18"/>
      <c r="L32" s="18"/>
      <c r="M32" s="18"/>
      <c r="N32" s="43"/>
      <c r="O32" s="43"/>
      <c r="P32" s="43"/>
      <c r="Q32" s="1"/>
      <c r="R32" s="1"/>
    </row>
    <row r="33" ht="15.75" customHeight="1">
      <c r="A33" s="1"/>
      <c r="B33" s="18"/>
      <c r="C33" s="88"/>
      <c r="D33" s="62"/>
      <c r="E33" s="17"/>
      <c r="F33" s="18"/>
      <c r="G33" s="159"/>
      <c r="H33" s="63"/>
      <c r="I33" s="18"/>
      <c r="J33" s="18"/>
      <c r="K33" s="18"/>
      <c r="L33" s="18"/>
      <c r="M33" s="18"/>
      <c r="N33" s="43"/>
      <c r="O33" s="43"/>
      <c r="P33" s="43"/>
      <c r="Q33" s="1"/>
      <c r="R33" s="1"/>
    </row>
    <row r="34" ht="15.75" customHeight="1">
      <c r="A34" s="1"/>
      <c r="B34" s="18"/>
      <c r="C34" s="88"/>
      <c r="D34" s="62"/>
      <c r="E34" s="17"/>
      <c r="F34" s="18"/>
      <c r="G34" s="159"/>
      <c r="H34" s="63"/>
      <c r="I34" s="18"/>
      <c r="J34" s="18"/>
      <c r="K34" s="18"/>
      <c r="L34" s="18"/>
      <c r="M34" s="18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5">
        <f t="shared" ref="G35:H35" si="1">SUM(G4:G34)</f>
        <v>0</v>
      </c>
      <c r="H35" s="71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1</v>
      </c>
      <c r="C38" s="73" t="s">
        <v>7</v>
      </c>
      <c r="D38" s="73" t="s">
        <v>112</v>
      </c>
      <c r="E38" s="1"/>
      <c r="F38" s="1"/>
      <c r="G38" s="1"/>
      <c r="H38" s="1"/>
      <c r="I38" s="1"/>
      <c r="J38" s="1"/>
      <c r="K38" s="1"/>
      <c r="L38" s="1"/>
      <c r="M38" s="1"/>
      <c r="N38" s="73" t="s">
        <v>114</v>
      </c>
      <c r="O38" s="73" t="s">
        <v>2</v>
      </c>
      <c r="P38" s="1"/>
      <c r="Q38" s="1"/>
      <c r="R38" s="1"/>
    </row>
    <row r="39" ht="15.75" customHeight="1">
      <c r="A39" s="1"/>
      <c r="B39" s="74">
        <v>1.0</v>
      </c>
      <c r="C39" s="75" t="s">
        <v>115</v>
      </c>
      <c r="D39" s="76">
        <f>SUM(G35)</f>
        <v>0</v>
      </c>
      <c r="E39" s="77"/>
      <c r="F39" s="1"/>
      <c r="G39" s="1"/>
      <c r="H39" s="1"/>
      <c r="I39" s="1"/>
      <c r="J39" s="1"/>
      <c r="K39" s="1"/>
      <c r="L39" s="1"/>
      <c r="M39" s="1"/>
      <c r="N39" s="78" t="s">
        <v>119</v>
      </c>
      <c r="O39" s="35"/>
      <c r="P39" s="1"/>
      <c r="Q39" s="1"/>
      <c r="R39" s="1"/>
    </row>
    <row r="40" ht="15.75" customHeight="1">
      <c r="A40" s="1"/>
      <c r="B40" s="80">
        <v>2.0</v>
      </c>
      <c r="C40" s="94"/>
      <c r="D40" s="95"/>
      <c r="E40" s="77"/>
      <c r="F40" s="1"/>
      <c r="G40" s="1"/>
      <c r="H40" s="1"/>
      <c r="I40" s="1"/>
      <c r="J40" s="1"/>
      <c r="K40" s="1"/>
      <c r="L40" s="1"/>
      <c r="M40" s="1"/>
      <c r="N40" s="84" t="s">
        <v>125</v>
      </c>
      <c r="O40" s="166"/>
      <c r="P40" s="1"/>
      <c r="Q40" s="1"/>
      <c r="R40" s="1"/>
    </row>
    <row r="41" ht="15.75" customHeight="1">
      <c r="A41" s="1"/>
      <c r="B41" s="74">
        <v>3.0</v>
      </c>
      <c r="C41" s="75"/>
      <c r="D41" s="76"/>
      <c r="E41" s="77"/>
      <c r="F41" s="1"/>
      <c r="G41" s="1"/>
      <c r="H41" s="1"/>
      <c r="I41" s="1"/>
      <c r="J41" s="1"/>
      <c r="K41" s="1"/>
      <c r="L41" s="1"/>
      <c r="M41" s="1"/>
      <c r="N41" s="91" t="s">
        <v>128</v>
      </c>
      <c r="O41" s="43"/>
      <c r="P41" s="1"/>
      <c r="Q41" s="1"/>
      <c r="R41" s="1"/>
    </row>
    <row r="42" ht="15.75" customHeight="1">
      <c r="A42" s="1"/>
      <c r="B42" s="80">
        <v>4.0</v>
      </c>
      <c r="C42" s="94"/>
      <c r="D42" s="95"/>
      <c r="E42" s="77"/>
      <c r="F42" s="1"/>
      <c r="G42" s="1"/>
      <c r="H42" s="1"/>
      <c r="I42" s="1"/>
      <c r="J42" s="1"/>
      <c r="K42" s="1"/>
      <c r="L42" s="1"/>
      <c r="M42" s="1"/>
      <c r="N42" s="93" t="s">
        <v>131</v>
      </c>
      <c r="O42" s="166"/>
      <c r="P42" s="1"/>
      <c r="Q42" s="1"/>
      <c r="R42" s="1"/>
    </row>
    <row r="43" ht="15.75" customHeight="1">
      <c r="A43" s="1"/>
      <c r="B43" s="74"/>
      <c r="C43" s="75"/>
      <c r="D43" s="76"/>
      <c r="E43" s="77"/>
      <c r="F43" s="1"/>
      <c r="G43" s="1"/>
      <c r="H43" s="1"/>
      <c r="I43" s="1"/>
      <c r="J43" s="1"/>
      <c r="K43" s="1"/>
      <c r="L43" s="1"/>
      <c r="M43" s="1"/>
      <c r="N43" s="97"/>
      <c r="O43" s="1"/>
      <c r="P43" s="1"/>
      <c r="Q43" s="1"/>
      <c r="R43" s="1"/>
    </row>
    <row r="44" ht="15.75" customHeight="1">
      <c r="A44" s="1"/>
      <c r="B44" s="80"/>
      <c r="C44" s="94"/>
      <c r="D44" s="95"/>
      <c r="E44" s="77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4"/>
      <c r="C45" s="75"/>
      <c r="D45" s="76"/>
      <c r="E45" s="77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0"/>
      <c r="C46" s="94"/>
      <c r="D46" s="95"/>
      <c r="E46" s="77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4"/>
      <c r="C47" s="75"/>
      <c r="D47" s="76"/>
      <c r="E47" s="77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0"/>
      <c r="C48" s="94"/>
      <c r="D48" s="95"/>
      <c r="E48" s="77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0"/>
      <c r="C49" s="111"/>
      <c r="D49" s="112"/>
      <c r="E49" s="77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5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7" t="s">
        <v>391</v>
      </c>
      <c r="AU1" s="100" t="s">
        <v>392</v>
      </c>
    </row>
    <row r="2">
      <c r="A2" s="198" t="s">
        <v>393</v>
      </c>
      <c r="AU2" s="100">
        <v>1.0</v>
      </c>
    </row>
    <row r="3">
      <c r="AU3" s="100">
        <v>2.0</v>
      </c>
    </row>
    <row r="4">
      <c r="A4" s="199" t="s">
        <v>394</v>
      </c>
      <c r="AU4" s="100">
        <v>3.0</v>
      </c>
      <c r="AV4" s="100">
        <v>1.0</v>
      </c>
      <c r="AW4" s="100">
        <v>2.0</v>
      </c>
      <c r="AX4" s="100">
        <v>3.0</v>
      </c>
      <c r="AY4" s="100">
        <v>4.0</v>
      </c>
      <c r="AZ4" s="100">
        <v>5.0</v>
      </c>
      <c r="BA4" s="100">
        <v>6.0</v>
      </c>
      <c r="BB4" s="100">
        <v>7.0</v>
      </c>
      <c r="BC4" s="100">
        <v>8.0</v>
      </c>
      <c r="BD4" s="100">
        <v>9.0</v>
      </c>
      <c r="BE4" s="100">
        <v>10.0</v>
      </c>
      <c r="BF4" s="100">
        <v>11.0</v>
      </c>
      <c r="BG4" s="100">
        <v>12.0</v>
      </c>
      <c r="BH4" s="100">
        <v>13.0</v>
      </c>
      <c r="BI4" s="100">
        <v>14.0</v>
      </c>
      <c r="BJ4" s="100">
        <v>15.0</v>
      </c>
      <c r="BK4" s="100">
        <v>16.0</v>
      </c>
      <c r="BL4" s="100">
        <v>17.0</v>
      </c>
      <c r="BM4" s="100">
        <v>18.0</v>
      </c>
      <c r="BN4" s="100">
        <v>19.0</v>
      </c>
      <c r="BO4" s="100">
        <v>20.0</v>
      </c>
      <c r="BP4" s="100">
        <v>21.0</v>
      </c>
      <c r="BQ4" s="100">
        <v>22.0</v>
      </c>
      <c r="BR4" s="100">
        <v>23.0</v>
      </c>
      <c r="BS4" s="100">
        <v>24.0</v>
      </c>
      <c r="BT4" s="100">
        <v>25.0</v>
      </c>
      <c r="BU4" s="100">
        <v>26.0</v>
      </c>
      <c r="BV4" s="100">
        <v>27.0</v>
      </c>
      <c r="BW4" s="100">
        <v>28.0</v>
      </c>
      <c r="BX4" s="100">
        <v>29.0</v>
      </c>
      <c r="BY4" s="100">
        <v>30.0</v>
      </c>
      <c r="BZ4" s="100">
        <v>31.0</v>
      </c>
      <c r="CA4" s="100" t="s">
        <v>395</v>
      </c>
      <c r="CB4" s="100" t="s">
        <v>396</v>
      </c>
    </row>
    <row r="5">
      <c r="A5" s="201" t="s">
        <v>397</v>
      </c>
      <c r="B5" s="201" t="s">
        <v>3</v>
      </c>
      <c r="C5" s="201" t="s">
        <v>398</v>
      </c>
      <c r="D5" s="201" t="s">
        <v>399</v>
      </c>
      <c r="E5" s="201" t="s">
        <v>400</v>
      </c>
      <c r="X5" s="100" t="s">
        <v>41</v>
      </c>
      <c r="Y5" s="100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61</v>
      </c>
      <c r="Z5" s="100">
        <f t="shared" ref="Z5:Z17" si="1">Y5+(18-ROW())/100000</f>
        <v>61.00013</v>
      </c>
      <c r="AA5" s="100" t="s">
        <v>32</v>
      </c>
      <c r="AB5" s="100" t="s">
        <v>401</v>
      </c>
      <c r="AC5" s="100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16</v>
      </c>
      <c r="AD5" s="100">
        <f t="shared" ref="AD5:AD15" si="2">AC5+(16-ROW())/100000</f>
        <v>16.00011</v>
      </c>
      <c r="AE5" s="100" t="s">
        <v>32</v>
      </c>
      <c r="AF5" s="100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112</v>
      </c>
      <c r="AG5" s="100">
        <f t="shared" ref="AG5:AG9" si="3">AF5+(10-ROW())/100000</f>
        <v>112.00005</v>
      </c>
      <c r="AH5" s="100" t="s">
        <v>402</v>
      </c>
      <c r="AI5" s="100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0">
        <f t="shared" ref="AJ5:AJ10" si="4">AI5+(11-ROW())/100000</f>
        <v>0.00006</v>
      </c>
      <c r="AK5" s="100" t="s">
        <v>32</v>
      </c>
      <c r="AL5" s="100" t="s">
        <v>401</v>
      </c>
      <c r="AM5" s="100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16</v>
      </c>
      <c r="AN5" s="100">
        <f t="shared" ref="AN5:AN15" si="5">IF(AM5=0,"",AO5/5*20+AP5/5*25+AQ5/5*25+AR5/5*15+AS5/5*15)</f>
        <v>100</v>
      </c>
      <c r="AO5" s="100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0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0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0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0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0">
        <v>4.0</v>
      </c>
      <c r="AV5" s="100" t="str">
        <f>IF(COUNTIFS('1'!$AG$29:$AG$34,$AK5,'1'!$AF$29:$AF$34,1)=0,"",SUMIFS('1'!$AC$29:$AC$34,'1'!$AG$29:$AG$34,$AK5,'1'!$AF$29:$AF$34,1)/COUNTIFS('1'!$AG$29:$AG$34,$AK5,'1'!$AF$29:$AF$34,1))</f>
        <v/>
      </c>
      <c r="AW5" s="100">
        <f>IF(COUNTIFS('2'!$AG$27:$AG$32,$AK5,'2'!$AF$27:$AF$32,1)=0,"",SUMIFS('2'!$AC$27:$AC$32,'2'!$AG$27:$AG$32,$AK5,'2'!$AF$27:$AF$32,1)/COUNTIFS('2'!$AG$27:$AG$32,$AK5,'2'!$AF$27:$AF$32,1))</f>
        <v>100</v>
      </c>
      <c r="AX5" s="100">
        <f>IF(COUNTIFS('3'!$AG$74:$AG$79,$AK5,'3'!$AF$74:$AF$79,1)=0,"",SUMIFS('3'!$AC$74:$AC$79,'3'!$AG$74:$AG$79,$AK5,'3'!$AF$74:$AF$79,1)/COUNTIFS('3'!$AG$74:$AG$79,$AK5,'3'!$AF$74:$AF$79,1))</f>
        <v>100</v>
      </c>
      <c r="AY5" s="100">
        <f>IF(COUNTIFS('4'!$AG$86:$AG$91,$AK5,'4'!$AF$86:$AF$91,1)=0,"",SUMIFS('4'!$AC$86:$AC$91,'4'!$AG$86:$AG$91,$AK5,'4'!$AF$86:$AF$91,1)/COUNTIFS('4'!$AG$86:$AG$91,$AK5,'4'!$AF$86:$AF$91,1))</f>
        <v>100</v>
      </c>
      <c r="AZ5" s="100">
        <f>IF(COUNTIFS('5'!$AG$27:$AG$32,$AK5,'5'!$AF$27:$AF$32,1)=0,"",SUMIFS('5'!$AC$27:$AC$32,'5'!$AG$27:$AG$32,$AK5,'5'!$AF$27:$AF$32,1)/COUNTIFS('5'!$AG$27:$AG$32,$AK5,'5'!$AF$27:$AF$32,1))</f>
        <v>100</v>
      </c>
      <c r="BA5" s="100">
        <f>IF(COUNTIFS('6'!$AG$31:$AG$36,$AK5,'6'!$AF$31:$AF$36,1)=0,"",SUMIFS('6'!$AC$31:$AC$36,'6'!$AG$31:$AG$36,$AK5,'6'!$AF$31:$AF$36,1)/COUNTIFS('6'!$AG$31:$AG$36,$AK5,'6'!$AF$31:$AF$36,1))</f>
        <v>100</v>
      </c>
      <c r="BB5" s="100">
        <f>IF(COUNTIFS('7'!$AG$30:$AG$35,$AK5,'7'!$AF$30:$AF$35,1)=0,"",SUMIFS('7'!$AC$30:$AC$35,'7'!$AG$30:$AG$35,$AK5,'7'!$AF$30:$AF$35,1)/COUNTIFS('7'!$AG$30:$AG$35,$AK5,'7'!$AF$30:$AF$35,1))</f>
        <v>100</v>
      </c>
      <c r="BC5" s="100" t="str">
        <f>IF(COUNTIFS('8'!$AG$31:$AG$36,$AK5,'8'!$AF$31:$AF$36,1)=0,"",SUMIFS('8'!$AC$31:$AC$36,'8'!$AG$31:$AG$36,$AK5,'8'!$AF$31:$AF$36,1)/COUNTIFS('8'!$AG$31:$AG$36,$AK5,'8'!$AF$31:$AF$36,1))</f>
        <v/>
      </c>
      <c r="BD5" s="100">
        <f>IF(COUNTIFS('9'!$AG$33:$AG$38,$AK5,'9'!$AF$33:$AF$38,1)=0,"",SUMIFS('9'!$AC$33:$AC$38,'9'!$AG$33:$AG$38,$AK5,'9'!$AF$33:$AF$38,1)/COUNTIFS('9'!$AG$33:$AG$38,$AK5,'9'!$AF$33:$AF$38,1))</f>
        <v>100</v>
      </c>
      <c r="BE5" s="100">
        <f>IF(COUNTIFS('10'!$AG$33:$AG$38,$AK5,'10'!$AF$33:$AF$38,1)=0,"",SUMIFS('10'!$AC$33:$AC$38,'10'!$AG$33:$AG$38,$AK5,'10'!$AF$33:$AF$38,1)/COUNTIFS('10'!$AG$33:$AG$38,$AK5,'10'!$AF$33:$AF$38,1))</f>
        <v>100</v>
      </c>
      <c r="BF5" s="100">
        <f>IF(COUNTIFS('11'!$AG$29:$AG$34,$AK5,'11'!$AF$29:$AF$34,1)=0,"",SUMIFS('11'!$AC$29:$AC$34,'11'!$AG$29:$AG$34,$AK5,'11'!$AF$29:$AF$34,1)/COUNTIFS('11'!$AG$29:$AG$34,$AK5,'11'!$AF$29:$AF$34,1))</f>
        <v>100</v>
      </c>
      <c r="BG5" s="100">
        <f>IF(COUNTIFS('12'!$AG$26:$AG$31,$AK5,'12'!$AF$26:$AF$31,1)=0,"",SUMIFS('12'!$AC$26:$AC$31,'12'!$AG$26:$AG$31,$AK5,'12'!$AF$26:$AF$31,1)/COUNTIFS('12'!$AG$26:$AG$31,$AK5,'12'!$AF$26:$AF$31,1))</f>
        <v>100</v>
      </c>
      <c r="BH5" s="100">
        <f>IF(COUNTIFS('13'!$AG$25:$AG$30,$AK5,'13'!$AF$25:$AF$30,1)=0,"",SUMIFS('13'!$AC$25:$AC$30,'13'!$AG$25:$AG$30,$AK5,'13'!$AF$25:$AF$30,1)/COUNTIFS('13'!$AG$25:$AG$30,$AK5,'13'!$AF$25:$AF$30,1))</f>
        <v>100</v>
      </c>
      <c r="BI5" s="100" t="str">
        <f>IF(COUNTIFS('14'!$AG$25:$AG$30,$AK5,'14'!$AF$25:$AF$30,1)=0,"",SUMIFS('14'!$AC$25:$AC$30,'14'!$AG$25:$AG$30,$AK5,'14'!$AF$25:$AF$30,1)/COUNTIFS('14'!$AG$25:$AG$30,$AK5,'14'!$AF$25:$AF$30,1))</f>
        <v/>
      </c>
      <c r="BJ5" s="100">
        <f>IF(COUNTIFS('15'!$AG$29:$AG$34,$AK5,'15'!$AF$29:$AF$34,1)=0,"",SUMIFS('15'!$AC$29:$AC$34,'15'!$AG$29:$AG$34,$AK5,'15'!$AF$29:$AF$34,1)/COUNTIFS('15'!$AG$29:$AG$34,$AK5,'15'!$AF$29:$AF$34,1))</f>
        <v>100</v>
      </c>
      <c r="BK5" s="100">
        <f>IF(COUNTIFS('16'!$AG$28:$AG$33,$AK5,'16'!$AF$28:$AF$33,1)=0,"",SUMIFS('16'!$AC$28:$AC$33,'16'!$AG$28:$AG$33,$AK5,'16'!$AF$28:$AF$33,1)/COUNTIFS('16'!$AG$28:$AG$33,$AK5,'16'!$AF$28:$AF$33,1))</f>
        <v>100</v>
      </c>
      <c r="BL5" s="100" t="str">
        <f>IF(COUNTIFS('17'!$AG$25:$AG$30,$AK5,'17'!$AF$25:$AF$30,1)=0,"",SUMIFS('17'!$AC$25:$AC$30,'17'!$AG$25:$AG$30,$AK5,'17'!$AF$25:$AF$30,1)/COUNTIFS('17'!$AG$25:$AG$30,$AK5,'17'!$AF$25:$AF$30,1))</f>
        <v/>
      </c>
      <c r="BM5" s="100" t="str">
        <f>IF(COUNTIFS('18'!$AG$25:$AG$30,$AK5,'18'!$AF$25:$AF$30,1)=0,"",SUMIFS('18'!$AC$25:$AC$30,'18'!$AG$25:$AG$30,$AK5,'18'!$AF$25:$AF$30,1)/COUNTIFS('18'!$AG$25:$AG$30,$AK5,'18'!$AF$25:$AF$30,1))</f>
        <v/>
      </c>
      <c r="BN5" s="100" t="str">
        <f>IF(COUNTIFS('19'!$AG$25:$AG$30,$AK5,'19'!$AF$25:$AF$30,1)=0,"",SUMIFS('19'!$AC$25:$AC$30,'19'!$AG$25:$AG$30,$AK5,'19'!$AF$25:$AF$30,1)/COUNTIFS('19'!$AG$25:$AG$30,$AK5,'19'!$AF$25:$AF$30,1))</f>
        <v/>
      </c>
      <c r="BO5" s="100" t="str">
        <f>IF(COUNTIFS('20'!$AG$25:$AG$30,$AK5,'20'!$AF$25:$AF$30,1)=0,"",SUMIFS('20'!$AC$25:$AC$30,'20'!$AG$25:$AG$30,$AK5,'20'!$AF$25:$AF$30,1)/COUNTIFS('20'!$AG$25:$AG$30,$AK5,'20'!$AF$25:$AF$30,1))</f>
        <v/>
      </c>
      <c r="BP5" s="100" t="str">
        <f>IF(COUNTIFS('21'!$AG$25:$AG$30,$AK5,'21'!$AF$25:$AF$30,1)=0,"",SUMIFS('21'!$AC$25:$AC$30,'21'!$AG$25:$AG$30,$AK5,'21'!$AF$25:$AF$30,1)/COUNTIFS('21'!$AG$25:$AG$30,$AK5,'21'!$AF$25:$AF$30,1))</f>
        <v/>
      </c>
      <c r="BQ5" s="100" t="str">
        <f>IF(COUNTIFS('22'!$AG$25:$AG$30,$AK5,'22'!$AF$25:$AF$30,1)=0,"",SUMIFS('22'!$AC$25:$AC$30,'22'!$AG$25:$AG$30,$AK5,'22'!$AF$25:$AF$30,1)/COUNTIFS('22'!$AG$25:$AG$30,$AK5,'22'!$AF$25:$AF$30,1))</f>
        <v/>
      </c>
      <c r="BR5" s="100" t="str">
        <f>IF(COUNTIFS('23'!$AG$25:$AG$30,$AK5,'23'!$AF$25:$AF$30,1)=0,"",SUMIFS('23'!$AC$25:$AC$30,'23'!$AG$25:$AG$30,$AK5,'23'!$AF$25:$AF$30,1)/COUNTIFS('23'!$AG$25:$AG$30,$AK5,'23'!$AF$25:$AF$30,1))</f>
        <v/>
      </c>
      <c r="BS5" s="100" t="str">
        <f>IF(COUNTIFS('24'!$AG$25:$AG$30,$AK5,'24'!$AF$25:$AF$30,1)=0,"",SUMIFS('24'!$AC$25:$AC$30,'24'!$AG$25:$AG$30,$AK5,'24'!$AF$25:$AF$30,1)/COUNTIFS('24'!$AG$25:$AG$30,$AK5,'24'!$AF$25:$AF$30,1))</f>
        <v/>
      </c>
      <c r="BT5" s="100" t="str">
        <f>IF(COUNTIFS('25'!$AG$25:$AG$30,$AK5,'25'!$AF$25:$AF$30,1)=0,"",SUMIFS('25'!$AC$25:$AC$30,'25'!$AG$25:$AG$30,$AK5,'25'!$AF$25:$AF$30,1)/COUNTIFS('25'!$AG$25:$AG$30,$AK5,'25'!$AF$25:$AF$30,1))</f>
        <v/>
      </c>
      <c r="BU5" s="100" t="str">
        <f>IF(COUNTIFS('26'!$AG$25:$AG$30,$AK5,'26'!$AF$25:$AF$30,1)=0,"",SUMIFS('26'!$AC$25:$AC$30,'26'!$AG$25:$AG$30,$AK5,'26'!$AF$25:$AF$30,1)/COUNTIFS('26'!$AG$25:$AG$30,$AK5,'26'!$AF$25:$AF$30,1))</f>
        <v/>
      </c>
      <c r="BV5" s="100" t="str">
        <f>IF(COUNTIFS('27'!$AG$25:$AG$30,$AK5,'27'!$AF$25:$AF$30,1)=0,"",SUMIFS('27'!$AC$25:$AC$30,'27'!$AG$25:$AG$30,$AK5,'27'!$AF$25:$AF$30,1)/COUNTIFS('27'!$AG$25:$AG$30,$AK5,'27'!$AF$25:$AF$30,1))</f>
        <v/>
      </c>
      <c r="BW5" s="100" t="str">
        <f>IF(COUNTIFS('28'!$AG$25:$AG$30,$AK5,'28'!$AF$25:$AF$30,1)=0,"",SUMIFS('28'!$AC$25:$AC$30,'28'!$AG$25:$AG$30,$AK5,'28'!$AF$25:$AF$30,1)/COUNTIFS('28'!$AG$25:$AG$30,$AK5,'28'!$AF$25:$AF$30,1))</f>
        <v/>
      </c>
      <c r="BX5" s="100" t="str">
        <f>IF(COUNTIFS('29'!$AG$25:$AG$30,$AK5,'29'!$AF$25:$AF$30,1)=0,"",SUMIFS('29'!$AC$25:$AC$30,'29'!$AG$25:$AG$30,$AK5,'29'!$AF$25:$AF$30,1)/COUNTIFS('29'!$AG$25:$AG$30,$AK5,'29'!$AF$25:$AF$30,1))</f>
        <v/>
      </c>
      <c r="BY5" s="100" t="str">
        <f>IF(COUNTIFS('30'!$AG$25:$AG$30,$AK5,'30'!$AF$25:$AF$30,1)=0,"",SUMIFS('30'!$AC$25:$AC$30,'30'!$AG$25:$AG$30,$AK5,'30'!$AF$25:$AF$30,1)/COUNTIFS('30'!$AG$25:$AG$30,$AK5,'30'!$AF$25:$AF$30,1))</f>
        <v/>
      </c>
      <c r="BZ5" s="100" t="str">
        <f>IF(COUNTIFS('31'!$AG$28:$AG$33,$AK5,'31'!$AF$28:$AF$33,1)=0,"",SUMIFS('31'!$AC$28:$AC$33,'31'!$AG$28:$AG$33,$AK5,'31'!$AF$28:$AF$33,1)/COUNTIFS('31'!$AG$28:$AG$33,$AK5,'31'!$AF$28:$AF$33,1))</f>
        <v/>
      </c>
      <c r="CA5" s="100" t="s">
        <v>403</v>
      </c>
      <c r="CB5" s="100">
        <f t="shared" ref="CB5:CB8" si="6">COUNTIF($J$51:$J$61,CA5)</f>
        <v>4</v>
      </c>
    </row>
    <row r="6">
      <c r="A6" s="203">
        <f>IF(LARGE($Y$5:$Y$17,1)=0,"",1)</f>
        <v>1</v>
      </c>
      <c r="B6" s="203" t="str">
        <f t="shared" ref="B6:B18" si="7">IF(A6="","",INDEX($X$5:$X$17,MATCH(LARGE($Z$5:$Z$17,A6),$Z$5:$Z$17,0)))</f>
        <v>Graduation</v>
      </c>
      <c r="C6" s="203">
        <f t="shared" ref="C6:C18" si="8">IF(B6="","",INDEX($Y$5:$Y$17,MATCH(B6,$X$5:$X$17,0)))</f>
        <v>83</v>
      </c>
      <c r="D6" s="204">
        <f t="shared" ref="D6:D18" si="9">IF(C6="","",C6/$C$19)</f>
        <v>0.380733945</v>
      </c>
      <c r="E6" s="204">
        <f t="shared" ref="E6:E18" si="10">IF(D6="","",SUM($D$6:D6))</f>
        <v>0.380733945</v>
      </c>
      <c r="X6" s="100" t="s">
        <v>23</v>
      </c>
      <c r="Y6" s="100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83</v>
      </c>
      <c r="Z6" s="100">
        <f t="shared" si="1"/>
        <v>83.00012</v>
      </c>
      <c r="AA6" s="100" t="s">
        <v>404</v>
      </c>
      <c r="AB6" s="100" t="s">
        <v>401</v>
      </c>
      <c r="AC6" s="100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0">
        <f t="shared" si="2"/>
        <v>0.0001</v>
      </c>
      <c r="AE6" s="100" t="s">
        <v>404</v>
      </c>
      <c r="AF6" s="100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0">
        <f t="shared" si="3"/>
        <v>0.00004</v>
      </c>
      <c r="AH6" s="100" t="s">
        <v>87</v>
      </c>
      <c r="AI6" s="100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0">
        <f t="shared" si="4"/>
        <v>12.00005</v>
      </c>
      <c r="AK6" s="100" t="s">
        <v>404</v>
      </c>
      <c r="AL6" s="100" t="s">
        <v>401</v>
      </c>
      <c r="AM6" s="100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0" t="str">
        <f t="shared" si="5"/>
        <v/>
      </c>
      <c r="AO6" s="100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0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0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0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0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0">
        <v>5.0</v>
      </c>
      <c r="AV6" s="100" t="str">
        <f>IF(COUNTIFS('1'!$AG$29:$AG$34,$AK6,'1'!$AF$29:$AF$34,1)=0,"",SUMIFS('1'!$AC$29:$AC$34,'1'!$AG$29:$AG$34,$AK6,'1'!$AF$29:$AF$34,1)/COUNTIFS('1'!$AG$29:$AG$34,$AK6,'1'!$AF$29:$AF$34,1))</f>
        <v/>
      </c>
      <c r="AW6" s="100" t="str">
        <f>IF(COUNTIFS('2'!$AG$27:$AG$32,$AK6,'2'!$AF$27:$AF$32,1)=0,"",SUMIFS('2'!$AC$27:$AC$32,'2'!$AG$27:$AG$32,$AK6,'2'!$AF$27:$AF$32,1)/COUNTIFS('2'!$AG$27:$AG$32,$AK6,'2'!$AF$27:$AF$32,1))</f>
        <v/>
      </c>
      <c r="AX6" s="100" t="str">
        <f>IF(COUNTIFS('3'!$AG$74:$AG$79,$AK6,'3'!$AF$74:$AF$79,1)=0,"",SUMIFS('3'!$AC$74:$AC$79,'3'!$AG$74:$AG$79,$AK6,'3'!$AF$74:$AF$79,1)/COUNTIFS('3'!$AG$74:$AG$79,$AK6,'3'!$AF$74:$AF$79,1))</f>
        <v/>
      </c>
      <c r="AY6" s="100" t="str">
        <f>IF(COUNTIFS('4'!$AG$86:$AG$91,$AK6,'4'!$AF$86:$AF$91,1)=0,"",SUMIFS('4'!$AC$86:$AC$91,'4'!$AG$86:$AG$91,$AK6,'4'!$AF$86:$AF$91,1)/COUNTIFS('4'!$AG$86:$AG$91,$AK6,'4'!$AF$86:$AF$91,1))</f>
        <v/>
      </c>
      <c r="AZ6" s="100" t="str">
        <f>IF(COUNTIFS('5'!$AG$27:$AG$32,$AK6,'5'!$AF$27:$AF$32,1)=0,"",SUMIFS('5'!$AC$27:$AC$32,'5'!$AG$27:$AG$32,$AK6,'5'!$AF$27:$AF$32,1)/COUNTIFS('5'!$AG$27:$AG$32,$AK6,'5'!$AF$27:$AF$32,1))</f>
        <v/>
      </c>
      <c r="BA6" s="100" t="str">
        <f>IF(COUNTIFS('6'!$AG$31:$AG$36,$AK6,'6'!$AF$31:$AF$36,1)=0,"",SUMIFS('6'!$AC$31:$AC$36,'6'!$AG$31:$AG$36,$AK6,'6'!$AF$31:$AF$36,1)/COUNTIFS('6'!$AG$31:$AG$36,$AK6,'6'!$AF$31:$AF$36,1))</f>
        <v/>
      </c>
      <c r="BB6" s="100" t="str">
        <f>IF(COUNTIFS('7'!$AG$30:$AG$35,$AK6,'7'!$AF$30:$AF$35,1)=0,"",SUMIFS('7'!$AC$30:$AC$35,'7'!$AG$30:$AG$35,$AK6,'7'!$AF$30:$AF$35,1)/COUNTIFS('7'!$AG$30:$AG$35,$AK6,'7'!$AF$30:$AF$35,1))</f>
        <v/>
      </c>
      <c r="BC6" s="100" t="str">
        <f>IF(COUNTIFS('8'!$AG$31:$AG$36,$AK6,'8'!$AF$31:$AF$36,1)=0,"",SUMIFS('8'!$AC$31:$AC$36,'8'!$AG$31:$AG$36,$AK6,'8'!$AF$31:$AF$36,1)/COUNTIFS('8'!$AG$31:$AG$36,$AK6,'8'!$AF$31:$AF$36,1))</f>
        <v/>
      </c>
      <c r="BD6" s="100" t="str">
        <f>IF(COUNTIFS('9'!$AG$33:$AG$38,$AK6,'9'!$AF$33:$AF$38,1)=0,"",SUMIFS('9'!$AC$33:$AC$38,'9'!$AG$33:$AG$38,$AK6,'9'!$AF$33:$AF$38,1)/COUNTIFS('9'!$AG$33:$AG$38,$AK6,'9'!$AF$33:$AF$38,1))</f>
        <v/>
      </c>
      <c r="BE6" s="100" t="str">
        <f>IF(COUNTIFS('10'!$AG$33:$AG$38,$AK6,'10'!$AF$33:$AF$38,1)=0,"",SUMIFS('10'!$AC$33:$AC$38,'10'!$AG$33:$AG$38,$AK6,'10'!$AF$33:$AF$38,1)/COUNTIFS('10'!$AG$33:$AG$38,$AK6,'10'!$AF$33:$AF$38,1))</f>
        <v/>
      </c>
      <c r="BF6" s="100" t="str">
        <f>IF(COUNTIFS('11'!$AG$29:$AG$34,$AK6,'11'!$AF$29:$AF$34,1)=0,"",SUMIFS('11'!$AC$29:$AC$34,'11'!$AG$29:$AG$34,$AK6,'11'!$AF$29:$AF$34,1)/COUNTIFS('11'!$AG$29:$AG$34,$AK6,'11'!$AF$29:$AF$34,1))</f>
        <v/>
      </c>
      <c r="BG6" s="100" t="str">
        <f>IF(COUNTIFS('12'!$AG$26:$AG$31,$AK6,'12'!$AF$26:$AF$31,1)=0,"",SUMIFS('12'!$AC$26:$AC$31,'12'!$AG$26:$AG$31,$AK6,'12'!$AF$26:$AF$31,1)/COUNTIFS('12'!$AG$26:$AG$31,$AK6,'12'!$AF$26:$AF$31,1))</f>
        <v/>
      </c>
      <c r="BH6" s="100" t="str">
        <f>IF(COUNTIFS('13'!$AG$25:$AG$30,$AK6,'13'!$AF$25:$AF$30,1)=0,"",SUMIFS('13'!$AC$25:$AC$30,'13'!$AG$25:$AG$30,$AK6,'13'!$AF$25:$AF$30,1)/COUNTIFS('13'!$AG$25:$AG$30,$AK6,'13'!$AF$25:$AF$30,1))</f>
        <v/>
      </c>
      <c r="BI6" s="100" t="str">
        <f>IF(COUNTIFS('14'!$AG$25:$AG$30,$AK6,'14'!$AF$25:$AF$30,1)=0,"",SUMIFS('14'!$AC$25:$AC$30,'14'!$AG$25:$AG$30,$AK6,'14'!$AF$25:$AF$30,1)/COUNTIFS('14'!$AG$25:$AG$30,$AK6,'14'!$AF$25:$AF$30,1))</f>
        <v/>
      </c>
      <c r="BJ6" s="100" t="str">
        <f>IF(COUNTIFS('15'!$AG$29:$AG$34,$AK6,'15'!$AF$29:$AF$34,1)=0,"",SUMIFS('15'!$AC$29:$AC$34,'15'!$AG$29:$AG$34,$AK6,'15'!$AF$29:$AF$34,1)/COUNTIFS('15'!$AG$29:$AG$34,$AK6,'15'!$AF$29:$AF$34,1))</f>
        <v/>
      </c>
      <c r="BK6" s="100" t="str">
        <f>IF(COUNTIFS('16'!$AG$28:$AG$33,$AK6,'16'!$AF$28:$AF$33,1)=0,"",SUMIFS('16'!$AC$28:$AC$33,'16'!$AG$28:$AG$33,$AK6,'16'!$AF$28:$AF$33,1)/COUNTIFS('16'!$AG$28:$AG$33,$AK6,'16'!$AF$28:$AF$33,1))</f>
        <v/>
      </c>
      <c r="BL6" s="100" t="str">
        <f>IF(COUNTIFS('17'!$AG$25:$AG$30,$AK6,'17'!$AF$25:$AF$30,1)=0,"",SUMIFS('17'!$AC$25:$AC$30,'17'!$AG$25:$AG$30,$AK6,'17'!$AF$25:$AF$30,1)/COUNTIFS('17'!$AG$25:$AG$30,$AK6,'17'!$AF$25:$AF$30,1))</f>
        <v/>
      </c>
      <c r="BM6" s="100" t="str">
        <f>IF(COUNTIFS('18'!$AG$25:$AG$30,$AK6,'18'!$AF$25:$AF$30,1)=0,"",SUMIFS('18'!$AC$25:$AC$30,'18'!$AG$25:$AG$30,$AK6,'18'!$AF$25:$AF$30,1)/COUNTIFS('18'!$AG$25:$AG$30,$AK6,'18'!$AF$25:$AF$30,1))</f>
        <v/>
      </c>
      <c r="BN6" s="100" t="str">
        <f>IF(COUNTIFS('19'!$AG$25:$AG$30,$AK6,'19'!$AF$25:$AF$30,1)=0,"",SUMIFS('19'!$AC$25:$AC$30,'19'!$AG$25:$AG$30,$AK6,'19'!$AF$25:$AF$30,1)/COUNTIFS('19'!$AG$25:$AG$30,$AK6,'19'!$AF$25:$AF$30,1))</f>
        <v/>
      </c>
      <c r="BO6" s="100" t="str">
        <f>IF(COUNTIFS('20'!$AG$25:$AG$30,$AK6,'20'!$AF$25:$AF$30,1)=0,"",SUMIFS('20'!$AC$25:$AC$30,'20'!$AG$25:$AG$30,$AK6,'20'!$AF$25:$AF$30,1)/COUNTIFS('20'!$AG$25:$AG$30,$AK6,'20'!$AF$25:$AF$30,1))</f>
        <v/>
      </c>
      <c r="BP6" s="100" t="str">
        <f>IF(COUNTIFS('21'!$AG$25:$AG$30,$AK6,'21'!$AF$25:$AF$30,1)=0,"",SUMIFS('21'!$AC$25:$AC$30,'21'!$AG$25:$AG$30,$AK6,'21'!$AF$25:$AF$30,1)/COUNTIFS('21'!$AG$25:$AG$30,$AK6,'21'!$AF$25:$AF$30,1))</f>
        <v/>
      </c>
      <c r="BQ6" s="100" t="str">
        <f>IF(COUNTIFS('22'!$AG$25:$AG$30,$AK6,'22'!$AF$25:$AF$30,1)=0,"",SUMIFS('22'!$AC$25:$AC$30,'22'!$AG$25:$AG$30,$AK6,'22'!$AF$25:$AF$30,1)/COUNTIFS('22'!$AG$25:$AG$30,$AK6,'22'!$AF$25:$AF$30,1))</f>
        <v/>
      </c>
      <c r="BR6" s="100" t="str">
        <f>IF(COUNTIFS('23'!$AG$25:$AG$30,$AK6,'23'!$AF$25:$AF$30,1)=0,"",SUMIFS('23'!$AC$25:$AC$30,'23'!$AG$25:$AG$30,$AK6,'23'!$AF$25:$AF$30,1)/COUNTIFS('23'!$AG$25:$AG$30,$AK6,'23'!$AF$25:$AF$30,1))</f>
        <v/>
      </c>
      <c r="BS6" s="100" t="str">
        <f>IF(COUNTIFS('24'!$AG$25:$AG$30,$AK6,'24'!$AF$25:$AF$30,1)=0,"",SUMIFS('24'!$AC$25:$AC$30,'24'!$AG$25:$AG$30,$AK6,'24'!$AF$25:$AF$30,1)/COUNTIFS('24'!$AG$25:$AG$30,$AK6,'24'!$AF$25:$AF$30,1))</f>
        <v/>
      </c>
      <c r="BT6" s="100" t="str">
        <f>IF(COUNTIFS('25'!$AG$25:$AG$30,$AK6,'25'!$AF$25:$AF$30,1)=0,"",SUMIFS('25'!$AC$25:$AC$30,'25'!$AG$25:$AG$30,$AK6,'25'!$AF$25:$AF$30,1)/COUNTIFS('25'!$AG$25:$AG$30,$AK6,'25'!$AF$25:$AF$30,1))</f>
        <v/>
      </c>
      <c r="BU6" s="100" t="str">
        <f>IF(COUNTIFS('26'!$AG$25:$AG$30,$AK6,'26'!$AF$25:$AF$30,1)=0,"",SUMIFS('26'!$AC$25:$AC$30,'26'!$AG$25:$AG$30,$AK6,'26'!$AF$25:$AF$30,1)/COUNTIFS('26'!$AG$25:$AG$30,$AK6,'26'!$AF$25:$AF$30,1))</f>
        <v/>
      </c>
      <c r="BV6" s="100" t="str">
        <f>IF(COUNTIFS('27'!$AG$25:$AG$30,$AK6,'27'!$AF$25:$AF$30,1)=0,"",SUMIFS('27'!$AC$25:$AC$30,'27'!$AG$25:$AG$30,$AK6,'27'!$AF$25:$AF$30,1)/COUNTIFS('27'!$AG$25:$AG$30,$AK6,'27'!$AF$25:$AF$30,1))</f>
        <v/>
      </c>
      <c r="BW6" s="100" t="str">
        <f>IF(COUNTIFS('28'!$AG$25:$AG$30,$AK6,'28'!$AF$25:$AF$30,1)=0,"",SUMIFS('28'!$AC$25:$AC$30,'28'!$AG$25:$AG$30,$AK6,'28'!$AF$25:$AF$30,1)/COUNTIFS('28'!$AG$25:$AG$30,$AK6,'28'!$AF$25:$AF$30,1))</f>
        <v/>
      </c>
      <c r="BX6" s="100" t="str">
        <f>IF(COUNTIFS('29'!$AG$25:$AG$30,$AK6,'29'!$AF$25:$AF$30,1)=0,"",SUMIFS('29'!$AC$25:$AC$30,'29'!$AG$25:$AG$30,$AK6,'29'!$AF$25:$AF$30,1)/COUNTIFS('29'!$AG$25:$AG$30,$AK6,'29'!$AF$25:$AF$30,1))</f>
        <v/>
      </c>
      <c r="BY6" s="100" t="str">
        <f>IF(COUNTIFS('30'!$AG$25:$AG$30,$AK6,'30'!$AF$25:$AF$30,1)=0,"",SUMIFS('30'!$AC$25:$AC$30,'30'!$AG$25:$AG$30,$AK6,'30'!$AF$25:$AF$30,1)/COUNTIFS('30'!$AG$25:$AG$30,$AK6,'30'!$AF$25:$AF$30,1))</f>
        <v/>
      </c>
      <c r="BZ6" s="100" t="str">
        <f>IF(COUNTIFS('31'!$AG$28:$AG$33,$AK6,'31'!$AF$28:$AF$33,1)=0,"",SUMIFS('31'!$AC$28:$AC$33,'31'!$AG$28:$AG$33,$AK6,'31'!$AF$28:$AF$33,1)/COUNTIFS('31'!$AG$28:$AG$33,$AK6,'31'!$AF$28:$AF$33,1))</f>
        <v/>
      </c>
      <c r="CA6" s="100" t="s">
        <v>405</v>
      </c>
      <c r="CB6" s="100">
        <f t="shared" si="6"/>
        <v>0</v>
      </c>
    </row>
    <row r="7">
      <c r="A7" s="203">
        <f>IF(LARGE($Y$5:$Y$17,2)=0,"",2)</f>
        <v>2</v>
      </c>
      <c r="B7" s="203" t="str">
        <f t="shared" si="7"/>
        <v>Large Group</v>
      </c>
      <c r="C7" s="203">
        <f t="shared" si="8"/>
        <v>61</v>
      </c>
      <c r="D7" s="204">
        <f t="shared" si="9"/>
        <v>0.2798165138</v>
      </c>
      <c r="E7" s="204">
        <f t="shared" si="10"/>
        <v>0.6605504587</v>
      </c>
      <c r="X7" s="100" t="s">
        <v>49</v>
      </c>
      <c r="Y7" s="100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14</v>
      </c>
      <c r="Z7" s="100">
        <f t="shared" si="1"/>
        <v>14.00011</v>
      </c>
      <c r="AA7" s="100" t="s">
        <v>29</v>
      </c>
      <c r="AB7" s="100" t="s">
        <v>401</v>
      </c>
      <c r="AC7" s="100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16</v>
      </c>
      <c r="AD7" s="100">
        <f t="shared" si="2"/>
        <v>16.00009</v>
      </c>
      <c r="AE7" s="100" t="s">
        <v>29</v>
      </c>
      <c r="AF7" s="100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128</v>
      </c>
      <c r="AG7" s="100">
        <f t="shared" si="3"/>
        <v>128.00003</v>
      </c>
      <c r="AH7" s="100" t="s">
        <v>46</v>
      </c>
      <c r="AI7" s="100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64</v>
      </c>
      <c r="AJ7" s="100">
        <f t="shared" si="4"/>
        <v>64.00004</v>
      </c>
      <c r="AK7" s="100" t="s">
        <v>29</v>
      </c>
      <c r="AL7" s="100" t="s">
        <v>401</v>
      </c>
      <c r="AM7" s="100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14</v>
      </c>
      <c r="AN7" s="100">
        <f t="shared" si="5"/>
        <v>93.92857143</v>
      </c>
      <c r="AO7" s="100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4.714285714</v>
      </c>
      <c r="AP7" s="100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4.714285714</v>
      </c>
      <c r="AQ7" s="100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4.642857143</v>
      </c>
      <c r="AR7" s="100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4.714285714</v>
      </c>
      <c r="AS7" s="100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4.714285714</v>
      </c>
      <c r="AV7" s="100">
        <f>IF(COUNTIFS('1'!$AG$29:$AG$34,$AK7,'1'!$AF$29:$AF$34,1)=0,"",SUMIFS('1'!$AC$29:$AC$34,'1'!$AG$29:$AG$34,$AK7,'1'!$AF$29:$AF$34,1)/COUNTIFS('1'!$AG$29:$AG$34,$AK7,'1'!$AF$29:$AF$34,1))</f>
        <v>80</v>
      </c>
      <c r="AW7" s="100">
        <f>IF(COUNTIFS('2'!$AG$27:$AG$32,$AK7,'2'!$AF$27:$AF$32,1)=0,"",SUMIFS('2'!$AC$27:$AC$32,'2'!$AG$27:$AG$32,$AK7,'2'!$AF$27:$AF$32,1)/COUNTIFS('2'!$AG$27:$AG$32,$AK7,'2'!$AF$27:$AF$32,1))</f>
        <v>100</v>
      </c>
      <c r="AX7" s="100">
        <f>IF(COUNTIFS('3'!$AG$74:$AG$79,$AK7,'3'!$AF$74:$AF$79,1)=0,"",SUMIFS('3'!$AC$74:$AC$79,'3'!$AG$74:$AG$79,$AK7,'3'!$AF$74:$AF$79,1)/COUNTIFS('3'!$AG$74:$AG$79,$AK7,'3'!$AF$74:$AF$79,1))</f>
        <v>100</v>
      </c>
      <c r="AY7" s="100">
        <f>IF(COUNTIFS('4'!$AG$86:$AG$91,$AK7,'4'!$AF$86:$AF$91,1)=0,"",SUMIFS('4'!$AC$86:$AC$91,'4'!$AG$86:$AG$91,$AK7,'4'!$AF$86:$AF$91,1)/COUNTIFS('4'!$AG$86:$AG$91,$AK7,'4'!$AF$86:$AF$91,1))</f>
        <v>100</v>
      </c>
      <c r="AZ7" s="100">
        <f>IF(COUNTIFS('5'!$AG$27:$AG$32,$AK7,'5'!$AF$27:$AF$32,1)=0,"",SUMIFS('5'!$AC$27:$AC$32,'5'!$AG$27:$AG$32,$AK7,'5'!$AF$27:$AF$32,1)/COUNTIFS('5'!$AG$27:$AG$32,$AK7,'5'!$AF$27:$AF$32,1))</f>
        <v>100</v>
      </c>
      <c r="BA7" s="100">
        <f>IF(COUNTIFS('6'!$AG$31:$AG$36,$AK7,'6'!$AF$31:$AF$36,1)=0,"",SUMIFS('6'!$AC$31:$AC$36,'6'!$AG$31:$AG$36,$AK7,'6'!$AF$31:$AF$36,1)/COUNTIFS('6'!$AG$31:$AG$36,$AK7,'6'!$AF$31:$AF$36,1))</f>
        <v>83</v>
      </c>
      <c r="BB7" s="100">
        <f>IF(COUNTIFS('7'!$AG$30:$AG$35,$AK7,'7'!$AF$30:$AF$35,1)=0,"",SUMIFS('7'!$AC$30:$AC$35,'7'!$AG$30:$AG$35,$AK7,'7'!$AF$30:$AF$35,1)/COUNTIFS('7'!$AG$30:$AG$35,$AK7,'7'!$AF$30:$AF$35,1))</f>
        <v>100</v>
      </c>
      <c r="BC7" s="100">
        <f>IF(COUNTIFS('8'!$AG$31:$AG$36,$AK7,'8'!$AF$31:$AF$36,1)=0,"",SUMIFS('8'!$AC$31:$AC$36,'8'!$AG$31:$AG$36,$AK7,'8'!$AF$31:$AF$36,1)/COUNTIFS('8'!$AG$31:$AG$36,$AK7,'8'!$AF$31:$AF$36,1))</f>
        <v>92</v>
      </c>
      <c r="BD7" s="100">
        <f>IF(COUNTIFS('9'!$AG$33:$AG$38,$AK7,'9'!$AF$33:$AF$38,1)=0,"",SUMIFS('9'!$AC$33:$AC$38,'9'!$AG$33:$AG$38,$AK7,'9'!$AF$33:$AF$38,1)/COUNTIFS('9'!$AG$33:$AG$38,$AK7,'9'!$AF$33:$AF$38,1))</f>
        <v>88</v>
      </c>
      <c r="BE7" s="100" t="str">
        <f>IF(COUNTIFS('10'!$AG$33:$AG$38,$AK7,'10'!$AF$33:$AF$38,1)=0,"",SUMIFS('10'!$AC$33:$AC$38,'10'!$AG$33:$AG$38,$AK7,'10'!$AF$33:$AF$38,1)/COUNTIFS('10'!$AG$33:$AG$38,$AK7,'10'!$AF$33:$AF$38,1))</f>
        <v/>
      </c>
      <c r="BF7" s="100" t="str">
        <f>IF(COUNTIFS('11'!$AG$29:$AG$34,$AK7,'11'!$AF$29:$AF$34,1)=0,"",SUMIFS('11'!$AC$29:$AC$34,'11'!$AG$29:$AG$34,$AK7,'11'!$AF$29:$AF$34,1)/COUNTIFS('11'!$AG$29:$AG$34,$AK7,'11'!$AF$29:$AF$34,1))</f>
        <v/>
      </c>
      <c r="BG7" s="100">
        <f>IF(COUNTIFS('12'!$AG$26:$AG$31,$AK7,'12'!$AF$26:$AF$31,1)=0,"",SUMIFS('12'!$AC$26:$AC$31,'12'!$AG$26:$AG$31,$AK7,'12'!$AF$26:$AF$31,1)/COUNTIFS('12'!$AG$26:$AG$31,$AK7,'12'!$AF$26:$AF$31,1))</f>
        <v>100</v>
      </c>
      <c r="BH7" s="100">
        <f>IF(COUNTIFS('13'!$AG$25:$AG$30,$AK7,'13'!$AF$25:$AF$30,1)=0,"",SUMIFS('13'!$AC$25:$AC$30,'13'!$AG$25:$AG$30,$AK7,'13'!$AF$25:$AF$30,1)/COUNTIFS('13'!$AG$25:$AG$30,$AK7,'13'!$AF$25:$AF$30,1))</f>
        <v>100</v>
      </c>
      <c r="BI7" s="100" t="str">
        <f>IF(COUNTIFS('14'!$AG$25:$AG$30,$AK7,'14'!$AF$25:$AF$30,1)=0,"",SUMIFS('14'!$AC$25:$AC$30,'14'!$AG$25:$AG$30,$AK7,'14'!$AF$25:$AF$30,1)/COUNTIFS('14'!$AG$25:$AG$30,$AK7,'14'!$AF$25:$AF$30,1))</f>
        <v/>
      </c>
      <c r="BJ7" s="100">
        <f>IF(COUNTIFS('15'!$AG$29:$AG$34,$AK7,'15'!$AF$29:$AF$34,1)=0,"",SUMIFS('15'!$AC$29:$AC$34,'15'!$AG$29:$AG$34,$AK7,'15'!$AF$29:$AF$34,1)/COUNTIFS('15'!$AG$29:$AG$34,$AK7,'15'!$AF$29:$AF$34,1))</f>
        <v>100</v>
      </c>
      <c r="BK7" s="100" t="str">
        <f>IF(COUNTIFS('16'!$AG$28:$AG$33,$AK7,'16'!$AF$28:$AF$33,1)=0,"",SUMIFS('16'!$AC$28:$AC$33,'16'!$AG$28:$AG$33,$AK7,'16'!$AF$28:$AF$33,1)/COUNTIFS('16'!$AG$28:$AG$33,$AK7,'16'!$AF$28:$AF$33,1))</f>
        <v/>
      </c>
      <c r="BL7" s="100" t="str">
        <f>IF(COUNTIFS('17'!$AG$25:$AG$30,$AK7,'17'!$AF$25:$AF$30,1)=0,"",SUMIFS('17'!$AC$25:$AC$30,'17'!$AG$25:$AG$30,$AK7,'17'!$AF$25:$AF$30,1)/COUNTIFS('17'!$AG$25:$AG$30,$AK7,'17'!$AF$25:$AF$30,1))</f>
        <v/>
      </c>
      <c r="BM7" s="100" t="str">
        <f>IF(COUNTIFS('18'!$AG$25:$AG$30,$AK7,'18'!$AF$25:$AF$30,1)=0,"",SUMIFS('18'!$AC$25:$AC$30,'18'!$AG$25:$AG$30,$AK7,'18'!$AF$25:$AF$30,1)/COUNTIFS('18'!$AG$25:$AG$30,$AK7,'18'!$AF$25:$AF$30,1))</f>
        <v/>
      </c>
      <c r="BN7" s="100" t="str">
        <f>IF(COUNTIFS('19'!$AG$25:$AG$30,$AK7,'19'!$AF$25:$AF$30,1)=0,"",SUMIFS('19'!$AC$25:$AC$30,'19'!$AG$25:$AG$30,$AK7,'19'!$AF$25:$AF$30,1)/COUNTIFS('19'!$AG$25:$AG$30,$AK7,'19'!$AF$25:$AF$30,1))</f>
        <v/>
      </c>
      <c r="BO7" s="100" t="str">
        <f>IF(COUNTIFS('20'!$AG$25:$AG$30,$AK7,'20'!$AF$25:$AF$30,1)=0,"",SUMIFS('20'!$AC$25:$AC$30,'20'!$AG$25:$AG$30,$AK7,'20'!$AF$25:$AF$30,1)/COUNTIFS('20'!$AG$25:$AG$30,$AK7,'20'!$AF$25:$AF$30,1))</f>
        <v/>
      </c>
      <c r="BP7" s="100" t="str">
        <f>IF(COUNTIFS('21'!$AG$25:$AG$30,$AK7,'21'!$AF$25:$AF$30,1)=0,"",SUMIFS('21'!$AC$25:$AC$30,'21'!$AG$25:$AG$30,$AK7,'21'!$AF$25:$AF$30,1)/COUNTIFS('21'!$AG$25:$AG$30,$AK7,'21'!$AF$25:$AF$30,1))</f>
        <v/>
      </c>
      <c r="BQ7" s="100" t="str">
        <f>IF(COUNTIFS('22'!$AG$25:$AG$30,$AK7,'22'!$AF$25:$AF$30,1)=0,"",SUMIFS('22'!$AC$25:$AC$30,'22'!$AG$25:$AG$30,$AK7,'22'!$AF$25:$AF$30,1)/COUNTIFS('22'!$AG$25:$AG$30,$AK7,'22'!$AF$25:$AF$30,1))</f>
        <v/>
      </c>
      <c r="BR7" s="100" t="str">
        <f>IF(COUNTIFS('23'!$AG$25:$AG$30,$AK7,'23'!$AF$25:$AF$30,1)=0,"",SUMIFS('23'!$AC$25:$AC$30,'23'!$AG$25:$AG$30,$AK7,'23'!$AF$25:$AF$30,1)/COUNTIFS('23'!$AG$25:$AG$30,$AK7,'23'!$AF$25:$AF$30,1))</f>
        <v/>
      </c>
      <c r="BS7" s="100" t="str">
        <f>IF(COUNTIFS('24'!$AG$25:$AG$30,$AK7,'24'!$AF$25:$AF$30,1)=0,"",SUMIFS('24'!$AC$25:$AC$30,'24'!$AG$25:$AG$30,$AK7,'24'!$AF$25:$AF$30,1)/COUNTIFS('24'!$AG$25:$AG$30,$AK7,'24'!$AF$25:$AF$30,1))</f>
        <v/>
      </c>
      <c r="BT7" s="100" t="str">
        <f>IF(COUNTIFS('25'!$AG$25:$AG$30,$AK7,'25'!$AF$25:$AF$30,1)=0,"",SUMIFS('25'!$AC$25:$AC$30,'25'!$AG$25:$AG$30,$AK7,'25'!$AF$25:$AF$30,1)/COUNTIFS('25'!$AG$25:$AG$30,$AK7,'25'!$AF$25:$AF$30,1))</f>
        <v/>
      </c>
      <c r="BU7" s="100" t="str">
        <f>IF(COUNTIFS('26'!$AG$25:$AG$30,$AK7,'26'!$AF$25:$AF$30,1)=0,"",SUMIFS('26'!$AC$25:$AC$30,'26'!$AG$25:$AG$30,$AK7,'26'!$AF$25:$AF$30,1)/COUNTIFS('26'!$AG$25:$AG$30,$AK7,'26'!$AF$25:$AF$30,1))</f>
        <v/>
      </c>
      <c r="BV7" s="100" t="str">
        <f>IF(COUNTIFS('27'!$AG$25:$AG$30,$AK7,'27'!$AF$25:$AF$30,1)=0,"",SUMIFS('27'!$AC$25:$AC$30,'27'!$AG$25:$AG$30,$AK7,'27'!$AF$25:$AF$30,1)/COUNTIFS('27'!$AG$25:$AG$30,$AK7,'27'!$AF$25:$AF$30,1))</f>
        <v/>
      </c>
      <c r="BW7" s="100" t="str">
        <f>IF(COUNTIFS('28'!$AG$25:$AG$30,$AK7,'28'!$AF$25:$AF$30,1)=0,"",SUMIFS('28'!$AC$25:$AC$30,'28'!$AG$25:$AG$30,$AK7,'28'!$AF$25:$AF$30,1)/COUNTIFS('28'!$AG$25:$AG$30,$AK7,'28'!$AF$25:$AF$30,1))</f>
        <v/>
      </c>
      <c r="BX7" s="100" t="str">
        <f>IF(COUNTIFS('29'!$AG$25:$AG$30,$AK7,'29'!$AF$25:$AF$30,1)=0,"",SUMIFS('29'!$AC$25:$AC$30,'29'!$AG$25:$AG$30,$AK7,'29'!$AF$25:$AF$30,1)/COUNTIFS('29'!$AG$25:$AG$30,$AK7,'29'!$AF$25:$AF$30,1))</f>
        <v/>
      </c>
      <c r="BY7" s="100" t="str">
        <f>IF(COUNTIFS('30'!$AG$25:$AG$30,$AK7,'30'!$AF$25:$AF$30,1)=0,"",SUMIFS('30'!$AC$25:$AC$30,'30'!$AG$25:$AG$30,$AK7,'30'!$AF$25:$AF$30,1)/COUNTIFS('30'!$AG$25:$AG$30,$AK7,'30'!$AF$25:$AF$30,1))</f>
        <v/>
      </c>
      <c r="BZ7" s="100" t="str">
        <f>IF(COUNTIFS('31'!$AG$28:$AG$33,$AK7,'31'!$AF$28:$AF$33,1)=0,"",SUMIFS('31'!$AC$28:$AC$33,'31'!$AG$28:$AG$33,$AK7,'31'!$AF$28:$AF$33,1)/COUNTIFS('31'!$AG$28:$AG$33,$AK7,'31'!$AF$28:$AF$33,1))</f>
        <v/>
      </c>
      <c r="CA7" s="100" t="s">
        <v>414</v>
      </c>
      <c r="CB7" s="100">
        <f t="shared" si="6"/>
        <v>0</v>
      </c>
    </row>
    <row r="8">
      <c r="A8" s="203">
        <f>IF(LARGE($Y$5:$Y$17,3)=0,"",3)</f>
        <v>3</v>
      </c>
      <c r="B8" s="203" t="str">
        <f t="shared" si="7"/>
        <v>Photofox</v>
      </c>
      <c r="C8" s="203">
        <f t="shared" si="8"/>
        <v>16</v>
      </c>
      <c r="D8" s="204">
        <f t="shared" si="9"/>
        <v>0.07339449541</v>
      </c>
      <c r="E8" s="204">
        <f t="shared" si="10"/>
        <v>0.7339449541</v>
      </c>
      <c r="X8" s="100" t="s">
        <v>81</v>
      </c>
      <c r="Y8" s="100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100">
        <f t="shared" si="1"/>
        <v>13.0001</v>
      </c>
      <c r="AA8" s="100" t="s">
        <v>410</v>
      </c>
      <c r="AB8" s="100" t="s">
        <v>401</v>
      </c>
      <c r="AC8" s="100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0">
        <f t="shared" si="2"/>
        <v>0.00008</v>
      </c>
      <c r="AE8" s="100" t="s">
        <v>410</v>
      </c>
      <c r="AF8" s="100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0">
        <f t="shared" si="3"/>
        <v>0.00002</v>
      </c>
      <c r="AH8" s="100" t="s">
        <v>99</v>
      </c>
      <c r="AI8" s="100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0">
        <f t="shared" si="4"/>
        <v>11.00003</v>
      </c>
      <c r="AK8" s="100" t="s">
        <v>410</v>
      </c>
      <c r="AL8" s="100" t="s">
        <v>401</v>
      </c>
      <c r="AM8" s="100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0" t="str">
        <f t="shared" si="5"/>
        <v/>
      </c>
      <c r="AO8" s="100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0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0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0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0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0" t="str">
        <f>IF(COUNTIFS('1'!$AG$29:$AG$34,$AK8,'1'!$AF$29:$AF$34,1)=0,"",SUMIFS('1'!$AC$29:$AC$34,'1'!$AG$29:$AG$34,$AK8,'1'!$AF$29:$AF$34,1)/COUNTIFS('1'!$AG$29:$AG$34,$AK8,'1'!$AF$29:$AF$34,1))</f>
        <v/>
      </c>
      <c r="AW8" s="100" t="str">
        <f>IF(COUNTIFS('2'!$AG$27:$AG$32,$AK8,'2'!$AF$27:$AF$32,1)=0,"",SUMIFS('2'!$AC$27:$AC$32,'2'!$AG$27:$AG$32,$AK8,'2'!$AF$27:$AF$32,1)/COUNTIFS('2'!$AG$27:$AG$32,$AK8,'2'!$AF$27:$AF$32,1))</f>
        <v/>
      </c>
      <c r="AX8" s="100" t="str">
        <f>IF(COUNTIFS('3'!$AG$74:$AG$79,$AK8,'3'!$AF$74:$AF$79,1)=0,"",SUMIFS('3'!$AC$74:$AC$79,'3'!$AG$74:$AG$79,$AK8,'3'!$AF$74:$AF$79,1)/COUNTIFS('3'!$AG$74:$AG$79,$AK8,'3'!$AF$74:$AF$79,1))</f>
        <v/>
      </c>
      <c r="AY8" s="100" t="str">
        <f>IF(COUNTIFS('4'!$AG$86:$AG$91,$AK8,'4'!$AF$86:$AF$91,1)=0,"",SUMIFS('4'!$AC$86:$AC$91,'4'!$AG$86:$AG$91,$AK8,'4'!$AF$86:$AF$91,1)/COUNTIFS('4'!$AG$86:$AG$91,$AK8,'4'!$AF$86:$AF$91,1))</f>
        <v/>
      </c>
      <c r="AZ8" s="100" t="str">
        <f>IF(COUNTIFS('5'!$AG$27:$AG$32,$AK8,'5'!$AF$27:$AF$32,1)=0,"",SUMIFS('5'!$AC$27:$AC$32,'5'!$AG$27:$AG$32,$AK8,'5'!$AF$27:$AF$32,1)/COUNTIFS('5'!$AG$27:$AG$32,$AK8,'5'!$AF$27:$AF$32,1))</f>
        <v/>
      </c>
      <c r="BA8" s="100" t="str">
        <f>IF(COUNTIFS('6'!$AG$31:$AG$36,$AK8,'6'!$AF$31:$AF$36,1)=0,"",SUMIFS('6'!$AC$31:$AC$36,'6'!$AG$31:$AG$36,$AK8,'6'!$AF$31:$AF$36,1)/COUNTIFS('6'!$AG$31:$AG$36,$AK8,'6'!$AF$31:$AF$36,1))</f>
        <v/>
      </c>
      <c r="BB8" s="100" t="str">
        <f>IF(COUNTIFS('7'!$AG$30:$AG$35,$AK8,'7'!$AF$30:$AF$35,1)=0,"",SUMIFS('7'!$AC$30:$AC$35,'7'!$AG$30:$AG$35,$AK8,'7'!$AF$30:$AF$35,1)/COUNTIFS('7'!$AG$30:$AG$35,$AK8,'7'!$AF$30:$AF$35,1))</f>
        <v/>
      </c>
      <c r="BC8" s="100" t="str">
        <f>IF(COUNTIFS('8'!$AG$31:$AG$36,$AK8,'8'!$AF$31:$AF$36,1)=0,"",SUMIFS('8'!$AC$31:$AC$36,'8'!$AG$31:$AG$36,$AK8,'8'!$AF$31:$AF$36,1)/COUNTIFS('8'!$AG$31:$AG$36,$AK8,'8'!$AF$31:$AF$36,1))</f>
        <v/>
      </c>
      <c r="BD8" s="100" t="str">
        <f>IF(COUNTIFS('9'!$AG$33:$AG$38,$AK8,'9'!$AF$33:$AF$38,1)=0,"",SUMIFS('9'!$AC$33:$AC$38,'9'!$AG$33:$AG$38,$AK8,'9'!$AF$33:$AF$38,1)/COUNTIFS('9'!$AG$33:$AG$38,$AK8,'9'!$AF$33:$AF$38,1))</f>
        <v/>
      </c>
      <c r="BE8" s="100" t="str">
        <f>IF(COUNTIFS('10'!$AG$33:$AG$38,$AK8,'10'!$AF$33:$AF$38,1)=0,"",SUMIFS('10'!$AC$33:$AC$38,'10'!$AG$33:$AG$38,$AK8,'10'!$AF$33:$AF$38,1)/COUNTIFS('10'!$AG$33:$AG$38,$AK8,'10'!$AF$33:$AF$38,1))</f>
        <v/>
      </c>
      <c r="BF8" s="100" t="str">
        <f>IF(COUNTIFS('11'!$AG$29:$AG$34,$AK8,'11'!$AF$29:$AF$34,1)=0,"",SUMIFS('11'!$AC$29:$AC$34,'11'!$AG$29:$AG$34,$AK8,'11'!$AF$29:$AF$34,1)/COUNTIFS('11'!$AG$29:$AG$34,$AK8,'11'!$AF$29:$AF$34,1))</f>
        <v/>
      </c>
      <c r="BG8" s="100" t="str">
        <f>IF(COUNTIFS('12'!$AG$26:$AG$31,$AK8,'12'!$AF$26:$AF$31,1)=0,"",SUMIFS('12'!$AC$26:$AC$31,'12'!$AG$26:$AG$31,$AK8,'12'!$AF$26:$AF$31,1)/COUNTIFS('12'!$AG$26:$AG$31,$AK8,'12'!$AF$26:$AF$31,1))</f>
        <v/>
      </c>
      <c r="BH8" s="100" t="str">
        <f>IF(COUNTIFS('13'!$AG$25:$AG$30,$AK8,'13'!$AF$25:$AF$30,1)=0,"",SUMIFS('13'!$AC$25:$AC$30,'13'!$AG$25:$AG$30,$AK8,'13'!$AF$25:$AF$30,1)/COUNTIFS('13'!$AG$25:$AG$30,$AK8,'13'!$AF$25:$AF$30,1))</f>
        <v/>
      </c>
      <c r="BI8" s="100" t="str">
        <f>IF(COUNTIFS('14'!$AG$25:$AG$30,$AK8,'14'!$AF$25:$AF$30,1)=0,"",SUMIFS('14'!$AC$25:$AC$30,'14'!$AG$25:$AG$30,$AK8,'14'!$AF$25:$AF$30,1)/COUNTIFS('14'!$AG$25:$AG$30,$AK8,'14'!$AF$25:$AF$30,1))</f>
        <v/>
      </c>
      <c r="BJ8" s="100" t="str">
        <f>IF(COUNTIFS('15'!$AG$29:$AG$34,$AK8,'15'!$AF$29:$AF$34,1)=0,"",SUMIFS('15'!$AC$29:$AC$34,'15'!$AG$29:$AG$34,$AK8,'15'!$AF$29:$AF$34,1)/COUNTIFS('15'!$AG$29:$AG$34,$AK8,'15'!$AF$29:$AF$34,1))</f>
        <v/>
      </c>
      <c r="BK8" s="100" t="str">
        <f>IF(COUNTIFS('16'!$AG$28:$AG$33,$AK8,'16'!$AF$28:$AF$33,1)=0,"",SUMIFS('16'!$AC$28:$AC$33,'16'!$AG$28:$AG$33,$AK8,'16'!$AF$28:$AF$33,1)/COUNTIFS('16'!$AG$28:$AG$33,$AK8,'16'!$AF$28:$AF$33,1))</f>
        <v/>
      </c>
      <c r="BL8" s="100" t="str">
        <f>IF(COUNTIFS('17'!$AG$25:$AG$30,$AK8,'17'!$AF$25:$AF$30,1)=0,"",SUMIFS('17'!$AC$25:$AC$30,'17'!$AG$25:$AG$30,$AK8,'17'!$AF$25:$AF$30,1)/COUNTIFS('17'!$AG$25:$AG$30,$AK8,'17'!$AF$25:$AF$30,1))</f>
        <v/>
      </c>
      <c r="BM8" s="100" t="str">
        <f>IF(COUNTIFS('18'!$AG$25:$AG$30,$AK8,'18'!$AF$25:$AF$30,1)=0,"",SUMIFS('18'!$AC$25:$AC$30,'18'!$AG$25:$AG$30,$AK8,'18'!$AF$25:$AF$30,1)/COUNTIFS('18'!$AG$25:$AG$30,$AK8,'18'!$AF$25:$AF$30,1))</f>
        <v/>
      </c>
      <c r="BN8" s="100" t="str">
        <f>IF(COUNTIFS('19'!$AG$25:$AG$30,$AK8,'19'!$AF$25:$AF$30,1)=0,"",SUMIFS('19'!$AC$25:$AC$30,'19'!$AG$25:$AG$30,$AK8,'19'!$AF$25:$AF$30,1)/COUNTIFS('19'!$AG$25:$AG$30,$AK8,'19'!$AF$25:$AF$30,1))</f>
        <v/>
      </c>
      <c r="BO8" s="100" t="str">
        <f>IF(COUNTIFS('20'!$AG$25:$AG$30,$AK8,'20'!$AF$25:$AF$30,1)=0,"",SUMIFS('20'!$AC$25:$AC$30,'20'!$AG$25:$AG$30,$AK8,'20'!$AF$25:$AF$30,1)/COUNTIFS('20'!$AG$25:$AG$30,$AK8,'20'!$AF$25:$AF$30,1))</f>
        <v/>
      </c>
      <c r="BP8" s="100" t="str">
        <f>IF(COUNTIFS('21'!$AG$25:$AG$30,$AK8,'21'!$AF$25:$AF$30,1)=0,"",SUMIFS('21'!$AC$25:$AC$30,'21'!$AG$25:$AG$30,$AK8,'21'!$AF$25:$AF$30,1)/COUNTIFS('21'!$AG$25:$AG$30,$AK8,'21'!$AF$25:$AF$30,1))</f>
        <v/>
      </c>
      <c r="BQ8" s="100" t="str">
        <f>IF(COUNTIFS('22'!$AG$25:$AG$30,$AK8,'22'!$AF$25:$AF$30,1)=0,"",SUMIFS('22'!$AC$25:$AC$30,'22'!$AG$25:$AG$30,$AK8,'22'!$AF$25:$AF$30,1)/COUNTIFS('22'!$AG$25:$AG$30,$AK8,'22'!$AF$25:$AF$30,1))</f>
        <v/>
      </c>
      <c r="BR8" s="100" t="str">
        <f>IF(COUNTIFS('23'!$AG$25:$AG$30,$AK8,'23'!$AF$25:$AF$30,1)=0,"",SUMIFS('23'!$AC$25:$AC$30,'23'!$AG$25:$AG$30,$AK8,'23'!$AF$25:$AF$30,1)/COUNTIFS('23'!$AG$25:$AG$30,$AK8,'23'!$AF$25:$AF$30,1))</f>
        <v/>
      </c>
      <c r="BS8" s="100" t="str">
        <f>IF(COUNTIFS('24'!$AG$25:$AG$30,$AK8,'24'!$AF$25:$AF$30,1)=0,"",SUMIFS('24'!$AC$25:$AC$30,'24'!$AG$25:$AG$30,$AK8,'24'!$AF$25:$AF$30,1)/COUNTIFS('24'!$AG$25:$AG$30,$AK8,'24'!$AF$25:$AF$30,1))</f>
        <v/>
      </c>
      <c r="BT8" s="100" t="str">
        <f>IF(COUNTIFS('25'!$AG$25:$AG$30,$AK8,'25'!$AF$25:$AF$30,1)=0,"",SUMIFS('25'!$AC$25:$AC$30,'25'!$AG$25:$AG$30,$AK8,'25'!$AF$25:$AF$30,1)/COUNTIFS('25'!$AG$25:$AG$30,$AK8,'25'!$AF$25:$AF$30,1))</f>
        <v/>
      </c>
      <c r="BU8" s="100" t="str">
        <f>IF(COUNTIFS('26'!$AG$25:$AG$30,$AK8,'26'!$AF$25:$AF$30,1)=0,"",SUMIFS('26'!$AC$25:$AC$30,'26'!$AG$25:$AG$30,$AK8,'26'!$AF$25:$AF$30,1)/COUNTIFS('26'!$AG$25:$AG$30,$AK8,'26'!$AF$25:$AF$30,1))</f>
        <v/>
      </c>
      <c r="BV8" s="100" t="str">
        <f>IF(COUNTIFS('27'!$AG$25:$AG$30,$AK8,'27'!$AF$25:$AF$30,1)=0,"",SUMIFS('27'!$AC$25:$AC$30,'27'!$AG$25:$AG$30,$AK8,'27'!$AF$25:$AF$30,1)/COUNTIFS('27'!$AG$25:$AG$30,$AK8,'27'!$AF$25:$AF$30,1))</f>
        <v/>
      </c>
      <c r="BW8" s="100" t="str">
        <f>IF(COUNTIFS('28'!$AG$25:$AG$30,$AK8,'28'!$AF$25:$AF$30,1)=0,"",SUMIFS('28'!$AC$25:$AC$30,'28'!$AG$25:$AG$30,$AK8,'28'!$AF$25:$AF$30,1)/COUNTIFS('28'!$AG$25:$AG$30,$AK8,'28'!$AF$25:$AF$30,1))</f>
        <v/>
      </c>
      <c r="BX8" s="100" t="str">
        <f>IF(COUNTIFS('29'!$AG$25:$AG$30,$AK8,'29'!$AF$25:$AF$30,1)=0,"",SUMIFS('29'!$AC$25:$AC$30,'29'!$AG$25:$AG$30,$AK8,'29'!$AF$25:$AF$30,1)/COUNTIFS('29'!$AG$25:$AG$30,$AK8,'29'!$AF$25:$AF$30,1))</f>
        <v/>
      </c>
      <c r="BY8" s="100" t="str">
        <f>IF(COUNTIFS('30'!$AG$25:$AG$30,$AK8,'30'!$AF$25:$AF$30,1)=0,"",SUMIFS('30'!$AC$25:$AC$30,'30'!$AG$25:$AG$30,$AK8,'30'!$AF$25:$AF$30,1)/COUNTIFS('30'!$AG$25:$AG$30,$AK8,'30'!$AF$25:$AF$30,1))</f>
        <v/>
      </c>
      <c r="BZ8" s="100" t="str">
        <f>IF(COUNTIFS('31'!$AG$28:$AG$33,$AK8,'31'!$AF$28:$AF$33,1)=0,"",SUMIFS('31'!$AC$28:$AC$33,'31'!$AG$28:$AG$33,$AK8,'31'!$AF$28:$AF$33,1)/COUNTIFS('31'!$AG$28:$AG$33,$AK8,'31'!$AF$28:$AF$33,1))</f>
        <v/>
      </c>
      <c r="CA8" s="100" t="s">
        <v>415</v>
      </c>
      <c r="CB8" s="100">
        <f t="shared" si="6"/>
        <v>0</v>
      </c>
    </row>
    <row r="9">
      <c r="A9" s="203">
        <f>IF(LARGE($Y$5:$Y$17,4)=0,"",4)</f>
        <v>4</v>
      </c>
      <c r="B9" s="203" t="str">
        <f t="shared" si="7"/>
        <v>Single</v>
      </c>
      <c r="C9" s="203">
        <f t="shared" si="8"/>
        <v>14</v>
      </c>
      <c r="D9" s="204">
        <f t="shared" si="9"/>
        <v>0.06422018349</v>
      </c>
      <c r="E9" s="204">
        <f t="shared" si="10"/>
        <v>0.7981651376</v>
      </c>
      <c r="X9" s="100" t="s">
        <v>277</v>
      </c>
      <c r="Y9" s="100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100">
        <f t="shared" si="1"/>
        <v>8.00009</v>
      </c>
      <c r="AA9" s="100" t="s">
        <v>411</v>
      </c>
      <c r="AB9" s="100" t="s">
        <v>401</v>
      </c>
      <c r="AC9" s="100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0">
        <f t="shared" si="2"/>
        <v>0.00007</v>
      </c>
      <c r="AE9" s="100" t="s">
        <v>411</v>
      </c>
      <c r="AF9" s="100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0">
        <f t="shared" si="3"/>
        <v>0.00001</v>
      </c>
      <c r="AH9" s="100" t="s">
        <v>413</v>
      </c>
      <c r="AI9" s="100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0">
        <f t="shared" si="4"/>
        <v>0.00002</v>
      </c>
      <c r="AK9" s="100" t="s">
        <v>411</v>
      </c>
      <c r="AL9" s="100" t="s">
        <v>401</v>
      </c>
      <c r="AM9" s="100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0" t="str">
        <f t="shared" si="5"/>
        <v/>
      </c>
      <c r="AO9" s="100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0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0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0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0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0" t="str">
        <f>IF(COUNTIFS('1'!$AG$29:$AG$34,$AK9,'1'!$AF$29:$AF$34,1)=0,"",SUMIFS('1'!$AC$29:$AC$34,'1'!$AG$29:$AG$34,$AK9,'1'!$AF$29:$AF$34,1)/COUNTIFS('1'!$AG$29:$AG$34,$AK9,'1'!$AF$29:$AF$34,1))</f>
        <v/>
      </c>
      <c r="AW9" s="100" t="str">
        <f>IF(COUNTIFS('2'!$AG$27:$AG$32,$AK9,'2'!$AF$27:$AF$32,1)=0,"",SUMIFS('2'!$AC$27:$AC$32,'2'!$AG$27:$AG$32,$AK9,'2'!$AF$27:$AF$32,1)/COUNTIFS('2'!$AG$27:$AG$32,$AK9,'2'!$AF$27:$AF$32,1))</f>
        <v/>
      </c>
      <c r="AX9" s="100" t="str">
        <f>IF(COUNTIFS('3'!$AG$74:$AG$79,$AK9,'3'!$AF$74:$AF$79,1)=0,"",SUMIFS('3'!$AC$74:$AC$79,'3'!$AG$74:$AG$79,$AK9,'3'!$AF$74:$AF$79,1)/COUNTIFS('3'!$AG$74:$AG$79,$AK9,'3'!$AF$74:$AF$79,1))</f>
        <v/>
      </c>
      <c r="AY9" s="100" t="str">
        <f>IF(COUNTIFS('4'!$AG$86:$AG$91,$AK9,'4'!$AF$86:$AF$91,1)=0,"",SUMIFS('4'!$AC$86:$AC$91,'4'!$AG$86:$AG$91,$AK9,'4'!$AF$86:$AF$91,1)/COUNTIFS('4'!$AG$86:$AG$91,$AK9,'4'!$AF$86:$AF$91,1))</f>
        <v/>
      </c>
      <c r="AZ9" s="100" t="str">
        <f>IF(COUNTIFS('5'!$AG$27:$AG$32,$AK9,'5'!$AF$27:$AF$32,1)=0,"",SUMIFS('5'!$AC$27:$AC$32,'5'!$AG$27:$AG$32,$AK9,'5'!$AF$27:$AF$32,1)/COUNTIFS('5'!$AG$27:$AG$32,$AK9,'5'!$AF$27:$AF$32,1))</f>
        <v/>
      </c>
      <c r="BA9" s="100" t="str">
        <f>IF(COUNTIFS('6'!$AG$31:$AG$36,$AK9,'6'!$AF$31:$AF$36,1)=0,"",SUMIFS('6'!$AC$31:$AC$36,'6'!$AG$31:$AG$36,$AK9,'6'!$AF$31:$AF$36,1)/COUNTIFS('6'!$AG$31:$AG$36,$AK9,'6'!$AF$31:$AF$36,1))</f>
        <v/>
      </c>
      <c r="BB9" s="100" t="str">
        <f>IF(COUNTIFS('7'!$AG$30:$AG$35,$AK9,'7'!$AF$30:$AF$35,1)=0,"",SUMIFS('7'!$AC$30:$AC$35,'7'!$AG$30:$AG$35,$AK9,'7'!$AF$30:$AF$35,1)/COUNTIFS('7'!$AG$30:$AG$35,$AK9,'7'!$AF$30:$AF$35,1))</f>
        <v/>
      </c>
      <c r="BC9" s="100" t="str">
        <f>IF(COUNTIFS('8'!$AG$31:$AG$36,$AK9,'8'!$AF$31:$AF$36,1)=0,"",SUMIFS('8'!$AC$31:$AC$36,'8'!$AG$31:$AG$36,$AK9,'8'!$AF$31:$AF$36,1)/COUNTIFS('8'!$AG$31:$AG$36,$AK9,'8'!$AF$31:$AF$36,1))</f>
        <v/>
      </c>
      <c r="BD9" s="100" t="str">
        <f>IF(COUNTIFS('9'!$AG$33:$AG$38,$AK9,'9'!$AF$33:$AF$38,1)=0,"",SUMIFS('9'!$AC$33:$AC$38,'9'!$AG$33:$AG$38,$AK9,'9'!$AF$33:$AF$38,1)/COUNTIFS('9'!$AG$33:$AG$38,$AK9,'9'!$AF$33:$AF$38,1))</f>
        <v/>
      </c>
      <c r="BE9" s="100" t="str">
        <f>IF(COUNTIFS('10'!$AG$33:$AG$38,$AK9,'10'!$AF$33:$AF$38,1)=0,"",SUMIFS('10'!$AC$33:$AC$38,'10'!$AG$33:$AG$38,$AK9,'10'!$AF$33:$AF$38,1)/COUNTIFS('10'!$AG$33:$AG$38,$AK9,'10'!$AF$33:$AF$38,1))</f>
        <v/>
      </c>
      <c r="BF9" s="100" t="str">
        <f>IF(COUNTIFS('11'!$AG$29:$AG$34,$AK9,'11'!$AF$29:$AF$34,1)=0,"",SUMIFS('11'!$AC$29:$AC$34,'11'!$AG$29:$AG$34,$AK9,'11'!$AF$29:$AF$34,1)/COUNTIFS('11'!$AG$29:$AG$34,$AK9,'11'!$AF$29:$AF$34,1))</f>
        <v/>
      </c>
      <c r="BG9" s="100" t="str">
        <f>IF(COUNTIFS('12'!$AG$26:$AG$31,$AK9,'12'!$AF$26:$AF$31,1)=0,"",SUMIFS('12'!$AC$26:$AC$31,'12'!$AG$26:$AG$31,$AK9,'12'!$AF$26:$AF$31,1)/COUNTIFS('12'!$AG$26:$AG$31,$AK9,'12'!$AF$26:$AF$31,1))</f>
        <v/>
      </c>
      <c r="BH9" s="100" t="str">
        <f>IF(COUNTIFS('13'!$AG$25:$AG$30,$AK9,'13'!$AF$25:$AF$30,1)=0,"",SUMIFS('13'!$AC$25:$AC$30,'13'!$AG$25:$AG$30,$AK9,'13'!$AF$25:$AF$30,1)/COUNTIFS('13'!$AG$25:$AG$30,$AK9,'13'!$AF$25:$AF$30,1))</f>
        <v/>
      </c>
      <c r="BI9" s="100" t="str">
        <f>IF(COUNTIFS('14'!$AG$25:$AG$30,$AK9,'14'!$AF$25:$AF$30,1)=0,"",SUMIFS('14'!$AC$25:$AC$30,'14'!$AG$25:$AG$30,$AK9,'14'!$AF$25:$AF$30,1)/COUNTIFS('14'!$AG$25:$AG$30,$AK9,'14'!$AF$25:$AF$30,1))</f>
        <v/>
      </c>
      <c r="BJ9" s="100" t="str">
        <f>IF(COUNTIFS('15'!$AG$29:$AG$34,$AK9,'15'!$AF$29:$AF$34,1)=0,"",SUMIFS('15'!$AC$29:$AC$34,'15'!$AG$29:$AG$34,$AK9,'15'!$AF$29:$AF$34,1)/COUNTIFS('15'!$AG$29:$AG$34,$AK9,'15'!$AF$29:$AF$34,1))</f>
        <v/>
      </c>
      <c r="BK9" s="100" t="str">
        <f>IF(COUNTIFS('16'!$AG$28:$AG$33,$AK9,'16'!$AF$28:$AF$33,1)=0,"",SUMIFS('16'!$AC$28:$AC$33,'16'!$AG$28:$AG$33,$AK9,'16'!$AF$28:$AF$33,1)/COUNTIFS('16'!$AG$28:$AG$33,$AK9,'16'!$AF$28:$AF$33,1))</f>
        <v/>
      </c>
      <c r="BL9" s="100" t="str">
        <f>IF(COUNTIFS('17'!$AG$25:$AG$30,$AK9,'17'!$AF$25:$AF$30,1)=0,"",SUMIFS('17'!$AC$25:$AC$30,'17'!$AG$25:$AG$30,$AK9,'17'!$AF$25:$AF$30,1)/COUNTIFS('17'!$AG$25:$AG$30,$AK9,'17'!$AF$25:$AF$30,1))</f>
        <v/>
      </c>
      <c r="BM9" s="100" t="str">
        <f>IF(COUNTIFS('18'!$AG$25:$AG$30,$AK9,'18'!$AF$25:$AF$30,1)=0,"",SUMIFS('18'!$AC$25:$AC$30,'18'!$AG$25:$AG$30,$AK9,'18'!$AF$25:$AF$30,1)/COUNTIFS('18'!$AG$25:$AG$30,$AK9,'18'!$AF$25:$AF$30,1))</f>
        <v/>
      </c>
      <c r="BN9" s="100" t="str">
        <f>IF(COUNTIFS('19'!$AG$25:$AG$30,$AK9,'19'!$AF$25:$AF$30,1)=0,"",SUMIFS('19'!$AC$25:$AC$30,'19'!$AG$25:$AG$30,$AK9,'19'!$AF$25:$AF$30,1)/COUNTIFS('19'!$AG$25:$AG$30,$AK9,'19'!$AF$25:$AF$30,1))</f>
        <v/>
      </c>
      <c r="BO9" s="100" t="str">
        <f>IF(COUNTIFS('20'!$AG$25:$AG$30,$AK9,'20'!$AF$25:$AF$30,1)=0,"",SUMIFS('20'!$AC$25:$AC$30,'20'!$AG$25:$AG$30,$AK9,'20'!$AF$25:$AF$30,1)/COUNTIFS('20'!$AG$25:$AG$30,$AK9,'20'!$AF$25:$AF$30,1))</f>
        <v/>
      </c>
      <c r="BP9" s="100" t="str">
        <f>IF(COUNTIFS('21'!$AG$25:$AG$30,$AK9,'21'!$AF$25:$AF$30,1)=0,"",SUMIFS('21'!$AC$25:$AC$30,'21'!$AG$25:$AG$30,$AK9,'21'!$AF$25:$AF$30,1)/COUNTIFS('21'!$AG$25:$AG$30,$AK9,'21'!$AF$25:$AF$30,1))</f>
        <v/>
      </c>
      <c r="BQ9" s="100" t="str">
        <f>IF(COUNTIFS('22'!$AG$25:$AG$30,$AK9,'22'!$AF$25:$AF$30,1)=0,"",SUMIFS('22'!$AC$25:$AC$30,'22'!$AG$25:$AG$30,$AK9,'22'!$AF$25:$AF$30,1)/COUNTIFS('22'!$AG$25:$AG$30,$AK9,'22'!$AF$25:$AF$30,1))</f>
        <v/>
      </c>
      <c r="BR9" s="100" t="str">
        <f>IF(COUNTIFS('23'!$AG$25:$AG$30,$AK9,'23'!$AF$25:$AF$30,1)=0,"",SUMIFS('23'!$AC$25:$AC$30,'23'!$AG$25:$AG$30,$AK9,'23'!$AF$25:$AF$30,1)/COUNTIFS('23'!$AG$25:$AG$30,$AK9,'23'!$AF$25:$AF$30,1))</f>
        <v/>
      </c>
      <c r="BS9" s="100" t="str">
        <f>IF(COUNTIFS('24'!$AG$25:$AG$30,$AK9,'24'!$AF$25:$AF$30,1)=0,"",SUMIFS('24'!$AC$25:$AC$30,'24'!$AG$25:$AG$30,$AK9,'24'!$AF$25:$AF$30,1)/COUNTIFS('24'!$AG$25:$AG$30,$AK9,'24'!$AF$25:$AF$30,1))</f>
        <v/>
      </c>
      <c r="BT9" s="100" t="str">
        <f>IF(COUNTIFS('25'!$AG$25:$AG$30,$AK9,'25'!$AF$25:$AF$30,1)=0,"",SUMIFS('25'!$AC$25:$AC$30,'25'!$AG$25:$AG$30,$AK9,'25'!$AF$25:$AF$30,1)/COUNTIFS('25'!$AG$25:$AG$30,$AK9,'25'!$AF$25:$AF$30,1))</f>
        <v/>
      </c>
      <c r="BU9" s="100" t="str">
        <f>IF(COUNTIFS('26'!$AG$25:$AG$30,$AK9,'26'!$AF$25:$AF$30,1)=0,"",SUMIFS('26'!$AC$25:$AC$30,'26'!$AG$25:$AG$30,$AK9,'26'!$AF$25:$AF$30,1)/COUNTIFS('26'!$AG$25:$AG$30,$AK9,'26'!$AF$25:$AF$30,1))</f>
        <v/>
      </c>
      <c r="BV9" s="100" t="str">
        <f>IF(COUNTIFS('27'!$AG$25:$AG$30,$AK9,'27'!$AF$25:$AF$30,1)=0,"",SUMIFS('27'!$AC$25:$AC$30,'27'!$AG$25:$AG$30,$AK9,'27'!$AF$25:$AF$30,1)/COUNTIFS('27'!$AG$25:$AG$30,$AK9,'27'!$AF$25:$AF$30,1))</f>
        <v/>
      </c>
      <c r="BW9" s="100" t="str">
        <f>IF(COUNTIFS('28'!$AG$25:$AG$30,$AK9,'28'!$AF$25:$AF$30,1)=0,"",SUMIFS('28'!$AC$25:$AC$30,'28'!$AG$25:$AG$30,$AK9,'28'!$AF$25:$AF$30,1)/COUNTIFS('28'!$AG$25:$AG$30,$AK9,'28'!$AF$25:$AF$30,1))</f>
        <v/>
      </c>
      <c r="BX9" s="100" t="str">
        <f>IF(COUNTIFS('29'!$AG$25:$AG$30,$AK9,'29'!$AF$25:$AF$30,1)=0,"",SUMIFS('29'!$AC$25:$AC$30,'29'!$AG$25:$AG$30,$AK9,'29'!$AF$25:$AF$30,1)/COUNTIFS('29'!$AG$25:$AG$30,$AK9,'29'!$AF$25:$AF$30,1))</f>
        <v/>
      </c>
      <c r="BY9" s="100" t="str">
        <f>IF(COUNTIFS('30'!$AG$25:$AG$30,$AK9,'30'!$AF$25:$AF$30,1)=0,"",SUMIFS('30'!$AC$25:$AC$30,'30'!$AG$25:$AG$30,$AK9,'30'!$AF$25:$AF$30,1)/COUNTIFS('30'!$AG$25:$AG$30,$AK9,'30'!$AF$25:$AF$30,1))</f>
        <v/>
      </c>
      <c r="BZ9" s="100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3">
        <f>IF(LARGE($Y$5:$Y$17,5)=0,"",5)</f>
        <v>5</v>
      </c>
      <c r="B10" s="203" t="str">
        <f t="shared" si="7"/>
        <v>Couple A</v>
      </c>
      <c r="C10" s="203">
        <f t="shared" si="8"/>
        <v>13</v>
      </c>
      <c r="D10" s="204">
        <f t="shared" si="9"/>
        <v>0.05963302752</v>
      </c>
      <c r="E10" s="204">
        <f t="shared" si="10"/>
        <v>0.8577981651</v>
      </c>
      <c r="X10" s="100" t="s">
        <v>37</v>
      </c>
      <c r="Y10" s="100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16</v>
      </c>
      <c r="Z10" s="100">
        <f t="shared" si="1"/>
        <v>16.00008</v>
      </c>
      <c r="AA10" s="100" t="s">
        <v>402</v>
      </c>
      <c r="AB10" s="100" t="s">
        <v>412</v>
      </c>
      <c r="AC10" s="100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0">
        <f t="shared" si="2"/>
        <v>0.00006</v>
      </c>
      <c r="AH10" s="100" t="s">
        <v>65</v>
      </c>
      <c r="AI10" s="100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56</v>
      </c>
      <c r="AJ10" s="100">
        <f t="shared" si="4"/>
        <v>56.00001</v>
      </c>
      <c r="AK10" s="100" t="s">
        <v>402</v>
      </c>
      <c r="AL10" s="100" t="s">
        <v>412</v>
      </c>
      <c r="AM10" s="100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0" t="str">
        <f t="shared" si="5"/>
        <v/>
      </c>
      <c r="AO10" s="100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0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0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0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0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0" t="str">
        <f>IF(COUNTIFS('1'!$AG$29:$AG$34,$AK10,'1'!$AF$29:$AF$34,1)=0,"",SUMIFS('1'!$AC$29:$AC$34,'1'!$AG$29:$AG$34,$AK10,'1'!$AF$29:$AF$34,1)/COUNTIFS('1'!$AG$29:$AG$34,$AK10,'1'!$AF$29:$AF$34,1))</f>
        <v/>
      </c>
      <c r="AW10" s="100" t="str">
        <f>IF(COUNTIFS('2'!$AG$27:$AG$32,$AK10,'2'!$AF$27:$AF$32,1)=0,"",SUMIFS('2'!$AC$27:$AC$32,'2'!$AG$27:$AG$32,$AK10,'2'!$AF$27:$AF$32,1)/COUNTIFS('2'!$AG$27:$AG$32,$AK10,'2'!$AF$27:$AF$32,1))</f>
        <v/>
      </c>
      <c r="AX10" s="100" t="str">
        <f>IF(COUNTIFS('3'!$AG$74:$AG$79,$AK10,'3'!$AF$74:$AF$79,1)=0,"",SUMIFS('3'!$AC$74:$AC$79,'3'!$AG$74:$AG$79,$AK10,'3'!$AF$74:$AF$79,1)/COUNTIFS('3'!$AG$74:$AG$79,$AK10,'3'!$AF$74:$AF$79,1))</f>
        <v/>
      </c>
      <c r="AY10" s="100" t="str">
        <f>IF(COUNTIFS('4'!$AG$86:$AG$91,$AK10,'4'!$AF$86:$AF$91,1)=0,"",SUMIFS('4'!$AC$86:$AC$91,'4'!$AG$86:$AG$91,$AK10,'4'!$AF$86:$AF$91,1)/COUNTIFS('4'!$AG$86:$AG$91,$AK10,'4'!$AF$86:$AF$91,1))</f>
        <v/>
      </c>
      <c r="AZ10" s="100" t="str">
        <f>IF(COUNTIFS('5'!$AG$27:$AG$32,$AK10,'5'!$AF$27:$AF$32,1)=0,"",SUMIFS('5'!$AC$27:$AC$32,'5'!$AG$27:$AG$32,$AK10,'5'!$AF$27:$AF$32,1)/COUNTIFS('5'!$AG$27:$AG$32,$AK10,'5'!$AF$27:$AF$32,1))</f>
        <v/>
      </c>
      <c r="BA10" s="100" t="str">
        <f>IF(COUNTIFS('6'!$AG$31:$AG$36,$AK10,'6'!$AF$31:$AF$36,1)=0,"",SUMIFS('6'!$AC$31:$AC$36,'6'!$AG$31:$AG$36,$AK10,'6'!$AF$31:$AF$36,1)/COUNTIFS('6'!$AG$31:$AG$36,$AK10,'6'!$AF$31:$AF$36,1))</f>
        <v/>
      </c>
      <c r="BB10" s="100" t="str">
        <f>IF(COUNTIFS('7'!$AG$30:$AG$35,$AK10,'7'!$AF$30:$AF$35,1)=0,"",SUMIFS('7'!$AC$30:$AC$35,'7'!$AG$30:$AG$35,$AK10,'7'!$AF$30:$AF$35,1)/COUNTIFS('7'!$AG$30:$AG$35,$AK10,'7'!$AF$30:$AF$35,1))</f>
        <v/>
      </c>
      <c r="BC10" s="100" t="str">
        <f>IF(COUNTIFS('8'!$AG$31:$AG$36,$AK10,'8'!$AF$31:$AF$36,1)=0,"",SUMIFS('8'!$AC$31:$AC$36,'8'!$AG$31:$AG$36,$AK10,'8'!$AF$31:$AF$36,1)/COUNTIFS('8'!$AG$31:$AG$36,$AK10,'8'!$AF$31:$AF$36,1))</f>
        <v/>
      </c>
      <c r="BD10" s="100" t="str">
        <f>IF(COUNTIFS('9'!$AG$33:$AG$38,$AK10,'9'!$AF$33:$AF$38,1)=0,"",SUMIFS('9'!$AC$33:$AC$38,'9'!$AG$33:$AG$38,$AK10,'9'!$AF$33:$AF$38,1)/COUNTIFS('9'!$AG$33:$AG$38,$AK10,'9'!$AF$33:$AF$38,1))</f>
        <v/>
      </c>
      <c r="BE10" s="100" t="str">
        <f>IF(COUNTIFS('10'!$AG$33:$AG$38,$AK10,'10'!$AF$33:$AF$38,1)=0,"",SUMIFS('10'!$AC$33:$AC$38,'10'!$AG$33:$AG$38,$AK10,'10'!$AF$33:$AF$38,1)/COUNTIFS('10'!$AG$33:$AG$38,$AK10,'10'!$AF$33:$AF$38,1))</f>
        <v/>
      </c>
      <c r="BF10" s="100" t="str">
        <f>IF(COUNTIFS('11'!$AG$29:$AG$34,$AK10,'11'!$AF$29:$AF$34,1)=0,"",SUMIFS('11'!$AC$29:$AC$34,'11'!$AG$29:$AG$34,$AK10,'11'!$AF$29:$AF$34,1)/COUNTIFS('11'!$AG$29:$AG$34,$AK10,'11'!$AF$29:$AF$34,1))</f>
        <v/>
      </c>
      <c r="BG10" s="100" t="str">
        <f>IF(COUNTIFS('12'!$AG$26:$AG$31,$AK10,'12'!$AF$26:$AF$31,1)=0,"",SUMIFS('12'!$AC$26:$AC$31,'12'!$AG$26:$AG$31,$AK10,'12'!$AF$26:$AF$31,1)/COUNTIFS('12'!$AG$26:$AG$31,$AK10,'12'!$AF$26:$AF$31,1))</f>
        <v/>
      </c>
      <c r="BH10" s="100" t="str">
        <f>IF(COUNTIFS('13'!$AG$25:$AG$30,$AK10,'13'!$AF$25:$AF$30,1)=0,"",SUMIFS('13'!$AC$25:$AC$30,'13'!$AG$25:$AG$30,$AK10,'13'!$AF$25:$AF$30,1)/COUNTIFS('13'!$AG$25:$AG$30,$AK10,'13'!$AF$25:$AF$30,1))</f>
        <v/>
      </c>
      <c r="BI10" s="100" t="str">
        <f>IF(COUNTIFS('14'!$AG$25:$AG$30,$AK10,'14'!$AF$25:$AF$30,1)=0,"",SUMIFS('14'!$AC$25:$AC$30,'14'!$AG$25:$AG$30,$AK10,'14'!$AF$25:$AF$30,1)/COUNTIFS('14'!$AG$25:$AG$30,$AK10,'14'!$AF$25:$AF$30,1))</f>
        <v/>
      </c>
      <c r="BJ10" s="100" t="str">
        <f>IF(COUNTIFS('15'!$AG$29:$AG$34,$AK10,'15'!$AF$29:$AF$34,1)=0,"",SUMIFS('15'!$AC$29:$AC$34,'15'!$AG$29:$AG$34,$AK10,'15'!$AF$29:$AF$34,1)/COUNTIFS('15'!$AG$29:$AG$34,$AK10,'15'!$AF$29:$AF$34,1))</f>
        <v/>
      </c>
      <c r="BK10" s="100" t="str">
        <f>IF(COUNTIFS('16'!$AG$28:$AG$33,$AK10,'16'!$AF$28:$AF$33,1)=0,"",SUMIFS('16'!$AC$28:$AC$33,'16'!$AG$28:$AG$33,$AK10,'16'!$AF$28:$AF$33,1)/COUNTIFS('16'!$AG$28:$AG$33,$AK10,'16'!$AF$28:$AF$33,1))</f>
        <v/>
      </c>
      <c r="BL10" s="100" t="str">
        <f>IF(COUNTIFS('17'!$AG$25:$AG$30,$AK10,'17'!$AF$25:$AF$30,1)=0,"",SUMIFS('17'!$AC$25:$AC$30,'17'!$AG$25:$AG$30,$AK10,'17'!$AF$25:$AF$30,1)/COUNTIFS('17'!$AG$25:$AG$30,$AK10,'17'!$AF$25:$AF$30,1))</f>
        <v/>
      </c>
      <c r="BM10" s="100" t="str">
        <f>IF(COUNTIFS('18'!$AG$25:$AG$30,$AK10,'18'!$AF$25:$AF$30,1)=0,"",SUMIFS('18'!$AC$25:$AC$30,'18'!$AG$25:$AG$30,$AK10,'18'!$AF$25:$AF$30,1)/COUNTIFS('18'!$AG$25:$AG$30,$AK10,'18'!$AF$25:$AF$30,1))</f>
        <v/>
      </c>
      <c r="BN10" s="100" t="str">
        <f>IF(COUNTIFS('19'!$AG$25:$AG$30,$AK10,'19'!$AF$25:$AF$30,1)=0,"",SUMIFS('19'!$AC$25:$AC$30,'19'!$AG$25:$AG$30,$AK10,'19'!$AF$25:$AF$30,1)/COUNTIFS('19'!$AG$25:$AG$30,$AK10,'19'!$AF$25:$AF$30,1))</f>
        <v/>
      </c>
      <c r="BO10" s="100" t="str">
        <f>IF(COUNTIFS('20'!$AG$25:$AG$30,$AK10,'20'!$AF$25:$AF$30,1)=0,"",SUMIFS('20'!$AC$25:$AC$30,'20'!$AG$25:$AG$30,$AK10,'20'!$AF$25:$AF$30,1)/COUNTIFS('20'!$AG$25:$AG$30,$AK10,'20'!$AF$25:$AF$30,1))</f>
        <v/>
      </c>
      <c r="BP10" s="100" t="str">
        <f>IF(COUNTIFS('21'!$AG$25:$AG$30,$AK10,'21'!$AF$25:$AF$30,1)=0,"",SUMIFS('21'!$AC$25:$AC$30,'21'!$AG$25:$AG$30,$AK10,'21'!$AF$25:$AF$30,1)/COUNTIFS('21'!$AG$25:$AG$30,$AK10,'21'!$AF$25:$AF$30,1))</f>
        <v/>
      </c>
      <c r="BQ10" s="100" t="str">
        <f>IF(COUNTIFS('22'!$AG$25:$AG$30,$AK10,'22'!$AF$25:$AF$30,1)=0,"",SUMIFS('22'!$AC$25:$AC$30,'22'!$AG$25:$AG$30,$AK10,'22'!$AF$25:$AF$30,1)/COUNTIFS('22'!$AG$25:$AG$30,$AK10,'22'!$AF$25:$AF$30,1))</f>
        <v/>
      </c>
      <c r="BR10" s="100" t="str">
        <f>IF(COUNTIFS('23'!$AG$25:$AG$30,$AK10,'23'!$AF$25:$AF$30,1)=0,"",SUMIFS('23'!$AC$25:$AC$30,'23'!$AG$25:$AG$30,$AK10,'23'!$AF$25:$AF$30,1)/COUNTIFS('23'!$AG$25:$AG$30,$AK10,'23'!$AF$25:$AF$30,1))</f>
        <v/>
      </c>
      <c r="BS10" s="100" t="str">
        <f>IF(COUNTIFS('24'!$AG$25:$AG$30,$AK10,'24'!$AF$25:$AF$30,1)=0,"",SUMIFS('24'!$AC$25:$AC$30,'24'!$AG$25:$AG$30,$AK10,'24'!$AF$25:$AF$30,1)/COUNTIFS('24'!$AG$25:$AG$30,$AK10,'24'!$AF$25:$AF$30,1))</f>
        <v/>
      </c>
      <c r="BT10" s="100" t="str">
        <f>IF(COUNTIFS('25'!$AG$25:$AG$30,$AK10,'25'!$AF$25:$AF$30,1)=0,"",SUMIFS('25'!$AC$25:$AC$30,'25'!$AG$25:$AG$30,$AK10,'25'!$AF$25:$AF$30,1)/COUNTIFS('25'!$AG$25:$AG$30,$AK10,'25'!$AF$25:$AF$30,1))</f>
        <v/>
      </c>
      <c r="BU10" s="100" t="str">
        <f>IF(COUNTIFS('26'!$AG$25:$AG$30,$AK10,'26'!$AF$25:$AF$30,1)=0,"",SUMIFS('26'!$AC$25:$AC$30,'26'!$AG$25:$AG$30,$AK10,'26'!$AF$25:$AF$30,1)/COUNTIFS('26'!$AG$25:$AG$30,$AK10,'26'!$AF$25:$AF$30,1))</f>
        <v/>
      </c>
      <c r="BV10" s="100" t="str">
        <f>IF(COUNTIFS('27'!$AG$25:$AG$30,$AK10,'27'!$AF$25:$AF$30,1)=0,"",SUMIFS('27'!$AC$25:$AC$30,'27'!$AG$25:$AG$30,$AK10,'27'!$AF$25:$AF$30,1)/COUNTIFS('27'!$AG$25:$AG$30,$AK10,'27'!$AF$25:$AF$30,1))</f>
        <v/>
      </c>
      <c r="BW10" s="100" t="str">
        <f>IF(COUNTIFS('28'!$AG$25:$AG$30,$AK10,'28'!$AF$25:$AF$30,1)=0,"",SUMIFS('28'!$AC$25:$AC$30,'28'!$AG$25:$AG$30,$AK10,'28'!$AF$25:$AF$30,1)/COUNTIFS('28'!$AG$25:$AG$30,$AK10,'28'!$AF$25:$AF$30,1))</f>
        <v/>
      </c>
      <c r="BX10" s="100" t="str">
        <f>IF(COUNTIFS('29'!$AG$25:$AG$30,$AK10,'29'!$AF$25:$AF$30,1)=0,"",SUMIFS('29'!$AC$25:$AC$30,'29'!$AG$25:$AG$30,$AK10,'29'!$AF$25:$AF$30,1)/COUNTIFS('29'!$AG$25:$AG$30,$AK10,'29'!$AF$25:$AF$30,1))</f>
        <v/>
      </c>
      <c r="BY10" s="100" t="str">
        <f>IF(COUNTIFS('30'!$AG$25:$AG$30,$AK10,'30'!$AF$25:$AF$30,1)=0,"",SUMIFS('30'!$AC$25:$AC$30,'30'!$AG$25:$AG$30,$AK10,'30'!$AF$25:$AF$30,1)/COUNTIFS('30'!$AG$25:$AG$30,$AK10,'30'!$AF$25:$AF$30,1))</f>
        <v/>
      </c>
      <c r="BZ10" s="100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3">
        <f>IF(LARGE($Y$5:$Y$17,6)=0,"",6)</f>
        <v>6</v>
      </c>
      <c r="B11" s="203" t="str">
        <f t="shared" si="7"/>
        <v>Graduation Premium</v>
      </c>
      <c r="C11" s="203">
        <f t="shared" si="8"/>
        <v>9</v>
      </c>
      <c r="D11" s="204">
        <f t="shared" si="9"/>
        <v>0.04128440367</v>
      </c>
      <c r="E11" s="204">
        <f t="shared" si="10"/>
        <v>0.8990825688</v>
      </c>
      <c r="X11" s="100" t="s">
        <v>251</v>
      </c>
      <c r="Y11" s="100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100">
        <f t="shared" si="1"/>
        <v>5.00007</v>
      </c>
      <c r="AA11" s="100" t="s">
        <v>87</v>
      </c>
      <c r="AB11" s="100" t="s">
        <v>412</v>
      </c>
      <c r="AC11" s="100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0">
        <f t="shared" si="2"/>
        <v>0.00005</v>
      </c>
      <c r="AK11" s="100" t="s">
        <v>87</v>
      </c>
      <c r="AL11" s="100" t="s">
        <v>412</v>
      </c>
      <c r="AM11" s="100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0" t="str">
        <f t="shared" si="5"/>
        <v/>
      </c>
      <c r="AO11" s="100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0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0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0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0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0" t="str">
        <f>IF(COUNTIFS('1'!$AG$29:$AG$34,$AK11,'1'!$AF$29:$AF$34,1)=0,"",SUMIFS('1'!$AC$29:$AC$34,'1'!$AG$29:$AG$34,$AK11,'1'!$AF$29:$AF$34,1)/COUNTIFS('1'!$AG$29:$AG$34,$AK11,'1'!$AF$29:$AF$34,1))</f>
        <v/>
      </c>
      <c r="AW11" s="100" t="str">
        <f>IF(COUNTIFS('2'!$AG$27:$AG$32,$AK11,'2'!$AF$27:$AF$32,1)=0,"",SUMIFS('2'!$AC$27:$AC$32,'2'!$AG$27:$AG$32,$AK11,'2'!$AF$27:$AF$32,1)/COUNTIFS('2'!$AG$27:$AG$32,$AK11,'2'!$AF$27:$AF$32,1))</f>
        <v/>
      </c>
      <c r="AX11" s="100" t="str">
        <f>IF(COUNTIFS('3'!$AG$74:$AG$79,$AK11,'3'!$AF$74:$AF$79,1)=0,"",SUMIFS('3'!$AC$74:$AC$79,'3'!$AG$74:$AG$79,$AK11,'3'!$AF$74:$AF$79,1)/COUNTIFS('3'!$AG$74:$AG$79,$AK11,'3'!$AF$74:$AF$79,1))</f>
        <v/>
      </c>
      <c r="AY11" s="100" t="str">
        <f>IF(COUNTIFS('4'!$AG$86:$AG$91,$AK11,'4'!$AF$86:$AF$91,1)=0,"",SUMIFS('4'!$AC$86:$AC$91,'4'!$AG$86:$AG$91,$AK11,'4'!$AF$86:$AF$91,1)/COUNTIFS('4'!$AG$86:$AG$91,$AK11,'4'!$AF$86:$AF$91,1))</f>
        <v/>
      </c>
      <c r="AZ11" s="100" t="str">
        <f>IF(COUNTIFS('5'!$AG$27:$AG$32,$AK11,'5'!$AF$27:$AF$32,1)=0,"",SUMIFS('5'!$AC$27:$AC$32,'5'!$AG$27:$AG$32,$AK11,'5'!$AF$27:$AF$32,1)/COUNTIFS('5'!$AG$27:$AG$32,$AK11,'5'!$AF$27:$AF$32,1))</f>
        <v/>
      </c>
      <c r="BA11" s="100" t="str">
        <f>IF(COUNTIFS('6'!$AG$31:$AG$36,$AK11,'6'!$AF$31:$AF$36,1)=0,"",SUMIFS('6'!$AC$31:$AC$36,'6'!$AG$31:$AG$36,$AK11,'6'!$AF$31:$AF$36,1)/COUNTIFS('6'!$AG$31:$AG$36,$AK11,'6'!$AF$31:$AF$36,1))</f>
        <v/>
      </c>
      <c r="BB11" s="100" t="str">
        <f>IF(COUNTIFS('7'!$AG$30:$AG$35,$AK11,'7'!$AF$30:$AF$35,1)=0,"",SUMIFS('7'!$AC$30:$AC$35,'7'!$AG$30:$AG$35,$AK11,'7'!$AF$30:$AF$35,1)/COUNTIFS('7'!$AG$30:$AG$35,$AK11,'7'!$AF$30:$AF$35,1))</f>
        <v/>
      </c>
      <c r="BC11" s="100" t="str">
        <f>IF(COUNTIFS('8'!$AG$31:$AG$36,$AK11,'8'!$AF$31:$AF$36,1)=0,"",SUMIFS('8'!$AC$31:$AC$36,'8'!$AG$31:$AG$36,$AK11,'8'!$AF$31:$AF$36,1)/COUNTIFS('8'!$AG$31:$AG$36,$AK11,'8'!$AF$31:$AF$36,1))</f>
        <v/>
      </c>
      <c r="BD11" s="100" t="str">
        <f>IF(COUNTIFS('9'!$AG$33:$AG$38,$AK11,'9'!$AF$33:$AF$38,1)=0,"",SUMIFS('9'!$AC$33:$AC$38,'9'!$AG$33:$AG$38,$AK11,'9'!$AF$33:$AF$38,1)/COUNTIFS('9'!$AG$33:$AG$38,$AK11,'9'!$AF$33:$AF$38,1))</f>
        <v/>
      </c>
      <c r="BE11" s="100" t="str">
        <f>IF(COUNTIFS('10'!$AG$33:$AG$38,$AK11,'10'!$AF$33:$AF$38,1)=0,"",SUMIFS('10'!$AC$33:$AC$38,'10'!$AG$33:$AG$38,$AK11,'10'!$AF$33:$AF$38,1)/COUNTIFS('10'!$AG$33:$AG$38,$AK11,'10'!$AF$33:$AF$38,1))</f>
        <v/>
      </c>
      <c r="BF11" s="100" t="str">
        <f>IF(COUNTIFS('11'!$AG$29:$AG$34,$AK11,'11'!$AF$29:$AF$34,1)=0,"",SUMIFS('11'!$AC$29:$AC$34,'11'!$AG$29:$AG$34,$AK11,'11'!$AF$29:$AF$34,1)/COUNTIFS('11'!$AG$29:$AG$34,$AK11,'11'!$AF$29:$AF$34,1))</f>
        <v/>
      </c>
      <c r="BG11" s="100" t="str">
        <f>IF(COUNTIFS('12'!$AG$26:$AG$31,$AK11,'12'!$AF$26:$AF$31,1)=0,"",SUMIFS('12'!$AC$26:$AC$31,'12'!$AG$26:$AG$31,$AK11,'12'!$AF$26:$AF$31,1)/COUNTIFS('12'!$AG$26:$AG$31,$AK11,'12'!$AF$26:$AF$31,1))</f>
        <v/>
      </c>
      <c r="BH11" s="100" t="str">
        <f>IF(COUNTIFS('13'!$AG$25:$AG$30,$AK11,'13'!$AF$25:$AF$30,1)=0,"",SUMIFS('13'!$AC$25:$AC$30,'13'!$AG$25:$AG$30,$AK11,'13'!$AF$25:$AF$30,1)/COUNTIFS('13'!$AG$25:$AG$30,$AK11,'13'!$AF$25:$AF$30,1))</f>
        <v/>
      </c>
      <c r="BI11" s="100" t="str">
        <f>IF(COUNTIFS('14'!$AG$25:$AG$30,$AK11,'14'!$AF$25:$AF$30,1)=0,"",SUMIFS('14'!$AC$25:$AC$30,'14'!$AG$25:$AG$30,$AK11,'14'!$AF$25:$AF$30,1)/COUNTIFS('14'!$AG$25:$AG$30,$AK11,'14'!$AF$25:$AF$30,1))</f>
        <v/>
      </c>
      <c r="BJ11" s="100" t="str">
        <f>IF(COUNTIFS('15'!$AG$29:$AG$34,$AK11,'15'!$AF$29:$AF$34,1)=0,"",SUMIFS('15'!$AC$29:$AC$34,'15'!$AG$29:$AG$34,$AK11,'15'!$AF$29:$AF$34,1)/COUNTIFS('15'!$AG$29:$AG$34,$AK11,'15'!$AF$29:$AF$34,1))</f>
        <v/>
      </c>
      <c r="BK11" s="100" t="str">
        <f>IF(COUNTIFS('16'!$AG$28:$AG$33,$AK11,'16'!$AF$28:$AF$33,1)=0,"",SUMIFS('16'!$AC$28:$AC$33,'16'!$AG$28:$AG$33,$AK11,'16'!$AF$28:$AF$33,1)/COUNTIFS('16'!$AG$28:$AG$33,$AK11,'16'!$AF$28:$AF$33,1))</f>
        <v/>
      </c>
      <c r="BL11" s="100" t="str">
        <f>IF(COUNTIFS('17'!$AG$25:$AG$30,$AK11,'17'!$AF$25:$AF$30,1)=0,"",SUMIFS('17'!$AC$25:$AC$30,'17'!$AG$25:$AG$30,$AK11,'17'!$AF$25:$AF$30,1)/COUNTIFS('17'!$AG$25:$AG$30,$AK11,'17'!$AF$25:$AF$30,1))</f>
        <v/>
      </c>
      <c r="BM11" s="100" t="str">
        <f>IF(COUNTIFS('18'!$AG$25:$AG$30,$AK11,'18'!$AF$25:$AF$30,1)=0,"",SUMIFS('18'!$AC$25:$AC$30,'18'!$AG$25:$AG$30,$AK11,'18'!$AF$25:$AF$30,1)/COUNTIFS('18'!$AG$25:$AG$30,$AK11,'18'!$AF$25:$AF$30,1))</f>
        <v/>
      </c>
      <c r="BN11" s="100" t="str">
        <f>IF(COUNTIFS('19'!$AG$25:$AG$30,$AK11,'19'!$AF$25:$AF$30,1)=0,"",SUMIFS('19'!$AC$25:$AC$30,'19'!$AG$25:$AG$30,$AK11,'19'!$AF$25:$AF$30,1)/COUNTIFS('19'!$AG$25:$AG$30,$AK11,'19'!$AF$25:$AF$30,1))</f>
        <v/>
      </c>
      <c r="BO11" s="100" t="str">
        <f>IF(COUNTIFS('20'!$AG$25:$AG$30,$AK11,'20'!$AF$25:$AF$30,1)=0,"",SUMIFS('20'!$AC$25:$AC$30,'20'!$AG$25:$AG$30,$AK11,'20'!$AF$25:$AF$30,1)/COUNTIFS('20'!$AG$25:$AG$30,$AK11,'20'!$AF$25:$AF$30,1))</f>
        <v/>
      </c>
      <c r="BP11" s="100" t="str">
        <f>IF(COUNTIFS('21'!$AG$25:$AG$30,$AK11,'21'!$AF$25:$AF$30,1)=0,"",SUMIFS('21'!$AC$25:$AC$30,'21'!$AG$25:$AG$30,$AK11,'21'!$AF$25:$AF$30,1)/COUNTIFS('21'!$AG$25:$AG$30,$AK11,'21'!$AF$25:$AF$30,1))</f>
        <v/>
      </c>
      <c r="BQ11" s="100" t="str">
        <f>IF(COUNTIFS('22'!$AG$25:$AG$30,$AK11,'22'!$AF$25:$AF$30,1)=0,"",SUMIFS('22'!$AC$25:$AC$30,'22'!$AG$25:$AG$30,$AK11,'22'!$AF$25:$AF$30,1)/COUNTIFS('22'!$AG$25:$AG$30,$AK11,'22'!$AF$25:$AF$30,1))</f>
        <v/>
      </c>
      <c r="BR11" s="100" t="str">
        <f>IF(COUNTIFS('23'!$AG$25:$AG$30,$AK11,'23'!$AF$25:$AF$30,1)=0,"",SUMIFS('23'!$AC$25:$AC$30,'23'!$AG$25:$AG$30,$AK11,'23'!$AF$25:$AF$30,1)/COUNTIFS('23'!$AG$25:$AG$30,$AK11,'23'!$AF$25:$AF$30,1))</f>
        <v/>
      </c>
      <c r="BS11" s="100" t="str">
        <f>IF(COUNTIFS('24'!$AG$25:$AG$30,$AK11,'24'!$AF$25:$AF$30,1)=0,"",SUMIFS('24'!$AC$25:$AC$30,'24'!$AG$25:$AG$30,$AK11,'24'!$AF$25:$AF$30,1)/COUNTIFS('24'!$AG$25:$AG$30,$AK11,'24'!$AF$25:$AF$30,1))</f>
        <v/>
      </c>
      <c r="BT11" s="100" t="str">
        <f>IF(COUNTIFS('25'!$AG$25:$AG$30,$AK11,'25'!$AF$25:$AF$30,1)=0,"",SUMIFS('25'!$AC$25:$AC$30,'25'!$AG$25:$AG$30,$AK11,'25'!$AF$25:$AF$30,1)/COUNTIFS('25'!$AG$25:$AG$30,$AK11,'25'!$AF$25:$AF$30,1))</f>
        <v/>
      </c>
      <c r="BU11" s="100" t="str">
        <f>IF(COUNTIFS('26'!$AG$25:$AG$30,$AK11,'26'!$AF$25:$AF$30,1)=0,"",SUMIFS('26'!$AC$25:$AC$30,'26'!$AG$25:$AG$30,$AK11,'26'!$AF$25:$AF$30,1)/COUNTIFS('26'!$AG$25:$AG$30,$AK11,'26'!$AF$25:$AF$30,1))</f>
        <v/>
      </c>
      <c r="BV11" s="100" t="str">
        <f>IF(COUNTIFS('27'!$AG$25:$AG$30,$AK11,'27'!$AF$25:$AF$30,1)=0,"",SUMIFS('27'!$AC$25:$AC$30,'27'!$AG$25:$AG$30,$AK11,'27'!$AF$25:$AF$30,1)/COUNTIFS('27'!$AG$25:$AG$30,$AK11,'27'!$AF$25:$AF$30,1))</f>
        <v/>
      </c>
      <c r="BW11" s="100" t="str">
        <f>IF(COUNTIFS('28'!$AG$25:$AG$30,$AK11,'28'!$AF$25:$AF$30,1)=0,"",SUMIFS('28'!$AC$25:$AC$30,'28'!$AG$25:$AG$30,$AK11,'28'!$AF$25:$AF$30,1)/COUNTIFS('28'!$AG$25:$AG$30,$AK11,'28'!$AF$25:$AF$30,1))</f>
        <v/>
      </c>
      <c r="BX11" s="100" t="str">
        <f>IF(COUNTIFS('29'!$AG$25:$AG$30,$AK11,'29'!$AF$25:$AF$30,1)=0,"",SUMIFS('29'!$AC$25:$AC$30,'29'!$AG$25:$AG$30,$AK11,'29'!$AF$25:$AF$30,1)/COUNTIFS('29'!$AG$25:$AG$30,$AK11,'29'!$AF$25:$AF$30,1))</f>
        <v/>
      </c>
      <c r="BY11" s="100" t="str">
        <f>IF(COUNTIFS('30'!$AG$25:$AG$30,$AK11,'30'!$AF$25:$AF$30,1)=0,"",SUMIFS('30'!$AC$25:$AC$30,'30'!$AG$25:$AG$30,$AK11,'30'!$AF$25:$AF$30,1)/COUNTIFS('30'!$AG$25:$AG$30,$AK11,'30'!$AF$25:$AF$30,1))</f>
        <v/>
      </c>
      <c r="BZ11" s="100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3">
        <f>IF(LARGE($Y$5:$Y$17,7)=0,"",7)</f>
        <v>7</v>
      </c>
      <c r="B12" s="203" t="str">
        <f t="shared" si="7"/>
        <v>Pas Foto</v>
      </c>
      <c r="C12" s="203">
        <f t="shared" si="8"/>
        <v>8</v>
      </c>
      <c r="D12" s="204">
        <f t="shared" si="9"/>
        <v>0.03669724771</v>
      </c>
      <c r="E12" s="204">
        <f t="shared" si="10"/>
        <v>0.9357798165</v>
      </c>
      <c r="X12" s="100" t="s">
        <v>66</v>
      </c>
      <c r="Y12" s="100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0">
        <f t="shared" si="1"/>
        <v>1.00006</v>
      </c>
      <c r="AA12" s="100" t="s">
        <v>46</v>
      </c>
      <c r="AB12" s="100" t="s">
        <v>412</v>
      </c>
      <c r="AC12" s="100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17</v>
      </c>
      <c r="AD12" s="100">
        <f t="shared" si="2"/>
        <v>17.00004</v>
      </c>
      <c r="AK12" s="100" t="s">
        <v>46</v>
      </c>
      <c r="AL12" s="100" t="s">
        <v>412</v>
      </c>
      <c r="AM12" s="100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16</v>
      </c>
      <c r="AN12" s="100">
        <f t="shared" si="5"/>
        <v>99.5</v>
      </c>
      <c r="AO12" s="100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4.875</v>
      </c>
      <c r="AP12" s="100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0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0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0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0">
        <f>IF(COUNTIFS('1'!$AG$29:$AG$34,$AK12,'1'!$AF$29:$AF$34,1)=0,"",SUMIFS('1'!$AC$29:$AC$34,'1'!$AG$29:$AG$34,$AK12,'1'!$AF$29:$AF$34,1)/COUNTIFS('1'!$AG$29:$AG$34,$AK12,'1'!$AF$29:$AF$34,1))</f>
        <v>96</v>
      </c>
      <c r="AW12" s="100">
        <f>IF(COUNTIFS('2'!$AG$27:$AG$32,$AK12,'2'!$AF$27:$AF$32,1)=0,"",SUMIFS('2'!$AC$27:$AC$32,'2'!$AG$27:$AG$32,$AK12,'2'!$AF$27:$AF$32,1)/COUNTIFS('2'!$AG$27:$AG$32,$AK12,'2'!$AF$27:$AF$32,1))</f>
        <v>100</v>
      </c>
      <c r="AX12" s="100">
        <f>IF(COUNTIFS('3'!$AG$74:$AG$79,$AK12,'3'!$AF$74:$AF$79,1)=0,"",SUMIFS('3'!$AC$74:$AC$79,'3'!$AG$74:$AG$79,$AK12,'3'!$AF$74:$AF$79,1)/COUNTIFS('3'!$AG$74:$AG$79,$AK12,'3'!$AF$74:$AF$79,1))</f>
        <v>100</v>
      </c>
      <c r="AY12" s="100">
        <f>IF(COUNTIFS('4'!$AG$86:$AG$91,$AK12,'4'!$AF$86:$AF$91,1)=0,"",SUMIFS('4'!$AC$86:$AC$91,'4'!$AG$86:$AG$91,$AK12,'4'!$AF$86:$AF$91,1)/COUNTIFS('4'!$AG$86:$AG$91,$AK12,'4'!$AF$86:$AF$91,1))</f>
        <v>100</v>
      </c>
      <c r="AZ12" s="100">
        <f>IF(COUNTIFS('5'!$AG$27:$AG$32,$AK12,'5'!$AF$27:$AF$32,1)=0,"",SUMIFS('5'!$AC$27:$AC$32,'5'!$AG$27:$AG$32,$AK12,'5'!$AF$27:$AF$32,1)/COUNTIFS('5'!$AG$27:$AG$32,$AK12,'5'!$AF$27:$AF$32,1))</f>
        <v>100</v>
      </c>
      <c r="BA12" s="100">
        <f>IF(COUNTIFS('6'!$AG$31:$AG$36,$AK12,'6'!$AF$31:$AF$36,1)=0,"",SUMIFS('6'!$AC$31:$AC$36,'6'!$AG$31:$AG$36,$AK12,'6'!$AF$31:$AF$36,1)/COUNTIFS('6'!$AG$31:$AG$36,$AK12,'6'!$AF$31:$AF$36,1))</f>
        <v>100</v>
      </c>
      <c r="BB12" s="100" t="str">
        <f>IF(COUNTIFS('7'!$AG$30:$AG$35,$AK12,'7'!$AF$30:$AF$35,1)=0,"",SUMIFS('7'!$AC$30:$AC$35,'7'!$AG$30:$AG$35,$AK12,'7'!$AF$30:$AF$35,1)/COUNTIFS('7'!$AG$30:$AG$35,$AK12,'7'!$AF$30:$AF$35,1))</f>
        <v/>
      </c>
      <c r="BC12" s="100">
        <f>IF(COUNTIFS('8'!$AG$31:$AG$36,$AK12,'8'!$AF$31:$AF$36,1)=0,"",SUMIFS('8'!$AC$31:$AC$36,'8'!$AG$31:$AG$36,$AK12,'8'!$AF$31:$AF$36,1)/COUNTIFS('8'!$AG$31:$AG$36,$AK12,'8'!$AF$31:$AF$36,1))</f>
        <v>100</v>
      </c>
      <c r="BD12" s="100">
        <f>IF(COUNTIFS('9'!$AG$33:$AG$38,$AK12,'9'!$AF$33:$AF$38,1)=0,"",SUMIFS('9'!$AC$33:$AC$38,'9'!$AG$33:$AG$38,$AK12,'9'!$AF$33:$AF$38,1)/COUNTIFS('9'!$AG$33:$AG$38,$AK12,'9'!$AF$33:$AF$38,1))</f>
        <v>100</v>
      </c>
      <c r="BE12" s="100">
        <f>IF(COUNTIFS('10'!$AG$33:$AG$38,$AK12,'10'!$AF$33:$AF$38,1)=0,"",SUMIFS('10'!$AC$33:$AC$38,'10'!$AG$33:$AG$38,$AK12,'10'!$AF$33:$AF$38,1)/COUNTIFS('10'!$AG$33:$AG$38,$AK12,'10'!$AF$33:$AF$38,1))</f>
        <v>100</v>
      </c>
      <c r="BF12" s="100">
        <f>IF(COUNTIFS('11'!$AG$29:$AG$34,$AK12,'11'!$AF$29:$AF$34,1)=0,"",SUMIFS('11'!$AC$29:$AC$34,'11'!$AG$29:$AG$34,$AK12,'11'!$AF$29:$AF$34,1)/COUNTIFS('11'!$AG$29:$AG$34,$AK12,'11'!$AF$29:$AF$34,1))</f>
        <v>100</v>
      </c>
      <c r="BG12" s="100">
        <f>IF(COUNTIFS('12'!$AG$26:$AG$31,$AK12,'12'!$AF$26:$AF$31,1)=0,"",SUMIFS('12'!$AC$26:$AC$31,'12'!$AG$26:$AG$31,$AK12,'12'!$AF$26:$AF$31,1)/COUNTIFS('12'!$AG$26:$AG$31,$AK12,'12'!$AF$26:$AF$31,1))</f>
        <v>100</v>
      </c>
      <c r="BH12" s="100">
        <f>IF(COUNTIFS('13'!$AG$25:$AG$30,$AK12,'13'!$AF$25:$AF$30,1)=0,"",SUMIFS('13'!$AC$25:$AC$30,'13'!$AG$25:$AG$30,$AK12,'13'!$AF$25:$AF$30,1)/COUNTIFS('13'!$AG$25:$AG$30,$AK12,'13'!$AF$25:$AF$30,1))</f>
        <v>100</v>
      </c>
      <c r="BI12" s="100" t="str">
        <f>IF(COUNTIFS('14'!$AG$25:$AG$30,$AK12,'14'!$AF$25:$AF$30,1)=0,"",SUMIFS('14'!$AC$25:$AC$30,'14'!$AG$25:$AG$30,$AK12,'14'!$AF$25:$AF$30,1)/COUNTIFS('14'!$AG$25:$AG$30,$AK12,'14'!$AF$25:$AF$30,1))</f>
        <v/>
      </c>
      <c r="BJ12" s="100" t="str">
        <f>IF(COUNTIFS('15'!$AG$29:$AG$34,$AK12,'15'!$AF$29:$AF$34,1)=0,"",SUMIFS('15'!$AC$29:$AC$34,'15'!$AG$29:$AG$34,$AK12,'15'!$AF$29:$AF$34,1)/COUNTIFS('15'!$AG$29:$AG$34,$AK12,'15'!$AF$29:$AF$34,1))</f>
        <v/>
      </c>
      <c r="BK12" s="100">
        <f>IF(COUNTIFS('16'!$AG$28:$AG$33,$AK12,'16'!$AF$28:$AF$33,1)=0,"",SUMIFS('16'!$AC$28:$AC$33,'16'!$AG$28:$AG$33,$AK12,'16'!$AF$28:$AF$33,1)/COUNTIFS('16'!$AG$28:$AG$33,$AK12,'16'!$AF$28:$AF$33,1))</f>
        <v>100</v>
      </c>
      <c r="BL12" s="100" t="str">
        <f>IF(COUNTIFS('17'!$AG$25:$AG$30,$AK12,'17'!$AF$25:$AF$30,1)=0,"",SUMIFS('17'!$AC$25:$AC$30,'17'!$AG$25:$AG$30,$AK12,'17'!$AF$25:$AF$30,1)/COUNTIFS('17'!$AG$25:$AG$30,$AK12,'17'!$AF$25:$AF$30,1))</f>
        <v/>
      </c>
      <c r="BM12" s="100" t="str">
        <f>IF(COUNTIFS('18'!$AG$25:$AG$30,$AK12,'18'!$AF$25:$AF$30,1)=0,"",SUMIFS('18'!$AC$25:$AC$30,'18'!$AG$25:$AG$30,$AK12,'18'!$AF$25:$AF$30,1)/COUNTIFS('18'!$AG$25:$AG$30,$AK12,'18'!$AF$25:$AF$30,1))</f>
        <v/>
      </c>
      <c r="BN12" s="100" t="str">
        <f>IF(COUNTIFS('19'!$AG$25:$AG$30,$AK12,'19'!$AF$25:$AF$30,1)=0,"",SUMIFS('19'!$AC$25:$AC$30,'19'!$AG$25:$AG$30,$AK12,'19'!$AF$25:$AF$30,1)/COUNTIFS('19'!$AG$25:$AG$30,$AK12,'19'!$AF$25:$AF$30,1))</f>
        <v/>
      </c>
      <c r="BO12" s="100" t="str">
        <f>IF(COUNTIFS('20'!$AG$25:$AG$30,$AK12,'20'!$AF$25:$AF$30,1)=0,"",SUMIFS('20'!$AC$25:$AC$30,'20'!$AG$25:$AG$30,$AK12,'20'!$AF$25:$AF$30,1)/COUNTIFS('20'!$AG$25:$AG$30,$AK12,'20'!$AF$25:$AF$30,1))</f>
        <v/>
      </c>
      <c r="BP12" s="100" t="str">
        <f>IF(COUNTIFS('21'!$AG$25:$AG$30,$AK12,'21'!$AF$25:$AF$30,1)=0,"",SUMIFS('21'!$AC$25:$AC$30,'21'!$AG$25:$AG$30,$AK12,'21'!$AF$25:$AF$30,1)/COUNTIFS('21'!$AG$25:$AG$30,$AK12,'21'!$AF$25:$AF$30,1))</f>
        <v/>
      </c>
      <c r="BQ12" s="100" t="str">
        <f>IF(COUNTIFS('22'!$AG$25:$AG$30,$AK12,'22'!$AF$25:$AF$30,1)=0,"",SUMIFS('22'!$AC$25:$AC$30,'22'!$AG$25:$AG$30,$AK12,'22'!$AF$25:$AF$30,1)/COUNTIFS('22'!$AG$25:$AG$30,$AK12,'22'!$AF$25:$AF$30,1))</f>
        <v/>
      </c>
      <c r="BR12" s="100" t="str">
        <f>IF(COUNTIFS('23'!$AG$25:$AG$30,$AK12,'23'!$AF$25:$AF$30,1)=0,"",SUMIFS('23'!$AC$25:$AC$30,'23'!$AG$25:$AG$30,$AK12,'23'!$AF$25:$AF$30,1)/COUNTIFS('23'!$AG$25:$AG$30,$AK12,'23'!$AF$25:$AF$30,1))</f>
        <v/>
      </c>
      <c r="BS12" s="100" t="str">
        <f>IF(COUNTIFS('24'!$AG$25:$AG$30,$AK12,'24'!$AF$25:$AF$30,1)=0,"",SUMIFS('24'!$AC$25:$AC$30,'24'!$AG$25:$AG$30,$AK12,'24'!$AF$25:$AF$30,1)/COUNTIFS('24'!$AG$25:$AG$30,$AK12,'24'!$AF$25:$AF$30,1))</f>
        <v/>
      </c>
      <c r="BT12" s="100" t="str">
        <f>IF(COUNTIFS('25'!$AG$25:$AG$30,$AK12,'25'!$AF$25:$AF$30,1)=0,"",SUMIFS('25'!$AC$25:$AC$30,'25'!$AG$25:$AG$30,$AK12,'25'!$AF$25:$AF$30,1)/COUNTIFS('25'!$AG$25:$AG$30,$AK12,'25'!$AF$25:$AF$30,1))</f>
        <v/>
      </c>
      <c r="BU12" s="100" t="str">
        <f>IF(COUNTIFS('26'!$AG$25:$AG$30,$AK12,'26'!$AF$25:$AF$30,1)=0,"",SUMIFS('26'!$AC$25:$AC$30,'26'!$AG$25:$AG$30,$AK12,'26'!$AF$25:$AF$30,1)/COUNTIFS('26'!$AG$25:$AG$30,$AK12,'26'!$AF$25:$AF$30,1))</f>
        <v/>
      </c>
      <c r="BV12" s="100" t="str">
        <f>IF(COUNTIFS('27'!$AG$25:$AG$30,$AK12,'27'!$AF$25:$AF$30,1)=0,"",SUMIFS('27'!$AC$25:$AC$30,'27'!$AG$25:$AG$30,$AK12,'27'!$AF$25:$AF$30,1)/COUNTIFS('27'!$AG$25:$AG$30,$AK12,'27'!$AF$25:$AF$30,1))</f>
        <v/>
      </c>
      <c r="BW12" s="100" t="str">
        <f>IF(COUNTIFS('28'!$AG$25:$AG$30,$AK12,'28'!$AF$25:$AF$30,1)=0,"",SUMIFS('28'!$AC$25:$AC$30,'28'!$AG$25:$AG$30,$AK12,'28'!$AF$25:$AF$30,1)/COUNTIFS('28'!$AG$25:$AG$30,$AK12,'28'!$AF$25:$AF$30,1))</f>
        <v/>
      </c>
      <c r="BX12" s="100" t="str">
        <f>IF(COUNTIFS('29'!$AG$25:$AG$30,$AK12,'29'!$AF$25:$AF$30,1)=0,"",SUMIFS('29'!$AC$25:$AC$30,'29'!$AG$25:$AG$30,$AK12,'29'!$AF$25:$AF$30,1)/COUNTIFS('29'!$AG$25:$AG$30,$AK12,'29'!$AF$25:$AF$30,1))</f>
        <v/>
      </c>
      <c r="BY12" s="100" t="str">
        <f>IF(COUNTIFS('30'!$AG$25:$AG$30,$AK12,'30'!$AF$25:$AF$30,1)=0,"",SUMIFS('30'!$AC$25:$AC$30,'30'!$AG$25:$AG$30,$AK12,'30'!$AF$25:$AF$30,1)/COUNTIFS('30'!$AG$25:$AG$30,$AK12,'30'!$AF$25:$AF$30,1))</f>
        <v/>
      </c>
      <c r="BZ12" s="100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3">
        <f>IF(LARGE($Y$5:$Y$17,8)=0,"",8)</f>
        <v>8</v>
      </c>
      <c r="B13" s="203" t="str">
        <f t="shared" si="7"/>
        <v>Family A</v>
      </c>
      <c r="C13" s="203">
        <f t="shared" si="8"/>
        <v>5</v>
      </c>
      <c r="D13" s="204">
        <f t="shared" si="9"/>
        <v>0.02293577982</v>
      </c>
      <c r="E13" s="204">
        <f t="shared" si="10"/>
        <v>0.9587155963</v>
      </c>
      <c r="X13" s="100" t="s">
        <v>280</v>
      </c>
      <c r="Y13" s="100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0">
        <f t="shared" si="1"/>
        <v>2.00005</v>
      </c>
      <c r="AA13" s="100" t="s">
        <v>99</v>
      </c>
      <c r="AB13" s="100" t="s">
        <v>412</v>
      </c>
      <c r="AC13" s="100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0">
        <f t="shared" si="2"/>
        <v>0.00003</v>
      </c>
      <c r="AK13" s="100" t="s">
        <v>99</v>
      </c>
      <c r="AL13" s="100" t="s">
        <v>412</v>
      </c>
      <c r="AM13" s="100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0" t="str">
        <f t="shared" si="5"/>
        <v/>
      </c>
      <c r="AO13" s="100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0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0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0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0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0" t="str">
        <f>IF(COUNTIFS('1'!$AG$29:$AG$34,$AK13,'1'!$AF$29:$AF$34,1)=0,"",SUMIFS('1'!$AC$29:$AC$34,'1'!$AG$29:$AG$34,$AK13,'1'!$AF$29:$AF$34,1)/COUNTIFS('1'!$AG$29:$AG$34,$AK13,'1'!$AF$29:$AF$34,1))</f>
        <v/>
      </c>
      <c r="AW13" s="100" t="str">
        <f>IF(COUNTIFS('2'!$AG$27:$AG$32,$AK13,'2'!$AF$27:$AF$32,1)=0,"",SUMIFS('2'!$AC$27:$AC$32,'2'!$AG$27:$AG$32,$AK13,'2'!$AF$27:$AF$32,1)/COUNTIFS('2'!$AG$27:$AG$32,$AK13,'2'!$AF$27:$AF$32,1))</f>
        <v/>
      </c>
      <c r="AX13" s="100" t="str">
        <f>IF(COUNTIFS('3'!$AG$74:$AG$79,$AK13,'3'!$AF$74:$AF$79,1)=0,"",SUMIFS('3'!$AC$74:$AC$79,'3'!$AG$74:$AG$79,$AK13,'3'!$AF$74:$AF$79,1)/COUNTIFS('3'!$AG$74:$AG$79,$AK13,'3'!$AF$74:$AF$79,1))</f>
        <v/>
      </c>
      <c r="AY13" s="100" t="str">
        <f>IF(COUNTIFS('4'!$AG$86:$AG$91,$AK13,'4'!$AF$86:$AF$91,1)=0,"",SUMIFS('4'!$AC$86:$AC$91,'4'!$AG$86:$AG$91,$AK13,'4'!$AF$86:$AF$91,1)/COUNTIFS('4'!$AG$86:$AG$91,$AK13,'4'!$AF$86:$AF$91,1))</f>
        <v/>
      </c>
      <c r="AZ13" s="100" t="str">
        <f>IF(COUNTIFS('5'!$AG$27:$AG$32,$AK13,'5'!$AF$27:$AF$32,1)=0,"",SUMIFS('5'!$AC$27:$AC$32,'5'!$AG$27:$AG$32,$AK13,'5'!$AF$27:$AF$32,1)/COUNTIFS('5'!$AG$27:$AG$32,$AK13,'5'!$AF$27:$AF$32,1))</f>
        <v/>
      </c>
      <c r="BA13" s="100" t="str">
        <f>IF(COUNTIFS('6'!$AG$31:$AG$36,$AK13,'6'!$AF$31:$AF$36,1)=0,"",SUMIFS('6'!$AC$31:$AC$36,'6'!$AG$31:$AG$36,$AK13,'6'!$AF$31:$AF$36,1)/COUNTIFS('6'!$AG$31:$AG$36,$AK13,'6'!$AF$31:$AF$36,1))</f>
        <v/>
      </c>
      <c r="BB13" s="100" t="str">
        <f>IF(COUNTIFS('7'!$AG$30:$AG$35,$AK13,'7'!$AF$30:$AF$35,1)=0,"",SUMIFS('7'!$AC$30:$AC$35,'7'!$AG$30:$AG$35,$AK13,'7'!$AF$30:$AF$35,1)/COUNTIFS('7'!$AG$30:$AG$35,$AK13,'7'!$AF$30:$AF$35,1))</f>
        <v/>
      </c>
      <c r="BC13" s="100" t="str">
        <f>IF(COUNTIFS('8'!$AG$31:$AG$36,$AK13,'8'!$AF$31:$AF$36,1)=0,"",SUMIFS('8'!$AC$31:$AC$36,'8'!$AG$31:$AG$36,$AK13,'8'!$AF$31:$AF$36,1)/COUNTIFS('8'!$AG$31:$AG$36,$AK13,'8'!$AF$31:$AF$36,1))</f>
        <v/>
      </c>
      <c r="BD13" s="100" t="str">
        <f>IF(COUNTIFS('9'!$AG$33:$AG$38,$AK13,'9'!$AF$33:$AF$38,1)=0,"",SUMIFS('9'!$AC$33:$AC$38,'9'!$AG$33:$AG$38,$AK13,'9'!$AF$33:$AF$38,1)/COUNTIFS('9'!$AG$33:$AG$38,$AK13,'9'!$AF$33:$AF$38,1))</f>
        <v/>
      </c>
      <c r="BE13" s="100" t="str">
        <f>IF(COUNTIFS('10'!$AG$33:$AG$38,$AK13,'10'!$AF$33:$AF$38,1)=0,"",SUMIFS('10'!$AC$33:$AC$38,'10'!$AG$33:$AG$38,$AK13,'10'!$AF$33:$AF$38,1)/COUNTIFS('10'!$AG$33:$AG$38,$AK13,'10'!$AF$33:$AF$38,1))</f>
        <v/>
      </c>
      <c r="BF13" s="100" t="str">
        <f>IF(COUNTIFS('11'!$AG$29:$AG$34,$AK13,'11'!$AF$29:$AF$34,1)=0,"",SUMIFS('11'!$AC$29:$AC$34,'11'!$AG$29:$AG$34,$AK13,'11'!$AF$29:$AF$34,1)/COUNTIFS('11'!$AG$29:$AG$34,$AK13,'11'!$AF$29:$AF$34,1))</f>
        <v/>
      </c>
      <c r="BG13" s="100" t="str">
        <f>IF(COUNTIFS('12'!$AG$26:$AG$31,$AK13,'12'!$AF$26:$AF$31,1)=0,"",SUMIFS('12'!$AC$26:$AC$31,'12'!$AG$26:$AG$31,$AK13,'12'!$AF$26:$AF$31,1)/COUNTIFS('12'!$AG$26:$AG$31,$AK13,'12'!$AF$26:$AF$31,1))</f>
        <v/>
      </c>
      <c r="BH13" s="100" t="str">
        <f>IF(COUNTIFS('13'!$AG$25:$AG$30,$AK13,'13'!$AF$25:$AF$30,1)=0,"",SUMIFS('13'!$AC$25:$AC$30,'13'!$AG$25:$AG$30,$AK13,'13'!$AF$25:$AF$30,1)/COUNTIFS('13'!$AG$25:$AG$30,$AK13,'13'!$AF$25:$AF$30,1))</f>
        <v/>
      </c>
      <c r="BI13" s="100" t="str">
        <f>IF(COUNTIFS('14'!$AG$25:$AG$30,$AK13,'14'!$AF$25:$AF$30,1)=0,"",SUMIFS('14'!$AC$25:$AC$30,'14'!$AG$25:$AG$30,$AK13,'14'!$AF$25:$AF$30,1)/COUNTIFS('14'!$AG$25:$AG$30,$AK13,'14'!$AF$25:$AF$30,1))</f>
        <v/>
      </c>
      <c r="BJ13" s="100" t="str">
        <f>IF(COUNTIFS('15'!$AG$29:$AG$34,$AK13,'15'!$AF$29:$AF$34,1)=0,"",SUMIFS('15'!$AC$29:$AC$34,'15'!$AG$29:$AG$34,$AK13,'15'!$AF$29:$AF$34,1)/COUNTIFS('15'!$AG$29:$AG$34,$AK13,'15'!$AF$29:$AF$34,1))</f>
        <v/>
      </c>
      <c r="BK13" s="100" t="str">
        <f>IF(COUNTIFS('16'!$AG$28:$AG$33,$AK13,'16'!$AF$28:$AF$33,1)=0,"",SUMIFS('16'!$AC$28:$AC$33,'16'!$AG$28:$AG$33,$AK13,'16'!$AF$28:$AF$33,1)/COUNTIFS('16'!$AG$28:$AG$33,$AK13,'16'!$AF$28:$AF$33,1))</f>
        <v/>
      </c>
      <c r="BL13" s="100" t="str">
        <f>IF(COUNTIFS('17'!$AG$25:$AG$30,$AK13,'17'!$AF$25:$AF$30,1)=0,"",SUMIFS('17'!$AC$25:$AC$30,'17'!$AG$25:$AG$30,$AK13,'17'!$AF$25:$AF$30,1)/COUNTIFS('17'!$AG$25:$AG$30,$AK13,'17'!$AF$25:$AF$30,1))</f>
        <v/>
      </c>
      <c r="BM13" s="100" t="str">
        <f>IF(COUNTIFS('18'!$AG$25:$AG$30,$AK13,'18'!$AF$25:$AF$30,1)=0,"",SUMIFS('18'!$AC$25:$AC$30,'18'!$AG$25:$AG$30,$AK13,'18'!$AF$25:$AF$30,1)/COUNTIFS('18'!$AG$25:$AG$30,$AK13,'18'!$AF$25:$AF$30,1))</f>
        <v/>
      </c>
      <c r="BN13" s="100" t="str">
        <f>IF(COUNTIFS('19'!$AG$25:$AG$30,$AK13,'19'!$AF$25:$AF$30,1)=0,"",SUMIFS('19'!$AC$25:$AC$30,'19'!$AG$25:$AG$30,$AK13,'19'!$AF$25:$AF$30,1)/COUNTIFS('19'!$AG$25:$AG$30,$AK13,'19'!$AF$25:$AF$30,1))</f>
        <v/>
      </c>
      <c r="BO13" s="100" t="str">
        <f>IF(COUNTIFS('20'!$AG$25:$AG$30,$AK13,'20'!$AF$25:$AF$30,1)=0,"",SUMIFS('20'!$AC$25:$AC$30,'20'!$AG$25:$AG$30,$AK13,'20'!$AF$25:$AF$30,1)/COUNTIFS('20'!$AG$25:$AG$30,$AK13,'20'!$AF$25:$AF$30,1))</f>
        <v/>
      </c>
      <c r="BP13" s="100" t="str">
        <f>IF(COUNTIFS('21'!$AG$25:$AG$30,$AK13,'21'!$AF$25:$AF$30,1)=0,"",SUMIFS('21'!$AC$25:$AC$30,'21'!$AG$25:$AG$30,$AK13,'21'!$AF$25:$AF$30,1)/COUNTIFS('21'!$AG$25:$AG$30,$AK13,'21'!$AF$25:$AF$30,1))</f>
        <v/>
      </c>
      <c r="BQ13" s="100" t="str">
        <f>IF(COUNTIFS('22'!$AG$25:$AG$30,$AK13,'22'!$AF$25:$AF$30,1)=0,"",SUMIFS('22'!$AC$25:$AC$30,'22'!$AG$25:$AG$30,$AK13,'22'!$AF$25:$AF$30,1)/COUNTIFS('22'!$AG$25:$AG$30,$AK13,'22'!$AF$25:$AF$30,1))</f>
        <v/>
      </c>
      <c r="BR13" s="100" t="str">
        <f>IF(COUNTIFS('23'!$AG$25:$AG$30,$AK13,'23'!$AF$25:$AF$30,1)=0,"",SUMIFS('23'!$AC$25:$AC$30,'23'!$AG$25:$AG$30,$AK13,'23'!$AF$25:$AF$30,1)/COUNTIFS('23'!$AG$25:$AG$30,$AK13,'23'!$AF$25:$AF$30,1))</f>
        <v/>
      </c>
      <c r="BS13" s="100" t="str">
        <f>IF(COUNTIFS('24'!$AG$25:$AG$30,$AK13,'24'!$AF$25:$AF$30,1)=0,"",SUMIFS('24'!$AC$25:$AC$30,'24'!$AG$25:$AG$30,$AK13,'24'!$AF$25:$AF$30,1)/COUNTIFS('24'!$AG$25:$AG$30,$AK13,'24'!$AF$25:$AF$30,1))</f>
        <v/>
      </c>
      <c r="BT13" s="100" t="str">
        <f>IF(COUNTIFS('25'!$AG$25:$AG$30,$AK13,'25'!$AF$25:$AF$30,1)=0,"",SUMIFS('25'!$AC$25:$AC$30,'25'!$AG$25:$AG$30,$AK13,'25'!$AF$25:$AF$30,1)/COUNTIFS('25'!$AG$25:$AG$30,$AK13,'25'!$AF$25:$AF$30,1))</f>
        <v/>
      </c>
      <c r="BU13" s="100" t="str">
        <f>IF(COUNTIFS('26'!$AG$25:$AG$30,$AK13,'26'!$AF$25:$AF$30,1)=0,"",SUMIFS('26'!$AC$25:$AC$30,'26'!$AG$25:$AG$30,$AK13,'26'!$AF$25:$AF$30,1)/COUNTIFS('26'!$AG$25:$AG$30,$AK13,'26'!$AF$25:$AF$30,1))</f>
        <v/>
      </c>
      <c r="BV13" s="100" t="str">
        <f>IF(COUNTIFS('27'!$AG$25:$AG$30,$AK13,'27'!$AF$25:$AF$30,1)=0,"",SUMIFS('27'!$AC$25:$AC$30,'27'!$AG$25:$AG$30,$AK13,'27'!$AF$25:$AF$30,1)/COUNTIFS('27'!$AG$25:$AG$30,$AK13,'27'!$AF$25:$AF$30,1))</f>
        <v/>
      </c>
      <c r="BW13" s="100" t="str">
        <f>IF(COUNTIFS('28'!$AG$25:$AG$30,$AK13,'28'!$AF$25:$AF$30,1)=0,"",SUMIFS('28'!$AC$25:$AC$30,'28'!$AG$25:$AG$30,$AK13,'28'!$AF$25:$AF$30,1)/COUNTIFS('28'!$AG$25:$AG$30,$AK13,'28'!$AF$25:$AF$30,1))</f>
        <v/>
      </c>
      <c r="BX13" s="100" t="str">
        <f>IF(COUNTIFS('29'!$AG$25:$AG$30,$AK13,'29'!$AF$25:$AF$30,1)=0,"",SUMIFS('29'!$AC$25:$AC$30,'29'!$AG$25:$AG$30,$AK13,'29'!$AF$25:$AF$30,1)/COUNTIFS('29'!$AG$25:$AG$30,$AK13,'29'!$AF$25:$AF$30,1))</f>
        <v/>
      </c>
      <c r="BY13" s="100" t="str">
        <f>IF(COUNTIFS('30'!$AG$25:$AG$30,$AK13,'30'!$AF$25:$AF$30,1)=0,"",SUMIFS('30'!$AC$25:$AC$30,'30'!$AG$25:$AG$30,$AK13,'30'!$AF$25:$AF$30,1)/COUNTIFS('30'!$AG$25:$AG$30,$AK13,'30'!$AF$25:$AF$30,1))</f>
        <v/>
      </c>
      <c r="BZ13" s="100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3">
        <f>IF(LARGE($Y$5:$Y$17,9)=0,"",9)</f>
        <v>9</v>
      </c>
      <c r="B14" s="203" t="str">
        <f t="shared" si="7"/>
        <v>Studio Rent</v>
      </c>
      <c r="C14" s="203">
        <f t="shared" si="8"/>
        <v>5</v>
      </c>
      <c r="D14" s="204">
        <f t="shared" si="9"/>
        <v>0.02293577982</v>
      </c>
      <c r="E14" s="204">
        <f t="shared" si="10"/>
        <v>0.9816513761</v>
      </c>
      <c r="X14" s="100" t="s">
        <v>24</v>
      </c>
      <c r="Y14" s="100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100">
        <f t="shared" si="1"/>
        <v>9.00004</v>
      </c>
      <c r="AA14" s="100" t="s">
        <v>413</v>
      </c>
      <c r="AB14" s="100" t="s">
        <v>412</v>
      </c>
      <c r="AC14" s="100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0">
        <f t="shared" si="2"/>
        <v>0.00002</v>
      </c>
      <c r="AK14" s="100" t="s">
        <v>413</v>
      </c>
      <c r="AL14" s="100" t="s">
        <v>412</v>
      </c>
      <c r="AM14" s="100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0" t="str">
        <f t="shared" si="5"/>
        <v/>
      </c>
      <c r="AO14" s="100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0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0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0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0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0" t="str">
        <f>IF(COUNTIFS('1'!$AG$29:$AG$34,$AK14,'1'!$AF$29:$AF$34,1)=0,"",SUMIFS('1'!$AC$29:$AC$34,'1'!$AG$29:$AG$34,$AK14,'1'!$AF$29:$AF$34,1)/COUNTIFS('1'!$AG$29:$AG$34,$AK14,'1'!$AF$29:$AF$34,1))</f>
        <v/>
      </c>
      <c r="AW14" s="100" t="str">
        <f>IF(COUNTIFS('2'!$AG$27:$AG$32,$AK14,'2'!$AF$27:$AF$32,1)=0,"",SUMIFS('2'!$AC$27:$AC$32,'2'!$AG$27:$AG$32,$AK14,'2'!$AF$27:$AF$32,1)/COUNTIFS('2'!$AG$27:$AG$32,$AK14,'2'!$AF$27:$AF$32,1))</f>
        <v/>
      </c>
      <c r="AX14" s="100" t="str">
        <f>IF(COUNTIFS('3'!$AG$74:$AG$79,$AK14,'3'!$AF$74:$AF$79,1)=0,"",SUMIFS('3'!$AC$74:$AC$79,'3'!$AG$74:$AG$79,$AK14,'3'!$AF$74:$AF$79,1)/COUNTIFS('3'!$AG$74:$AG$79,$AK14,'3'!$AF$74:$AF$79,1))</f>
        <v/>
      </c>
      <c r="AY14" s="100" t="str">
        <f>IF(COUNTIFS('4'!$AG$86:$AG$91,$AK14,'4'!$AF$86:$AF$91,1)=0,"",SUMIFS('4'!$AC$86:$AC$91,'4'!$AG$86:$AG$91,$AK14,'4'!$AF$86:$AF$91,1)/COUNTIFS('4'!$AG$86:$AG$91,$AK14,'4'!$AF$86:$AF$91,1))</f>
        <v/>
      </c>
      <c r="AZ14" s="100" t="str">
        <f>IF(COUNTIFS('5'!$AG$27:$AG$32,$AK14,'5'!$AF$27:$AF$32,1)=0,"",SUMIFS('5'!$AC$27:$AC$32,'5'!$AG$27:$AG$32,$AK14,'5'!$AF$27:$AF$32,1)/COUNTIFS('5'!$AG$27:$AG$32,$AK14,'5'!$AF$27:$AF$32,1))</f>
        <v/>
      </c>
      <c r="BA14" s="100" t="str">
        <f>IF(COUNTIFS('6'!$AG$31:$AG$36,$AK14,'6'!$AF$31:$AF$36,1)=0,"",SUMIFS('6'!$AC$31:$AC$36,'6'!$AG$31:$AG$36,$AK14,'6'!$AF$31:$AF$36,1)/COUNTIFS('6'!$AG$31:$AG$36,$AK14,'6'!$AF$31:$AF$36,1))</f>
        <v/>
      </c>
      <c r="BB14" s="100" t="str">
        <f>IF(COUNTIFS('7'!$AG$30:$AG$35,$AK14,'7'!$AF$30:$AF$35,1)=0,"",SUMIFS('7'!$AC$30:$AC$35,'7'!$AG$30:$AG$35,$AK14,'7'!$AF$30:$AF$35,1)/COUNTIFS('7'!$AG$30:$AG$35,$AK14,'7'!$AF$30:$AF$35,1))</f>
        <v/>
      </c>
      <c r="BC14" s="100" t="str">
        <f>IF(COUNTIFS('8'!$AG$31:$AG$36,$AK14,'8'!$AF$31:$AF$36,1)=0,"",SUMIFS('8'!$AC$31:$AC$36,'8'!$AG$31:$AG$36,$AK14,'8'!$AF$31:$AF$36,1)/COUNTIFS('8'!$AG$31:$AG$36,$AK14,'8'!$AF$31:$AF$36,1))</f>
        <v/>
      </c>
      <c r="BD14" s="100" t="str">
        <f>IF(COUNTIFS('9'!$AG$33:$AG$38,$AK14,'9'!$AF$33:$AF$38,1)=0,"",SUMIFS('9'!$AC$33:$AC$38,'9'!$AG$33:$AG$38,$AK14,'9'!$AF$33:$AF$38,1)/COUNTIFS('9'!$AG$33:$AG$38,$AK14,'9'!$AF$33:$AF$38,1))</f>
        <v/>
      </c>
      <c r="BE14" s="100" t="str">
        <f>IF(COUNTIFS('10'!$AG$33:$AG$38,$AK14,'10'!$AF$33:$AF$38,1)=0,"",SUMIFS('10'!$AC$33:$AC$38,'10'!$AG$33:$AG$38,$AK14,'10'!$AF$33:$AF$38,1)/COUNTIFS('10'!$AG$33:$AG$38,$AK14,'10'!$AF$33:$AF$38,1))</f>
        <v/>
      </c>
      <c r="BF14" s="100" t="str">
        <f>IF(COUNTIFS('11'!$AG$29:$AG$34,$AK14,'11'!$AF$29:$AF$34,1)=0,"",SUMIFS('11'!$AC$29:$AC$34,'11'!$AG$29:$AG$34,$AK14,'11'!$AF$29:$AF$34,1)/COUNTIFS('11'!$AG$29:$AG$34,$AK14,'11'!$AF$29:$AF$34,1))</f>
        <v/>
      </c>
      <c r="BG14" s="100" t="str">
        <f>IF(COUNTIFS('12'!$AG$26:$AG$31,$AK14,'12'!$AF$26:$AF$31,1)=0,"",SUMIFS('12'!$AC$26:$AC$31,'12'!$AG$26:$AG$31,$AK14,'12'!$AF$26:$AF$31,1)/COUNTIFS('12'!$AG$26:$AG$31,$AK14,'12'!$AF$26:$AF$31,1))</f>
        <v/>
      </c>
      <c r="BH14" s="100" t="str">
        <f>IF(COUNTIFS('13'!$AG$25:$AG$30,$AK14,'13'!$AF$25:$AF$30,1)=0,"",SUMIFS('13'!$AC$25:$AC$30,'13'!$AG$25:$AG$30,$AK14,'13'!$AF$25:$AF$30,1)/COUNTIFS('13'!$AG$25:$AG$30,$AK14,'13'!$AF$25:$AF$30,1))</f>
        <v/>
      </c>
      <c r="BI14" s="100" t="str">
        <f>IF(COUNTIFS('14'!$AG$25:$AG$30,$AK14,'14'!$AF$25:$AF$30,1)=0,"",SUMIFS('14'!$AC$25:$AC$30,'14'!$AG$25:$AG$30,$AK14,'14'!$AF$25:$AF$30,1)/COUNTIFS('14'!$AG$25:$AG$30,$AK14,'14'!$AF$25:$AF$30,1))</f>
        <v/>
      </c>
      <c r="BJ14" s="100" t="str">
        <f>IF(COUNTIFS('15'!$AG$29:$AG$34,$AK14,'15'!$AF$29:$AF$34,1)=0,"",SUMIFS('15'!$AC$29:$AC$34,'15'!$AG$29:$AG$34,$AK14,'15'!$AF$29:$AF$34,1)/COUNTIFS('15'!$AG$29:$AG$34,$AK14,'15'!$AF$29:$AF$34,1))</f>
        <v/>
      </c>
      <c r="BK14" s="100" t="str">
        <f>IF(COUNTIFS('16'!$AG$28:$AG$33,$AK14,'16'!$AF$28:$AF$33,1)=0,"",SUMIFS('16'!$AC$28:$AC$33,'16'!$AG$28:$AG$33,$AK14,'16'!$AF$28:$AF$33,1)/COUNTIFS('16'!$AG$28:$AG$33,$AK14,'16'!$AF$28:$AF$33,1))</f>
        <v/>
      </c>
      <c r="BL14" s="100" t="str">
        <f>IF(COUNTIFS('17'!$AG$25:$AG$30,$AK14,'17'!$AF$25:$AF$30,1)=0,"",SUMIFS('17'!$AC$25:$AC$30,'17'!$AG$25:$AG$30,$AK14,'17'!$AF$25:$AF$30,1)/COUNTIFS('17'!$AG$25:$AG$30,$AK14,'17'!$AF$25:$AF$30,1))</f>
        <v/>
      </c>
      <c r="BM14" s="100" t="str">
        <f>IF(COUNTIFS('18'!$AG$25:$AG$30,$AK14,'18'!$AF$25:$AF$30,1)=0,"",SUMIFS('18'!$AC$25:$AC$30,'18'!$AG$25:$AG$30,$AK14,'18'!$AF$25:$AF$30,1)/COUNTIFS('18'!$AG$25:$AG$30,$AK14,'18'!$AF$25:$AF$30,1))</f>
        <v/>
      </c>
      <c r="BN14" s="100" t="str">
        <f>IF(COUNTIFS('19'!$AG$25:$AG$30,$AK14,'19'!$AF$25:$AF$30,1)=0,"",SUMIFS('19'!$AC$25:$AC$30,'19'!$AG$25:$AG$30,$AK14,'19'!$AF$25:$AF$30,1)/COUNTIFS('19'!$AG$25:$AG$30,$AK14,'19'!$AF$25:$AF$30,1))</f>
        <v/>
      </c>
      <c r="BO14" s="100" t="str">
        <f>IF(COUNTIFS('20'!$AG$25:$AG$30,$AK14,'20'!$AF$25:$AF$30,1)=0,"",SUMIFS('20'!$AC$25:$AC$30,'20'!$AG$25:$AG$30,$AK14,'20'!$AF$25:$AF$30,1)/COUNTIFS('20'!$AG$25:$AG$30,$AK14,'20'!$AF$25:$AF$30,1))</f>
        <v/>
      </c>
      <c r="BP14" s="100" t="str">
        <f>IF(COUNTIFS('21'!$AG$25:$AG$30,$AK14,'21'!$AF$25:$AF$30,1)=0,"",SUMIFS('21'!$AC$25:$AC$30,'21'!$AG$25:$AG$30,$AK14,'21'!$AF$25:$AF$30,1)/COUNTIFS('21'!$AG$25:$AG$30,$AK14,'21'!$AF$25:$AF$30,1))</f>
        <v/>
      </c>
      <c r="BQ14" s="100" t="str">
        <f>IF(COUNTIFS('22'!$AG$25:$AG$30,$AK14,'22'!$AF$25:$AF$30,1)=0,"",SUMIFS('22'!$AC$25:$AC$30,'22'!$AG$25:$AG$30,$AK14,'22'!$AF$25:$AF$30,1)/COUNTIFS('22'!$AG$25:$AG$30,$AK14,'22'!$AF$25:$AF$30,1))</f>
        <v/>
      </c>
      <c r="BR14" s="100" t="str">
        <f>IF(COUNTIFS('23'!$AG$25:$AG$30,$AK14,'23'!$AF$25:$AF$30,1)=0,"",SUMIFS('23'!$AC$25:$AC$30,'23'!$AG$25:$AG$30,$AK14,'23'!$AF$25:$AF$30,1)/COUNTIFS('23'!$AG$25:$AG$30,$AK14,'23'!$AF$25:$AF$30,1))</f>
        <v/>
      </c>
      <c r="BS14" s="100" t="str">
        <f>IF(COUNTIFS('24'!$AG$25:$AG$30,$AK14,'24'!$AF$25:$AF$30,1)=0,"",SUMIFS('24'!$AC$25:$AC$30,'24'!$AG$25:$AG$30,$AK14,'24'!$AF$25:$AF$30,1)/COUNTIFS('24'!$AG$25:$AG$30,$AK14,'24'!$AF$25:$AF$30,1))</f>
        <v/>
      </c>
      <c r="BT14" s="100" t="str">
        <f>IF(COUNTIFS('25'!$AG$25:$AG$30,$AK14,'25'!$AF$25:$AF$30,1)=0,"",SUMIFS('25'!$AC$25:$AC$30,'25'!$AG$25:$AG$30,$AK14,'25'!$AF$25:$AF$30,1)/COUNTIFS('25'!$AG$25:$AG$30,$AK14,'25'!$AF$25:$AF$30,1))</f>
        <v/>
      </c>
      <c r="BU14" s="100" t="str">
        <f>IF(COUNTIFS('26'!$AG$25:$AG$30,$AK14,'26'!$AF$25:$AF$30,1)=0,"",SUMIFS('26'!$AC$25:$AC$30,'26'!$AG$25:$AG$30,$AK14,'26'!$AF$25:$AF$30,1)/COUNTIFS('26'!$AG$25:$AG$30,$AK14,'26'!$AF$25:$AF$30,1))</f>
        <v/>
      </c>
      <c r="BV14" s="100" t="str">
        <f>IF(COUNTIFS('27'!$AG$25:$AG$30,$AK14,'27'!$AF$25:$AF$30,1)=0,"",SUMIFS('27'!$AC$25:$AC$30,'27'!$AG$25:$AG$30,$AK14,'27'!$AF$25:$AF$30,1)/COUNTIFS('27'!$AG$25:$AG$30,$AK14,'27'!$AF$25:$AF$30,1))</f>
        <v/>
      </c>
      <c r="BW14" s="100" t="str">
        <f>IF(COUNTIFS('28'!$AG$25:$AG$30,$AK14,'28'!$AF$25:$AF$30,1)=0,"",SUMIFS('28'!$AC$25:$AC$30,'28'!$AG$25:$AG$30,$AK14,'28'!$AF$25:$AF$30,1)/COUNTIFS('28'!$AG$25:$AG$30,$AK14,'28'!$AF$25:$AF$30,1))</f>
        <v/>
      </c>
      <c r="BX14" s="100" t="str">
        <f>IF(COUNTIFS('29'!$AG$25:$AG$30,$AK14,'29'!$AF$25:$AF$30,1)=0,"",SUMIFS('29'!$AC$25:$AC$30,'29'!$AG$25:$AG$30,$AK14,'29'!$AF$25:$AF$30,1)/COUNTIFS('29'!$AG$25:$AG$30,$AK14,'29'!$AF$25:$AF$30,1))</f>
        <v/>
      </c>
      <c r="BY14" s="100" t="str">
        <f>IF(COUNTIFS('30'!$AG$25:$AG$30,$AK14,'30'!$AF$25:$AF$30,1)=0,"",SUMIFS('30'!$AC$25:$AC$30,'30'!$AG$25:$AG$30,$AK14,'30'!$AF$25:$AF$30,1)/COUNTIFS('30'!$AG$25:$AG$30,$AK14,'30'!$AF$25:$AF$30,1))</f>
        <v/>
      </c>
      <c r="BZ14" s="100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3">
        <f>IF(LARGE($Y$5:$Y$17,10)=0,"",10)</f>
        <v>10</v>
      </c>
      <c r="B15" s="203" t="str">
        <f t="shared" si="7"/>
        <v>Couple C</v>
      </c>
      <c r="C15" s="203">
        <f t="shared" si="8"/>
        <v>2</v>
      </c>
      <c r="D15" s="204">
        <f t="shared" si="9"/>
        <v>0.009174311927</v>
      </c>
      <c r="E15" s="204">
        <f t="shared" si="10"/>
        <v>0.9908256881</v>
      </c>
      <c r="X15" s="100" t="s">
        <v>72</v>
      </c>
      <c r="Y15" s="100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5</v>
      </c>
      <c r="Z15" s="100">
        <f t="shared" si="1"/>
        <v>5.00003</v>
      </c>
      <c r="AA15" s="100" t="s">
        <v>65</v>
      </c>
      <c r="AB15" s="100" t="s">
        <v>412</v>
      </c>
      <c r="AC15" s="100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15</v>
      </c>
      <c r="AD15" s="100">
        <f t="shared" si="2"/>
        <v>15.00001</v>
      </c>
      <c r="AK15" s="100" t="s">
        <v>65</v>
      </c>
      <c r="AL15" s="100" t="s">
        <v>412</v>
      </c>
      <c r="AM15" s="100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14</v>
      </c>
      <c r="AN15" s="100">
        <f t="shared" si="5"/>
        <v>100</v>
      </c>
      <c r="AO15" s="100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0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0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0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0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0" t="str">
        <f>IF(COUNTIFS('1'!$AG$29:$AG$34,$AK15,'1'!$AF$29:$AF$34,1)=0,"",SUMIFS('1'!$AC$29:$AC$34,'1'!$AG$29:$AG$34,$AK15,'1'!$AF$29:$AF$34,1)/COUNTIFS('1'!$AG$29:$AG$34,$AK15,'1'!$AF$29:$AF$34,1))</f>
        <v/>
      </c>
      <c r="AW15" s="100">
        <f>IF(COUNTIFS('2'!$AG$27:$AG$32,$AK15,'2'!$AF$27:$AF$32,1)=0,"",SUMIFS('2'!$AC$27:$AC$32,'2'!$AG$27:$AG$32,$AK15,'2'!$AF$27:$AF$32,1)/COUNTIFS('2'!$AG$27:$AG$32,$AK15,'2'!$AF$27:$AF$32,1))</f>
        <v>100</v>
      </c>
      <c r="AX15" s="100">
        <f>IF(COUNTIFS('3'!$AG$74:$AG$79,$AK15,'3'!$AF$74:$AF$79,1)=0,"",SUMIFS('3'!$AC$74:$AC$79,'3'!$AG$74:$AG$79,$AK15,'3'!$AF$74:$AF$79,1)/COUNTIFS('3'!$AG$74:$AG$79,$AK15,'3'!$AF$74:$AF$79,1))</f>
        <v>100</v>
      </c>
      <c r="AY15" s="100">
        <f>IF(COUNTIFS('4'!$AG$86:$AG$91,$AK15,'4'!$AF$86:$AF$91,1)=0,"",SUMIFS('4'!$AC$86:$AC$91,'4'!$AG$86:$AG$91,$AK15,'4'!$AF$86:$AF$91,1)/COUNTIFS('4'!$AG$86:$AG$91,$AK15,'4'!$AF$86:$AF$91,1))</f>
        <v>100</v>
      </c>
      <c r="AZ15" s="100">
        <f>IF(COUNTIFS('5'!$AG$27:$AG$32,$AK15,'5'!$AF$27:$AF$32,1)=0,"",SUMIFS('5'!$AC$27:$AC$32,'5'!$AG$27:$AG$32,$AK15,'5'!$AF$27:$AF$32,1)/COUNTIFS('5'!$AG$27:$AG$32,$AK15,'5'!$AF$27:$AF$32,1))</f>
        <v>100</v>
      </c>
      <c r="BA15" s="100">
        <f>IF(COUNTIFS('6'!$AG$31:$AG$36,$AK15,'6'!$AF$31:$AF$36,1)=0,"",SUMIFS('6'!$AC$31:$AC$36,'6'!$AG$31:$AG$36,$AK15,'6'!$AF$31:$AF$36,1)/COUNTIFS('6'!$AG$31:$AG$36,$AK15,'6'!$AF$31:$AF$36,1))</f>
        <v>100</v>
      </c>
      <c r="BB15" s="100">
        <f>IF(COUNTIFS('7'!$AG$30:$AG$35,$AK15,'7'!$AF$30:$AF$35,1)=0,"",SUMIFS('7'!$AC$30:$AC$35,'7'!$AG$30:$AG$35,$AK15,'7'!$AF$30:$AF$35,1)/COUNTIFS('7'!$AG$30:$AG$35,$AK15,'7'!$AF$30:$AF$35,1))</f>
        <v>100</v>
      </c>
      <c r="BC15" s="100">
        <f>IF(COUNTIFS('8'!$AG$31:$AG$36,$AK15,'8'!$AF$31:$AF$36,1)=0,"",SUMIFS('8'!$AC$31:$AC$36,'8'!$AG$31:$AG$36,$AK15,'8'!$AF$31:$AF$36,1)/COUNTIFS('8'!$AG$31:$AG$36,$AK15,'8'!$AF$31:$AF$36,1))</f>
        <v>100</v>
      </c>
      <c r="BD15" s="100" t="str">
        <f>IF(COUNTIFS('9'!$AG$33:$AG$38,$AK15,'9'!$AF$33:$AF$38,1)=0,"",SUMIFS('9'!$AC$33:$AC$38,'9'!$AG$33:$AG$38,$AK15,'9'!$AF$33:$AF$38,1)/COUNTIFS('9'!$AG$33:$AG$38,$AK15,'9'!$AF$33:$AF$38,1))</f>
        <v/>
      </c>
      <c r="BE15" s="100">
        <f>IF(COUNTIFS('10'!$AG$33:$AG$38,$AK15,'10'!$AF$33:$AF$38,1)=0,"",SUMIFS('10'!$AC$33:$AC$38,'10'!$AG$33:$AG$38,$AK15,'10'!$AF$33:$AF$38,1)/COUNTIFS('10'!$AG$33:$AG$38,$AK15,'10'!$AF$33:$AF$38,1))</f>
        <v>100</v>
      </c>
      <c r="BF15" s="100">
        <f>IF(COUNTIFS('11'!$AG$29:$AG$34,$AK15,'11'!$AF$29:$AF$34,1)=0,"",SUMIFS('11'!$AC$29:$AC$34,'11'!$AG$29:$AG$34,$AK15,'11'!$AF$29:$AF$34,1)/COUNTIFS('11'!$AG$29:$AG$34,$AK15,'11'!$AF$29:$AF$34,1))</f>
        <v>100</v>
      </c>
      <c r="BG15" s="100">
        <f>IF(COUNTIFS('12'!$AG$26:$AG$31,$AK15,'12'!$AF$26:$AF$31,1)=0,"",SUMIFS('12'!$AC$26:$AC$31,'12'!$AG$26:$AG$31,$AK15,'12'!$AF$26:$AF$31,1)/COUNTIFS('12'!$AG$26:$AG$31,$AK15,'12'!$AF$26:$AF$31,1))</f>
        <v>100</v>
      </c>
      <c r="BH15" s="100">
        <f>IF(COUNTIFS('13'!$AG$25:$AG$30,$AK15,'13'!$AF$25:$AF$30,1)=0,"",SUMIFS('13'!$AC$25:$AC$30,'13'!$AG$25:$AG$30,$AK15,'13'!$AF$25:$AF$30,1)/COUNTIFS('13'!$AG$25:$AG$30,$AK15,'13'!$AF$25:$AF$30,1))</f>
        <v>100</v>
      </c>
      <c r="BI15" s="100" t="str">
        <f>IF(COUNTIFS('14'!$AG$25:$AG$30,$AK15,'14'!$AF$25:$AF$30,1)=0,"",SUMIFS('14'!$AC$25:$AC$30,'14'!$AG$25:$AG$30,$AK15,'14'!$AF$25:$AF$30,1)/COUNTIFS('14'!$AG$25:$AG$30,$AK15,'14'!$AF$25:$AF$30,1))</f>
        <v/>
      </c>
      <c r="BJ15" s="100">
        <f>IF(COUNTIFS('15'!$AG$29:$AG$34,$AK15,'15'!$AF$29:$AF$34,1)=0,"",SUMIFS('15'!$AC$29:$AC$34,'15'!$AG$29:$AG$34,$AK15,'15'!$AF$29:$AF$34,1)/COUNTIFS('15'!$AG$29:$AG$34,$AK15,'15'!$AF$29:$AF$34,1))</f>
        <v>100</v>
      </c>
      <c r="BK15" s="100" t="str">
        <f>IF(COUNTIFS('16'!$AG$28:$AG$33,$AK15,'16'!$AF$28:$AF$33,1)=0,"",SUMIFS('16'!$AC$28:$AC$33,'16'!$AG$28:$AG$33,$AK15,'16'!$AF$28:$AF$33,1)/COUNTIFS('16'!$AG$28:$AG$33,$AK15,'16'!$AF$28:$AF$33,1))</f>
        <v/>
      </c>
      <c r="BL15" s="100" t="str">
        <f>IF(COUNTIFS('17'!$AG$25:$AG$30,$AK15,'17'!$AF$25:$AF$30,1)=0,"",SUMIFS('17'!$AC$25:$AC$30,'17'!$AG$25:$AG$30,$AK15,'17'!$AF$25:$AF$30,1)/COUNTIFS('17'!$AG$25:$AG$30,$AK15,'17'!$AF$25:$AF$30,1))</f>
        <v/>
      </c>
      <c r="BM15" s="100" t="str">
        <f>IF(COUNTIFS('18'!$AG$25:$AG$30,$AK15,'18'!$AF$25:$AF$30,1)=0,"",SUMIFS('18'!$AC$25:$AC$30,'18'!$AG$25:$AG$30,$AK15,'18'!$AF$25:$AF$30,1)/COUNTIFS('18'!$AG$25:$AG$30,$AK15,'18'!$AF$25:$AF$30,1))</f>
        <v/>
      </c>
      <c r="BN15" s="100" t="str">
        <f>IF(COUNTIFS('19'!$AG$25:$AG$30,$AK15,'19'!$AF$25:$AF$30,1)=0,"",SUMIFS('19'!$AC$25:$AC$30,'19'!$AG$25:$AG$30,$AK15,'19'!$AF$25:$AF$30,1)/COUNTIFS('19'!$AG$25:$AG$30,$AK15,'19'!$AF$25:$AF$30,1))</f>
        <v/>
      </c>
      <c r="BO15" s="100" t="str">
        <f>IF(COUNTIFS('20'!$AG$25:$AG$30,$AK15,'20'!$AF$25:$AF$30,1)=0,"",SUMIFS('20'!$AC$25:$AC$30,'20'!$AG$25:$AG$30,$AK15,'20'!$AF$25:$AF$30,1)/COUNTIFS('20'!$AG$25:$AG$30,$AK15,'20'!$AF$25:$AF$30,1))</f>
        <v/>
      </c>
      <c r="BP15" s="100" t="str">
        <f>IF(COUNTIFS('21'!$AG$25:$AG$30,$AK15,'21'!$AF$25:$AF$30,1)=0,"",SUMIFS('21'!$AC$25:$AC$30,'21'!$AG$25:$AG$30,$AK15,'21'!$AF$25:$AF$30,1)/COUNTIFS('21'!$AG$25:$AG$30,$AK15,'21'!$AF$25:$AF$30,1))</f>
        <v/>
      </c>
      <c r="BQ15" s="100" t="str">
        <f>IF(COUNTIFS('22'!$AG$25:$AG$30,$AK15,'22'!$AF$25:$AF$30,1)=0,"",SUMIFS('22'!$AC$25:$AC$30,'22'!$AG$25:$AG$30,$AK15,'22'!$AF$25:$AF$30,1)/COUNTIFS('22'!$AG$25:$AG$30,$AK15,'22'!$AF$25:$AF$30,1))</f>
        <v/>
      </c>
      <c r="BR15" s="100" t="str">
        <f>IF(COUNTIFS('23'!$AG$25:$AG$30,$AK15,'23'!$AF$25:$AF$30,1)=0,"",SUMIFS('23'!$AC$25:$AC$30,'23'!$AG$25:$AG$30,$AK15,'23'!$AF$25:$AF$30,1)/COUNTIFS('23'!$AG$25:$AG$30,$AK15,'23'!$AF$25:$AF$30,1))</f>
        <v/>
      </c>
      <c r="BS15" s="100" t="str">
        <f>IF(COUNTIFS('24'!$AG$25:$AG$30,$AK15,'24'!$AF$25:$AF$30,1)=0,"",SUMIFS('24'!$AC$25:$AC$30,'24'!$AG$25:$AG$30,$AK15,'24'!$AF$25:$AF$30,1)/COUNTIFS('24'!$AG$25:$AG$30,$AK15,'24'!$AF$25:$AF$30,1))</f>
        <v/>
      </c>
      <c r="BT15" s="100" t="str">
        <f>IF(COUNTIFS('25'!$AG$25:$AG$30,$AK15,'25'!$AF$25:$AF$30,1)=0,"",SUMIFS('25'!$AC$25:$AC$30,'25'!$AG$25:$AG$30,$AK15,'25'!$AF$25:$AF$30,1)/COUNTIFS('25'!$AG$25:$AG$30,$AK15,'25'!$AF$25:$AF$30,1))</f>
        <v/>
      </c>
      <c r="BU15" s="100" t="str">
        <f>IF(COUNTIFS('26'!$AG$25:$AG$30,$AK15,'26'!$AF$25:$AF$30,1)=0,"",SUMIFS('26'!$AC$25:$AC$30,'26'!$AG$25:$AG$30,$AK15,'26'!$AF$25:$AF$30,1)/COUNTIFS('26'!$AG$25:$AG$30,$AK15,'26'!$AF$25:$AF$30,1))</f>
        <v/>
      </c>
      <c r="BV15" s="100" t="str">
        <f>IF(COUNTIFS('27'!$AG$25:$AG$30,$AK15,'27'!$AF$25:$AF$30,1)=0,"",SUMIFS('27'!$AC$25:$AC$30,'27'!$AG$25:$AG$30,$AK15,'27'!$AF$25:$AF$30,1)/COUNTIFS('27'!$AG$25:$AG$30,$AK15,'27'!$AF$25:$AF$30,1))</f>
        <v/>
      </c>
      <c r="BW15" s="100" t="str">
        <f>IF(COUNTIFS('28'!$AG$25:$AG$30,$AK15,'28'!$AF$25:$AF$30,1)=0,"",SUMIFS('28'!$AC$25:$AC$30,'28'!$AG$25:$AG$30,$AK15,'28'!$AF$25:$AF$30,1)/COUNTIFS('28'!$AG$25:$AG$30,$AK15,'28'!$AF$25:$AF$30,1))</f>
        <v/>
      </c>
      <c r="BX15" s="100" t="str">
        <f>IF(COUNTIFS('29'!$AG$25:$AG$30,$AK15,'29'!$AF$25:$AF$30,1)=0,"",SUMIFS('29'!$AC$25:$AC$30,'29'!$AG$25:$AG$30,$AK15,'29'!$AF$25:$AF$30,1)/COUNTIFS('29'!$AG$25:$AG$30,$AK15,'29'!$AF$25:$AF$30,1))</f>
        <v/>
      </c>
      <c r="BY15" s="100" t="str">
        <f>IF(COUNTIFS('30'!$AG$25:$AG$30,$AK15,'30'!$AF$25:$AF$30,1)=0,"",SUMIFS('30'!$AC$25:$AC$30,'30'!$AG$25:$AG$30,$AK15,'30'!$AF$25:$AF$30,1)/COUNTIFS('30'!$AG$25:$AG$30,$AK15,'30'!$AF$25:$AF$30,1))</f>
        <v/>
      </c>
      <c r="BZ15" s="100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3">
        <f>IF(LARGE($Y$5:$Y$17,11)=0,"",11)</f>
        <v>11</v>
      </c>
      <c r="B16" s="203" t="str">
        <f t="shared" si="7"/>
        <v>Family B</v>
      </c>
      <c r="C16" s="203">
        <f t="shared" si="8"/>
        <v>1</v>
      </c>
      <c r="D16" s="204">
        <f t="shared" si="9"/>
        <v>0.004587155963</v>
      </c>
      <c r="E16" s="204">
        <f t="shared" si="10"/>
        <v>0.995412844</v>
      </c>
      <c r="X16" s="100" t="s">
        <v>416</v>
      </c>
      <c r="Y16" s="100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0">
        <f t="shared" si="1"/>
        <v>0.00002</v>
      </c>
    </row>
    <row r="17">
      <c r="A17" s="203">
        <f>IF(LARGE($Y$5:$Y$17,12)=0,"",12)</f>
        <v>12</v>
      </c>
      <c r="B17" s="203" t="str">
        <f t="shared" si="7"/>
        <v>Photo Fox</v>
      </c>
      <c r="C17" s="203">
        <f t="shared" si="8"/>
        <v>1</v>
      </c>
      <c r="D17" s="204">
        <f t="shared" si="9"/>
        <v>0.004587155963</v>
      </c>
      <c r="E17" s="204">
        <f t="shared" si="10"/>
        <v>1</v>
      </c>
      <c r="X17" s="100" t="s">
        <v>67</v>
      </c>
      <c r="Y17" s="100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0">
        <f t="shared" si="1"/>
        <v>1.00001</v>
      </c>
    </row>
    <row r="18">
      <c r="A18" s="203" t="str">
        <f>IF(LARGE($Y$5:$Y$17,13)=0,"",13)</f>
        <v/>
      </c>
      <c r="B18" s="203" t="str">
        <f t="shared" si="7"/>
        <v/>
      </c>
      <c r="C18" s="203" t="str">
        <f t="shared" si="8"/>
        <v/>
      </c>
      <c r="D18" s="204" t="str">
        <f t="shared" si="9"/>
        <v/>
      </c>
      <c r="E18" s="204" t="str">
        <f t="shared" si="10"/>
        <v/>
      </c>
      <c r="AV18" s="100">
        <f t="shared" ref="AV18:BZ18" si="11">IF(COUNT(AV5:AV15)=0,"",AVERAGE(AV5:AV15))</f>
        <v>88</v>
      </c>
      <c r="AW18" s="100">
        <f t="shared" si="11"/>
        <v>100</v>
      </c>
      <c r="AX18" s="100">
        <f t="shared" si="11"/>
        <v>100</v>
      </c>
      <c r="AY18" s="100">
        <f t="shared" si="11"/>
        <v>100</v>
      </c>
      <c r="AZ18" s="100">
        <f t="shared" si="11"/>
        <v>100</v>
      </c>
      <c r="BA18" s="100">
        <f t="shared" si="11"/>
        <v>95.75</v>
      </c>
      <c r="BB18" s="100">
        <f t="shared" si="11"/>
        <v>100</v>
      </c>
      <c r="BC18" s="100">
        <f t="shared" si="11"/>
        <v>97.33333333</v>
      </c>
      <c r="BD18" s="100">
        <f t="shared" si="11"/>
        <v>96</v>
      </c>
      <c r="BE18" s="100">
        <f t="shared" si="11"/>
        <v>100</v>
      </c>
      <c r="BF18" s="100">
        <f t="shared" si="11"/>
        <v>100</v>
      </c>
      <c r="BG18" s="100">
        <f t="shared" si="11"/>
        <v>100</v>
      </c>
      <c r="BH18" s="100">
        <f t="shared" si="11"/>
        <v>100</v>
      </c>
      <c r="BI18" s="100" t="str">
        <f t="shared" si="11"/>
        <v/>
      </c>
      <c r="BJ18" s="100">
        <f t="shared" si="11"/>
        <v>100</v>
      </c>
      <c r="BK18" s="100">
        <f t="shared" si="11"/>
        <v>100</v>
      </c>
      <c r="BL18" s="100" t="str">
        <f t="shared" si="11"/>
        <v/>
      </c>
      <c r="BM18" s="100" t="str">
        <f t="shared" si="11"/>
        <v/>
      </c>
      <c r="BN18" s="100" t="str">
        <f t="shared" si="11"/>
        <v/>
      </c>
      <c r="BO18" s="100" t="str">
        <f t="shared" si="11"/>
        <v/>
      </c>
      <c r="BP18" s="100" t="str">
        <f t="shared" si="11"/>
        <v/>
      </c>
      <c r="BQ18" s="100" t="str">
        <f t="shared" si="11"/>
        <v/>
      </c>
      <c r="BR18" s="100" t="str">
        <f t="shared" si="11"/>
        <v/>
      </c>
      <c r="BS18" s="100" t="str">
        <f t="shared" si="11"/>
        <v/>
      </c>
      <c r="BT18" s="100" t="str">
        <f t="shared" si="11"/>
        <v/>
      </c>
      <c r="BU18" s="100" t="str">
        <f t="shared" si="11"/>
        <v/>
      </c>
      <c r="BV18" s="100" t="str">
        <f t="shared" si="11"/>
        <v/>
      </c>
      <c r="BW18" s="100" t="str">
        <f t="shared" si="11"/>
        <v/>
      </c>
      <c r="BX18" s="100" t="str">
        <f t="shared" si="11"/>
        <v/>
      </c>
      <c r="BY18" s="100" t="str">
        <f t="shared" si="11"/>
        <v/>
      </c>
      <c r="BZ18" s="100" t="str">
        <f t="shared" si="11"/>
        <v/>
      </c>
    </row>
    <row r="19">
      <c r="A19" s="203" t="s">
        <v>417</v>
      </c>
      <c r="C19" s="203">
        <f>SUM(C6:C18)</f>
        <v>218</v>
      </c>
      <c r="D19" s="204"/>
      <c r="E19" s="204">
        <f>SUM(D6:D18)</f>
        <v>1</v>
      </c>
    </row>
    <row r="21" ht="15.75" customHeight="1"/>
    <row r="22" ht="15.75" customHeight="1"/>
    <row r="23" ht="15.75" customHeight="1">
      <c r="A23" s="199" t="s">
        <v>418</v>
      </c>
      <c r="F23" s="199" t="s">
        <v>419</v>
      </c>
    </row>
    <row r="24" ht="15.75" customHeight="1">
      <c r="A24" s="201" t="s">
        <v>2</v>
      </c>
      <c r="B24" s="201" t="s">
        <v>420</v>
      </c>
      <c r="C24" s="201" t="s">
        <v>421</v>
      </c>
      <c r="D24" s="201" t="s">
        <v>422</v>
      </c>
      <c r="F24" s="201" t="s">
        <v>397</v>
      </c>
      <c r="G24" s="201" t="s">
        <v>8</v>
      </c>
      <c r="H24" s="201" t="s">
        <v>423</v>
      </c>
      <c r="I24" s="201" t="s">
        <v>424</v>
      </c>
    </row>
    <row r="25" ht="15.75" customHeight="1">
      <c r="A25" s="203" t="str">
        <f t="array" ref="A25">IF(LARGE($AC$5:$AC$15,1)=0,"",INDEX($AA$5:$AA$15,MATCH(LARGE($AD$5:$AD$15,1),$AD$5:$AD$15,0)))</f>
        <v>ADIF</v>
      </c>
      <c r="B25" s="203" t="str">
        <f t="shared" ref="B25:B35" si="12">IF(A25="","",INDEX($AB$5:$AB$15,MATCH(A25,$AA$5:$AA$15,0)))</f>
        <v>Fotografer</v>
      </c>
      <c r="C25" s="203">
        <f t="shared" ref="C25:C35" si="13">IF(A25="","",INDEX($AC$5:$AC$15,MATCH(A25,$AA$5:$AA$15,0)))</f>
        <v>17</v>
      </c>
      <c r="D25" s="204">
        <f t="shared" ref="D25:D35" si="14">IF(A25="","",IFERROR(C25/SUM($C$25:$C$35),0))</f>
        <v>0.265625</v>
      </c>
      <c r="F25" s="203">
        <f>IF(LARGE($AF$5:$AF$9,1)=0,"",1)</f>
        <v>1</v>
      </c>
      <c r="G25" s="203" t="str">
        <f t="shared" ref="G25:G29" si="15">IF(F25="","",INDEX($AE$5:$AE$9,MATCH(LARGE($AG$5:$AG$9,F25),$AG$5:$AG$9,0)))</f>
        <v>AMEL</v>
      </c>
      <c r="H25" s="203">
        <f t="shared" ref="H25:H29" si="16">IF(G25="","",INDEX($AF$5:$AF$9,MATCH(G25,$AE$5:$AE$9,0)))</f>
        <v>128</v>
      </c>
      <c r="I25" s="204">
        <f t="shared" ref="I25:I29" si="17">IF(H25="","",IFERROR(H25/SUM($H$25:$H$29),0))</f>
        <v>0.5333333333</v>
      </c>
    </row>
    <row r="26" ht="15.75" customHeight="1">
      <c r="A26" s="203" t="str">
        <f t="array" ref="A26">IF(LARGE($AC$5:$AC$15,2)=0,"",INDEX($AA$5:$AA$15,MATCH(LARGE($AD$5:$AD$15,2),$AD$5:$AD$15,0)))</f>
        <v>INDAH</v>
      </c>
      <c r="B26" s="203" t="str">
        <f t="shared" si="12"/>
        <v>Admin/CS</v>
      </c>
      <c r="C26" s="203">
        <f t="shared" si="13"/>
        <v>16</v>
      </c>
      <c r="D26" s="204">
        <f t="shared" si="14"/>
        <v>0.25</v>
      </c>
      <c r="F26" s="203">
        <f>IF(LARGE($AF$5:$AF$9,2)=0,"",2)</f>
        <v>2</v>
      </c>
      <c r="G26" s="203" t="str">
        <f t="shared" si="15"/>
        <v>INDAH</v>
      </c>
      <c r="H26" s="203">
        <f t="shared" si="16"/>
        <v>112</v>
      </c>
      <c r="I26" s="204">
        <f t="shared" si="17"/>
        <v>0.4666666667</v>
      </c>
    </row>
    <row r="27" ht="15.75" customHeight="1">
      <c r="A27" s="203" t="str">
        <f t="array" ref="A27">IF(LARGE($AC$5:$AC$15,3)=0,"",INDEX($AA$5:$AA$15,MATCH(LARGE($AD$5:$AD$15,3),$AD$5:$AD$15,0)))</f>
        <v>AMEL</v>
      </c>
      <c r="B27" s="203" t="str">
        <f t="shared" si="12"/>
        <v>Admin/CS</v>
      </c>
      <c r="C27" s="203">
        <f t="shared" si="13"/>
        <v>16</v>
      </c>
      <c r="D27" s="204">
        <f t="shared" si="14"/>
        <v>0.25</v>
      </c>
      <c r="F27" s="203" t="str">
        <f>IF(LARGE($AF$5:$AF$9,3)=0,"",3)</f>
        <v/>
      </c>
      <c r="G27" s="203" t="str">
        <f t="shared" si="15"/>
        <v/>
      </c>
      <c r="H27" s="203" t="str">
        <f t="shared" si="16"/>
        <v/>
      </c>
      <c r="I27" s="204" t="str">
        <f t="shared" si="17"/>
        <v/>
      </c>
    </row>
    <row r="28" ht="15.75" customHeight="1">
      <c r="A28" s="203" t="str">
        <f t="array" ref="A28">IF(LARGE($AC$5:$AC$15,4)=0,"",INDEX($AA$5:$AA$15,MATCH(LARGE($AD$5:$AD$15,4),$AD$5:$AD$15,0)))</f>
        <v>SAKA</v>
      </c>
      <c r="B28" s="203" t="str">
        <f t="shared" si="12"/>
        <v>Fotografer</v>
      </c>
      <c r="C28" s="203">
        <f t="shared" si="13"/>
        <v>15</v>
      </c>
      <c r="D28" s="204">
        <f t="shared" si="14"/>
        <v>0.234375</v>
      </c>
      <c r="F28" s="203" t="str">
        <f>IF(LARGE($AF$5:$AF$9,4)=0,"",4)</f>
        <v/>
      </c>
      <c r="G28" s="203" t="str">
        <f t="shared" si="15"/>
        <v/>
      </c>
      <c r="H28" s="203" t="str">
        <f t="shared" si="16"/>
        <v/>
      </c>
      <c r="I28" s="204" t="str">
        <f t="shared" si="17"/>
        <v/>
      </c>
    </row>
    <row r="29" ht="15.75" customHeight="1">
      <c r="A29" s="203" t="str">
        <f t="array" ref="A29">IF(LARGE($AC$5:$AC$15,5)=0,"",INDEX($AA$5:$AA$15,MATCH(LARGE($AD$5:$AD$15,5),$AD$5:$AD$15,0)))</f>
        <v/>
      </c>
      <c r="B29" s="203" t="str">
        <f t="shared" si="12"/>
        <v/>
      </c>
      <c r="C29" s="203" t="str">
        <f t="shared" si="13"/>
        <v/>
      </c>
      <c r="D29" s="204" t="str">
        <f t="shared" si="14"/>
        <v/>
      </c>
      <c r="F29" s="203" t="str">
        <f>IF(LARGE($AF$5:$AF$9,5)=0,"",5)</f>
        <v/>
      </c>
      <c r="G29" s="203" t="str">
        <f t="shared" si="15"/>
        <v/>
      </c>
      <c r="H29" s="203" t="str">
        <f t="shared" si="16"/>
        <v/>
      </c>
      <c r="I29" s="204" t="str">
        <f t="shared" si="17"/>
        <v/>
      </c>
    </row>
    <row r="30" ht="15.75" customHeight="1">
      <c r="A30" s="203" t="str">
        <f t="array" ref="A30">IF(LARGE($AC$5:$AC$15,6)=0,"",INDEX($AA$5:$AA$15,MATCH(LARGE($AD$5:$AD$15,6),$AD$5:$AD$15,0)))</f>
        <v/>
      </c>
      <c r="B30" s="203" t="str">
        <f t="shared" si="12"/>
        <v/>
      </c>
      <c r="C30" s="203" t="str">
        <f t="shared" si="13"/>
        <v/>
      </c>
      <c r="D30" s="204" t="str">
        <f t="shared" si="14"/>
        <v/>
      </c>
    </row>
    <row r="31" ht="15.75" customHeight="1">
      <c r="A31" s="203" t="str">
        <f t="array" ref="A31">IF(LARGE($AC$5:$AC$15,7)=0,"",INDEX($AA$5:$AA$15,MATCH(LARGE($AD$5:$AD$15,7),$AD$5:$AD$15,0)))</f>
        <v/>
      </c>
      <c r="B31" s="203" t="str">
        <f t="shared" si="12"/>
        <v/>
      </c>
      <c r="C31" s="203" t="str">
        <f t="shared" si="13"/>
        <v/>
      </c>
      <c r="D31" s="204" t="str">
        <f t="shared" si="14"/>
        <v/>
      </c>
      <c r="F31" s="199" t="s">
        <v>425</v>
      </c>
    </row>
    <row r="32" ht="15.75" customHeight="1">
      <c r="A32" s="203" t="str">
        <f t="array" ref="A32">IF(LARGE($AC$5:$AC$15,8)=0,"",INDEX($AA$5:$AA$15,MATCH(LARGE($AD$5:$AD$15,8),$AD$5:$AD$15,0)))</f>
        <v/>
      </c>
      <c r="B32" s="203" t="str">
        <f t="shared" si="12"/>
        <v/>
      </c>
      <c r="C32" s="203" t="str">
        <f t="shared" si="13"/>
        <v/>
      </c>
      <c r="D32" s="204" t="str">
        <f t="shared" si="14"/>
        <v/>
      </c>
      <c r="F32" s="201" t="s">
        <v>397</v>
      </c>
      <c r="G32" s="201" t="s">
        <v>412</v>
      </c>
      <c r="H32" s="201" t="s">
        <v>423</v>
      </c>
      <c r="I32" s="201" t="s">
        <v>424</v>
      </c>
    </row>
    <row r="33" ht="15.75" customHeight="1">
      <c r="A33" s="203" t="str">
        <f t="array" ref="A33">IF(LARGE($AC$5:$AC$15,9)=0,"",INDEX($AA$5:$AA$15,MATCH(LARGE($AD$5:$AD$15,9),$AD$5:$AD$15,0)))</f>
        <v/>
      </c>
      <c r="B33" s="203" t="str">
        <f t="shared" si="12"/>
        <v/>
      </c>
      <c r="C33" s="203" t="str">
        <f t="shared" si="13"/>
        <v/>
      </c>
      <c r="D33" s="204" t="str">
        <f t="shared" si="14"/>
        <v/>
      </c>
      <c r="F33" s="203">
        <f>IF(LARGE($AI$5:$AI$10,1)=0,"",1)</f>
        <v>1</v>
      </c>
      <c r="G33" s="203" t="str">
        <f t="shared" ref="G33:G38" si="18">IF(F33="","",INDEX($AH$5:$AH$10,MATCH(LARGE($AJ$5:$AJ$10,F33),$AJ$5:$AJ$10,0)))</f>
        <v>ADIF</v>
      </c>
      <c r="H33" s="203">
        <f t="shared" ref="H33:H38" si="19">IF(G33="","",INDEX($AI$5:$AI$10,MATCH(G33,$AH$5:$AH$10,0)))</f>
        <v>64</v>
      </c>
      <c r="I33" s="204">
        <f t="shared" ref="I33:I38" si="20">IF(H33="","",IFERROR(H33/SUM($H$33:$H$38),0))</f>
        <v>0.4475524476</v>
      </c>
    </row>
    <row r="34" ht="15.75" customHeight="1">
      <c r="A34" s="203" t="str">
        <f t="array" ref="A34">IF(LARGE($AC$5:$AC$15,10)=0,"",INDEX($AA$5:$AA$15,MATCH(LARGE($AD$5:$AD$15,10),$AD$5:$AD$15,0)))</f>
        <v/>
      </c>
      <c r="B34" s="203" t="str">
        <f t="shared" si="12"/>
        <v/>
      </c>
      <c r="C34" s="203" t="str">
        <f t="shared" si="13"/>
        <v/>
      </c>
      <c r="D34" s="204" t="str">
        <f t="shared" si="14"/>
        <v/>
      </c>
      <c r="F34" s="203">
        <f>IF(LARGE($AI$5:$AI$10,2)=0,"",2)</f>
        <v>2</v>
      </c>
      <c r="G34" s="203" t="str">
        <f t="shared" si="18"/>
        <v>SAKA</v>
      </c>
      <c r="H34" s="203">
        <f t="shared" si="19"/>
        <v>56</v>
      </c>
      <c r="I34" s="204">
        <f t="shared" si="20"/>
        <v>0.3916083916</v>
      </c>
    </row>
    <row r="35" ht="15.75" customHeight="1">
      <c r="A35" s="203" t="str">
        <f t="array" ref="A35">IF(LARGE($AC$5:$AC$15,11)=0,"",INDEX($AA$5:$AA$15,MATCH(LARGE($AD$5:$AD$15,11),$AD$5:$AD$15,0)))</f>
        <v/>
      </c>
      <c r="B35" s="203" t="str">
        <f t="shared" si="12"/>
        <v/>
      </c>
      <c r="C35" s="203" t="str">
        <f t="shared" si="13"/>
        <v/>
      </c>
      <c r="D35" s="204" t="str">
        <f t="shared" si="14"/>
        <v/>
      </c>
      <c r="F35" s="203">
        <f>IF(LARGE($AI$5:$AI$10,3)=0,"",3)</f>
        <v>3</v>
      </c>
      <c r="G35" s="203" t="str">
        <f t="shared" si="18"/>
        <v>FAHME</v>
      </c>
      <c r="H35" s="203">
        <f t="shared" si="19"/>
        <v>12</v>
      </c>
      <c r="I35" s="204">
        <f t="shared" si="20"/>
        <v>0.08391608392</v>
      </c>
    </row>
    <row r="36" ht="15.75" customHeight="1">
      <c r="F36" s="203">
        <f>IF(LARGE($AI$5:$AI$10,4)=0,"",4)</f>
        <v>4</v>
      </c>
      <c r="G36" s="203" t="str">
        <f t="shared" si="18"/>
        <v>ABROR</v>
      </c>
      <c r="H36" s="203">
        <f t="shared" si="19"/>
        <v>11</v>
      </c>
      <c r="I36" s="204">
        <f t="shared" si="20"/>
        <v>0.07692307692</v>
      </c>
    </row>
    <row r="37" ht="15.75" customHeight="1">
      <c r="F37" s="203" t="str">
        <f>IF(LARGE($AI$5:$AI$10,5)=0,"",5)</f>
        <v/>
      </c>
      <c r="G37" s="203" t="str">
        <f t="shared" si="18"/>
        <v/>
      </c>
      <c r="H37" s="203" t="str">
        <f t="shared" si="19"/>
        <v/>
      </c>
      <c r="I37" s="204" t="str">
        <f t="shared" si="20"/>
        <v/>
      </c>
    </row>
    <row r="38" ht="15.75" customHeight="1">
      <c r="F38" s="203" t="str">
        <f>IF(LARGE($AI$5:$AI$10,6)=0,"",6)</f>
        <v/>
      </c>
      <c r="G38" s="203" t="str">
        <f t="shared" si="18"/>
        <v/>
      </c>
      <c r="H38" s="203" t="str">
        <f t="shared" si="19"/>
        <v/>
      </c>
      <c r="I38" s="204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9" t="s">
        <v>426</v>
      </c>
    </row>
    <row r="44" ht="15.75" customHeight="1"/>
    <row r="45" ht="15.75" customHeight="1">
      <c r="A45" s="201" t="s">
        <v>381</v>
      </c>
      <c r="D45" s="201" t="s">
        <v>427</v>
      </c>
      <c r="G45" s="201" t="s">
        <v>428</v>
      </c>
      <c r="J45" s="201" t="s">
        <v>429</v>
      </c>
    </row>
    <row r="46" ht="15.75" customHeight="1">
      <c r="A46" s="209">
        <f>IF(COUNTIF($C$51:$C$61,"&gt;0")=0,"",AVERAGEIF($D$51:$D$61,"&gt;0",$D$51:$D$61))</f>
        <v>0.9835714286</v>
      </c>
      <c r="D46" s="209">
        <f>IF(COUNTIFS($B$51:$B$61,"Admin/CS",$C$51:$C$61,"&gt;0")=0,"",SUMIFS($D$51:$D$61,$B$51:$B$61,"Admin/CS",$C$51:$C$61,"&gt;0")/COUNTIFS($B$51:$B$61,"Admin/CS",$C$51:$C$61,"&gt;0"))</f>
        <v>0.9696428571</v>
      </c>
      <c r="G46" s="209">
        <f>IF(COUNTIFS($B$51:$B$61,"Fotografer",$C$51:$C$61,"&gt;0")=0,"",SUMIFS($D$51:$D$61,$B$51:$B$61,"Fotografer",$C$51:$C$61,"&gt;0")/COUNTIFS($B$51:$B$61,"Fotografer",$C$51:$C$61,"&gt;0"))</f>
        <v>0.9975</v>
      </c>
      <c r="J46" s="210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1" t="s">
        <v>2</v>
      </c>
      <c r="B50" s="201" t="s">
        <v>420</v>
      </c>
      <c r="C50" s="201" t="s">
        <v>386</v>
      </c>
      <c r="D50" s="201" t="s">
        <v>387</v>
      </c>
      <c r="E50" s="201" t="s">
        <v>137</v>
      </c>
      <c r="F50" s="201" t="s">
        <v>138</v>
      </c>
      <c r="G50" s="201" t="s">
        <v>139</v>
      </c>
      <c r="H50" s="201" t="s">
        <v>140</v>
      </c>
      <c r="I50" s="201" t="s">
        <v>141</v>
      </c>
      <c r="J50" s="201" t="s">
        <v>430</v>
      </c>
      <c r="K50" s="201" t="s">
        <v>431</v>
      </c>
    </row>
    <row r="51" ht="15.75" customHeight="1">
      <c r="A51" s="203" t="str">
        <f t="shared" ref="A51:C51" si="21">AK5</f>
        <v>INDAH</v>
      </c>
      <c r="B51" s="203" t="str">
        <f t="shared" si="21"/>
        <v>Admin/CS</v>
      </c>
      <c r="C51" s="211">
        <f t="shared" si="21"/>
        <v>16</v>
      </c>
      <c r="D51" s="204">
        <f t="shared" ref="D51:D61" si="23">IF(C51=0,"",AN5/100)</f>
        <v>1</v>
      </c>
      <c r="E51" s="212">
        <f t="shared" ref="E51:E61" si="24">IF(C51=0,"",AO5)</f>
        <v>5</v>
      </c>
      <c r="F51" s="212">
        <f t="shared" ref="F51:F61" si="25">IF(C51=0,"",AP5)</f>
        <v>5</v>
      </c>
      <c r="G51" s="212">
        <f t="shared" ref="G51:G61" si="26">IF(C51=0,"",AQ5)</f>
        <v>5</v>
      </c>
      <c r="H51" s="212">
        <f t="shared" ref="H51:H61" si="27">IF(C51=0,"",AR5)</f>
        <v>5</v>
      </c>
      <c r="I51" s="212">
        <f t="shared" ref="I51:I61" si="28">IF(C51=0,"",AS5)</f>
        <v>5</v>
      </c>
      <c r="J51" s="203" t="str">
        <f t="shared" ref="J51:J61" si="29">IF(D51="","Belum Dinilai",IF(D51&gt;=0.9,"Sangat Baik",IF(D51&gt;=0.8,"Baik",IF(D51&gt;=0.7,"Coaching","Underperform"))))</f>
        <v>Sangat Baik</v>
      </c>
      <c r="K51" s="12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3" t="str">
        <f t="shared" ref="A52:C52" si="22">AK6</f>
        <v>ADDEL</v>
      </c>
      <c r="B52" s="203" t="str">
        <f t="shared" si="22"/>
        <v>Admin/CS</v>
      </c>
      <c r="C52" s="211">
        <f t="shared" si="22"/>
        <v>0</v>
      </c>
      <c r="D52" s="204" t="str">
        <f t="shared" si="23"/>
        <v/>
      </c>
      <c r="E52" s="212" t="str">
        <f t="shared" si="24"/>
        <v/>
      </c>
      <c r="F52" s="212" t="str">
        <f t="shared" si="25"/>
        <v/>
      </c>
      <c r="G52" s="212" t="str">
        <f t="shared" si="26"/>
        <v/>
      </c>
      <c r="H52" s="212" t="str">
        <f t="shared" si="27"/>
        <v/>
      </c>
      <c r="I52" s="212" t="str">
        <f t="shared" si="28"/>
        <v/>
      </c>
      <c r="J52" s="203" t="str">
        <f t="shared" si="29"/>
        <v>Belum Dinilai</v>
      </c>
      <c r="K52" s="123" t="str">
        <f t="shared" si="30"/>
        <v>Belum Ada</v>
      </c>
    </row>
    <row r="53" ht="15.75" customHeight="1">
      <c r="A53" s="203" t="str">
        <f t="shared" ref="A53:C53" si="31">AK7</f>
        <v>AMEL</v>
      </c>
      <c r="B53" s="203" t="str">
        <f t="shared" si="31"/>
        <v>Admin/CS</v>
      </c>
      <c r="C53" s="211">
        <f t="shared" si="31"/>
        <v>14</v>
      </c>
      <c r="D53" s="204">
        <f t="shared" si="23"/>
        <v>0.9392857143</v>
      </c>
      <c r="E53" s="212">
        <f t="shared" si="24"/>
        <v>4.714285714</v>
      </c>
      <c r="F53" s="212">
        <f t="shared" si="25"/>
        <v>4.714285714</v>
      </c>
      <c r="G53" s="212">
        <f t="shared" si="26"/>
        <v>4.642857143</v>
      </c>
      <c r="H53" s="212">
        <f t="shared" si="27"/>
        <v>4.714285714</v>
      </c>
      <c r="I53" s="212">
        <f t="shared" si="28"/>
        <v>4.714285714</v>
      </c>
      <c r="J53" s="203" t="str">
        <f t="shared" si="29"/>
        <v>Sangat Baik</v>
      </c>
      <c r="K53" s="123" t="str">
        <f t="shared" si="30"/>
        <v>#N/A</v>
      </c>
    </row>
    <row r="54" ht="15.75" customHeight="1">
      <c r="A54" s="203" t="str">
        <f t="shared" ref="A54:C54" si="32">AK8</f>
        <v>PENTIL</v>
      </c>
      <c r="B54" s="203" t="str">
        <f t="shared" si="32"/>
        <v>Admin/CS</v>
      </c>
      <c r="C54" s="211">
        <f t="shared" si="32"/>
        <v>0</v>
      </c>
      <c r="D54" s="204" t="str">
        <f t="shared" si="23"/>
        <v/>
      </c>
      <c r="E54" s="212" t="str">
        <f t="shared" si="24"/>
        <v/>
      </c>
      <c r="F54" s="212" t="str">
        <f t="shared" si="25"/>
        <v/>
      </c>
      <c r="G54" s="212" t="str">
        <f t="shared" si="26"/>
        <v/>
      </c>
      <c r="H54" s="212" t="str">
        <f t="shared" si="27"/>
        <v/>
      </c>
      <c r="I54" s="212" t="str">
        <f t="shared" si="28"/>
        <v/>
      </c>
      <c r="J54" s="203" t="str">
        <f t="shared" si="29"/>
        <v>Belum Dinilai</v>
      </c>
      <c r="K54" s="123" t="str">
        <f t="shared" si="30"/>
        <v>Belum Ada</v>
      </c>
    </row>
    <row r="55" ht="15.75" customHeight="1">
      <c r="A55" s="203" t="str">
        <f t="shared" ref="A55:C55" si="33">AK9</f>
        <v>JIJANG</v>
      </c>
      <c r="B55" s="203" t="str">
        <f t="shared" si="33"/>
        <v>Admin/CS</v>
      </c>
      <c r="C55" s="211">
        <f t="shared" si="33"/>
        <v>0</v>
      </c>
      <c r="D55" s="204" t="str">
        <f t="shared" si="23"/>
        <v/>
      </c>
      <c r="E55" s="212" t="str">
        <f t="shared" si="24"/>
        <v/>
      </c>
      <c r="F55" s="212" t="str">
        <f t="shared" si="25"/>
        <v/>
      </c>
      <c r="G55" s="212" t="str">
        <f t="shared" si="26"/>
        <v/>
      </c>
      <c r="H55" s="212" t="str">
        <f t="shared" si="27"/>
        <v/>
      </c>
      <c r="I55" s="212" t="str">
        <f t="shared" si="28"/>
        <v/>
      </c>
      <c r="J55" s="203" t="str">
        <f t="shared" si="29"/>
        <v>Belum Dinilai</v>
      </c>
      <c r="K55" s="123" t="str">
        <f t="shared" si="30"/>
        <v>Belum Ada</v>
      </c>
    </row>
    <row r="56" ht="15.75" customHeight="1">
      <c r="A56" s="203" t="str">
        <f t="shared" ref="A56:C56" si="34">AK10</f>
        <v>HANIF</v>
      </c>
      <c r="B56" s="203" t="str">
        <f t="shared" si="34"/>
        <v>Fotografer</v>
      </c>
      <c r="C56" s="211">
        <f t="shared" si="34"/>
        <v>0</v>
      </c>
      <c r="D56" s="204" t="str">
        <f t="shared" si="23"/>
        <v/>
      </c>
      <c r="E56" s="212" t="str">
        <f t="shared" si="24"/>
        <v/>
      </c>
      <c r="F56" s="212" t="str">
        <f t="shared" si="25"/>
        <v/>
      </c>
      <c r="G56" s="212" t="str">
        <f t="shared" si="26"/>
        <v/>
      </c>
      <c r="H56" s="212" t="str">
        <f t="shared" si="27"/>
        <v/>
      </c>
      <c r="I56" s="212" t="str">
        <f t="shared" si="28"/>
        <v/>
      </c>
      <c r="J56" s="203" t="str">
        <f t="shared" si="29"/>
        <v>Belum Dinilai</v>
      </c>
      <c r="K56" s="123" t="str">
        <f t="shared" si="30"/>
        <v>Belum Ada</v>
      </c>
    </row>
    <row r="57" ht="15.75" customHeight="1">
      <c r="A57" s="203" t="str">
        <f t="shared" ref="A57:C57" si="35">AK11</f>
        <v>FAHME</v>
      </c>
      <c r="B57" s="203" t="str">
        <f t="shared" si="35"/>
        <v>Fotografer</v>
      </c>
      <c r="C57" s="211">
        <f t="shared" si="35"/>
        <v>0</v>
      </c>
      <c r="D57" s="204" t="str">
        <f t="shared" si="23"/>
        <v/>
      </c>
      <c r="E57" s="212" t="str">
        <f t="shared" si="24"/>
        <v/>
      </c>
      <c r="F57" s="212" t="str">
        <f t="shared" si="25"/>
        <v/>
      </c>
      <c r="G57" s="212" t="str">
        <f t="shared" si="26"/>
        <v/>
      </c>
      <c r="H57" s="212" t="str">
        <f t="shared" si="27"/>
        <v/>
      </c>
      <c r="I57" s="212" t="str">
        <f t="shared" si="28"/>
        <v/>
      </c>
      <c r="J57" s="203" t="str">
        <f t="shared" si="29"/>
        <v>Belum Dinilai</v>
      </c>
      <c r="K57" s="123" t="str">
        <f t="shared" si="30"/>
        <v>Belum Ada</v>
      </c>
    </row>
    <row r="58" ht="15.75" customHeight="1">
      <c r="A58" s="203" t="str">
        <f t="shared" ref="A58:C58" si="36">AK12</f>
        <v>ADIF</v>
      </c>
      <c r="B58" s="203" t="str">
        <f t="shared" si="36"/>
        <v>Fotografer</v>
      </c>
      <c r="C58" s="211">
        <f t="shared" si="36"/>
        <v>16</v>
      </c>
      <c r="D58" s="204">
        <f t="shared" si="23"/>
        <v>0.995</v>
      </c>
      <c r="E58" s="212">
        <f t="shared" si="24"/>
        <v>4.875</v>
      </c>
      <c r="F58" s="212">
        <f t="shared" si="25"/>
        <v>5</v>
      </c>
      <c r="G58" s="212">
        <f t="shared" si="26"/>
        <v>5</v>
      </c>
      <c r="H58" s="212">
        <f t="shared" si="27"/>
        <v>5</v>
      </c>
      <c r="I58" s="212">
        <f t="shared" si="28"/>
        <v>5</v>
      </c>
      <c r="J58" s="203" t="str">
        <f t="shared" si="29"/>
        <v>Sangat Baik</v>
      </c>
      <c r="K58" s="123" t="str">
        <f t="shared" si="30"/>
        <v>#N/A</v>
      </c>
    </row>
    <row r="59" ht="15.75" customHeight="1">
      <c r="A59" s="203" t="str">
        <f t="shared" ref="A59:C59" si="37">AK13</f>
        <v>ABROR</v>
      </c>
      <c r="B59" s="203" t="str">
        <f t="shared" si="37"/>
        <v>Fotografer</v>
      </c>
      <c r="C59" s="211">
        <f t="shared" si="37"/>
        <v>0</v>
      </c>
      <c r="D59" s="204" t="str">
        <f t="shared" si="23"/>
        <v/>
      </c>
      <c r="E59" s="212" t="str">
        <f t="shared" si="24"/>
        <v/>
      </c>
      <c r="F59" s="212" t="str">
        <f t="shared" si="25"/>
        <v/>
      </c>
      <c r="G59" s="212" t="str">
        <f t="shared" si="26"/>
        <v/>
      </c>
      <c r="H59" s="212" t="str">
        <f t="shared" si="27"/>
        <v/>
      </c>
      <c r="I59" s="212" t="str">
        <f t="shared" si="28"/>
        <v/>
      </c>
      <c r="J59" s="203" t="str">
        <f t="shared" si="29"/>
        <v>Belum Dinilai</v>
      </c>
      <c r="K59" s="123" t="str">
        <f t="shared" si="30"/>
        <v>Belum Ada</v>
      </c>
    </row>
    <row r="60" ht="15.75" customHeight="1">
      <c r="A60" s="203" t="str">
        <f t="shared" ref="A60:C60" si="38">AK14</f>
        <v>FADEL</v>
      </c>
      <c r="B60" s="203" t="str">
        <f t="shared" si="38"/>
        <v>Fotografer</v>
      </c>
      <c r="C60" s="211">
        <f t="shared" si="38"/>
        <v>0</v>
      </c>
      <c r="D60" s="204" t="str">
        <f t="shared" si="23"/>
        <v/>
      </c>
      <c r="E60" s="212" t="str">
        <f t="shared" si="24"/>
        <v/>
      </c>
      <c r="F60" s="212" t="str">
        <f t="shared" si="25"/>
        <v/>
      </c>
      <c r="G60" s="212" t="str">
        <f t="shared" si="26"/>
        <v/>
      </c>
      <c r="H60" s="212" t="str">
        <f t="shared" si="27"/>
        <v/>
      </c>
      <c r="I60" s="212" t="str">
        <f t="shared" si="28"/>
        <v/>
      </c>
      <c r="J60" s="203" t="str">
        <f t="shared" si="29"/>
        <v>Belum Dinilai</v>
      </c>
      <c r="K60" s="123" t="str">
        <f t="shared" si="30"/>
        <v>Belum Ada</v>
      </c>
    </row>
    <row r="61" ht="15.75" customHeight="1">
      <c r="A61" s="203" t="str">
        <f t="shared" ref="A61:C61" si="39">AK15</f>
        <v>SAKA</v>
      </c>
      <c r="B61" s="203" t="str">
        <f t="shared" si="39"/>
        <v>Fotografer</v>
      </c>
      <c r="C61" s="211">
        <f t="shared" si="39"/>
        <v>14</v>
      </c>
      <c r="D61" s="204">
        <f t="shared" si="23"/>
        <v>1</v>
      </c>
      <c r="E61" s="212">
        <f t="shared" si="24"/>
        <v>5</v>
      </c>
      <c r="F61" s="212">
        <f t="shared" si="25"/>
        <v>5</v>
      </c>
      <c r="G61" s="212">
        <f t="shared" si="26"/>
        <v>5</v>
      </c>
      <c r="H61" s="212">
        <f t="shared" si="27"/>
        <v>5</v>
      </c>
      <c r="I61" s="212">
        <f t="shared" si="28"/>
        <v>5</v>
      </c>
      <c r="J61" s="203" t="str">
        <f t="shared" si="29"/>
        <v>Sangat Baik</v>
      </c>
      <c r="K61" s="123" t="str">
        <f t="shared" si="30"/>
        <v>#N/A</v>
      </c>
    </row>
    <row r="62" ht="15.75" customHeight="1"/>
    <row r="63" ht="15.75" customHeight="1"/>
    <row r="64" ht="15.75" customHeight="1">
      <c r="A64" s="213" t="s">
        <v>432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